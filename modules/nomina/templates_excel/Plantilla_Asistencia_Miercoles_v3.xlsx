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Yahir\Downloads\"/>
    </mc:Choice>
  </mc:AlternateContent>
  <xr:revisionPtr revIDLastSave="0" documentId="13_ncr:1_{0B628F9C-AD5F-4472-91B3-E86D8A3D8C0B}" xr6:coauthVersionLast="47" xr6:coauthVersionMax="47" xr10:uidLastSave="{00000000-0000-0000-0000-000000000000}"/>
  <bookViews>
    <workbookView xWindow="-120" yWindow="-120" windowWidth="29040" windowHeight="15720" tabRatio="500" activeTab="2" xr2:uid="{00000000-000D-0000-FFFF-FFFF00000000}"/>
  </bookViews>
  <sheets>
    <sheet name="Instrucciones" sheetId="1" r:id="rId1"/>
    <sheet name="Asistencia" sheetId="2" r:id="rId2"/>
    <sheet name="Compilado" sheetId="3" r:id="rId3"/>
  </sheets>
  <definedNames>
    <definedName name="meta_coordinador">Asistencia!$G$2</definedName>
    <definedName name="meta_nomina">Asistencia!$D$2</definedName>
    <definedName name="meta_semana">Asistencia!$B$2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Q323" i="3" l="1"/>
  <c r="BP323" i="3"/>
  <c r="BO323" i="3"/>
  <c r="BN323" i="3"/>
  <c r="BM323" i="3"/>
  <c r="BL323" i="3"/>
  <c r="BK323" i="3"/>
  <c r="BJ323" i="3"/>
  <c r="BI323" i="3"/>
  <c r="BH323" i="3"/>
  <c r="BG323" i="3"/>
  <c r="BE323" i="3"/>
  <c r="BD323" i="3"/>
  <c r="BC323" i="3"/>
  <c r="BB323" i="3"/>
  <c r="BA323" i="3"/>
  <c r="AZ323" i="3"/>
  <c r="AY323" i="3"/>
  <c r="BF323" i="3" s="1"/>
  <c r="AW323" i="3"/>
  <c r="AV323" i="3"/>
  <c r="AU323" i="3"/>
  <c r="AT323" i="3"/>
  <c r="AS323" i="3"/>
  <c r="AR323" i="3"/>
  <c r="AQ323" i="3"/>
  <c r="AX323" i="3" s="1"/>
  <c r="AO323" i="3"/>
  <c r="AN323" i="3"/>
  <c r="AM323" i="3"/>
  <c r="AL323" i="3"/>
  <c r="AK323" i="3"/>
  <c r="AJ323" i="3"/>
  <c r="AI323" i="3"/>
  <c r="AP323" i="3" s="1"/>
  <c r="AE323" i="3"/>
  <c r="AD323" i="3"/>
  <c r="AC323" i="3"/>
  <c r="AB323" i="3"/>
  <c r="AA323" i="3"/>
  <c r="BQ322" i="3"/>
  <c r="BP322" i="3"/>
  <c r="BO322" i="3"/>
  <c r="BN322" i="3"/>
  <c r="BM322" i="3"/>
  <c r="BL322" i="3"/>
  <c r="BK322" i="3"/>
  <c r="BJ322" i="3"/>
  <c r="BI322" i="3"/>
  <c r="BH322" i="3"/>
  <c r="BG322" i="3"/>
  <c r="BE322" i="3"/>
  <c r="BD322" i="3"/>
  <c r="BC322" i="3"/>
  <c r="BB322" i="3"/>
  <c r="BA322" i="3"/>
  <c r="AZ322" i="3"/>
  <c r="AY322" i="3"/>
  <c r="BF322" i="3" s="1"/>
  <c r="AW322" i="3"/>
  <c r="AV322" i="3"/>
  <c r="AU322" i="3"/>
  <c r="AT322" i="3"/>
  <c r="AS322" i="3"/>
  <c r="AR322" i="3"/>
  <c r="AQ322" i="3"/>
  <c r="AX322" i="3" s="1"/>
  <c r="AO322" i="3"/>
  <c r="AN322" i="3"/>
  <c r="AM322" i="3"/>
  <c r="AL322" i="3"/>
  <c r="AK322" i="3"/>
  <c r="AJ322" i="3"/>
  <c r="AI322" i="3"/>
  <c r="AP322" i="3" s="1"/>
  <c r="AE322" i="3"/>
  <c r="AD322" i="3"/>
  <c r="AC322" i="3"/>
  <c r="AB322" i="3"/>
  <c r="AA322" i="3"/>
  <c r="BQ321" i="3"/>
  <c r="BP321" i="3"/>
  <c r="BO321" i="3"/>
  <c r="BN321" i="3"/>
  <c r="BM321" i="3"/>
  <c r="BL321" i="3"/>
  <c r="BK321" i="3"/>
  <c r="BJ321" i="3"/>
  <c r="BI321" i="3"/>
  <c r="BH321" i="3"/>
  <c r="BG321" i="3"/>
  <c r="BE321" i="3"/>
  <c r="BD321" i="3"/>
  <c r="BC321" i="3"/>
  <c r="BB321" i="3"/>
  <c r="BA321" i="3"/>
  <c r="AZ321" i="3"/>
  <c r="AY321" i="3"/>
  <c r="BF321" i="3" s="1"/>
  <c r="AW321" i="3"/>
  <c r="AV321" i="3"/>
  <c r="AU321" i="3"/>
  <c r="AT321" i="3"/>
  <c r="AS321" i="3"/>
  <c r="AR321" i="3"/>
  <c r="AQ321" i="3"/>
  <c r="AX321" i="3" s="1"/>
  <c r="AO321" i="3"/>
  <c r="AN321" i="3"/>
  <c r="AM321" i="3"/>
  <c r="AL321" i="3"/>
  <c r="AK321" i="3"/>
  <c r="AJ321" i="3"/>
  <c r="AI321" i="3"/>
  <c r="AP321" i="3" s="1"/>
  <c r="AE321" i="3"/>
  <c r="AD321" i="3"/>
  <c r="AC321" i="3"/>
  <c r="AB321" i="3"/>
  <c r="AA321" i="3"/>
  <c r="BQ320" i="3"/>
  <c r="BP320" i="3"/>
  <c r="BO320" i="3"/>
  <c r="BN320" i="3"/>
  <c r="BM320" i="3"/>
  <c r="BL320" i="3"/>
  <c r="BK320" i="3"/>
  <c r="BJ320" i="3"/>
  <c r="BI320" i="3"/>
  <c r="BH320" i="3"/>
  <c r="BG320" i="3"/>
  <c r="BE320" i="3"/>
  <c r="BD320" i="3"/>
  <c r="BC320" i="3"/>
  <c r="BB320" i="3"/>
  <c r="BA320" i="3"/>
  <c r="AZ320" i="3"/>
  <c r="AY320" i="3"/>
  <c r="BF320" i="3" s="1"/>
  <c r="AW320" i="3"/>
  <c r="AV320" i="3"/>
  <c r="AU320" i="3"/>
  <c r="AT320" i="3"/>
  <c r="AS320" i="3"/>
  <c r="AR320" i="3"/>
  <c r="AQ320" i="3"/>
  <c r="AX320" i="3" s="1"/>
  <c r="AO320" i="3"/>
  <c r="AN320" i="3"/>
  <c r="AM320" i="3"/>
  <c r="AL320" i="3"/>
  <c r="AK320" i="3"/>
  <c r="AJ320" i="3"/>
  <c r="AI320" i="3"/>
  <c r="AP320" i="3" s="1"/>
  <c r="AE320" i="3"/>
  <c r="AD320" i="3"/>
  <c r="AC320" i="3"/>
  <c r="AB320" i="3"/>
  <c r="AA320" i="3"/>
  <c r="BQ319" i="3"/>
  <c r="BP319" i="3"/>
  <c r="BO319" i="3"/>
  <c r="BN319" i="3"/>
  <c r="BM319" i="3"/>
  <c r="BL319" i="3"/>
  <c r="BK319" i="3"/>
  <c r="BJ319" i="3"/>
  <c r="BI319" i="3"/>
  <c r="BH319" i="3"/>
  <c r="BG319" i="3"/>
  <c r="BE319" i="3"/>
  <c r="BD319" i="3"/>
  <c r="BC319" i="3"/>
  <c r="BB319" i="3"/>
  <c r="BA319" i="3"/>
  <c r="AZ319" i="3"/>
  <c r="AY319" i="3"/>
  <c r="BF319" i="3" s="1"/>
  <c r="AW319" i="3"/>
  <c r="AV319" i="3"/>
  <c r="AU319" i="3"/>
  <c r="AT319" i="3"/>
  <c r="AS319" i="3"/>
  <c r="AR319" i="3"/>
  <c r="AQ319" i="3"/>
  <c r="AX319" i="3" s="1"/>
  <c r="AO319" i="3"/>
  <c r="AN319" i="3"/>
  <c r="AM319" i="3"/>
  <c r="AL319" i="3"/>
  <c r="AK319" i="3"/>
  <c r="AJ319" i="3"/>
  <c r="AI319" i="3"/>
  <c r="AP319" i="3" s="1"/>
  <c r="AE319" i="3"/>
  <c r="AD319" i="3"/>
  <c r="AC319" i="3"/>
  <c r="AB319" i="3"/>
  <c r="AA319" i="3"/>
  <c r="BQ318" i="3"/>
  <c r="BP318" i="3"/>
  <c r="BO318" i="3"/>
  <c r="BN318" i="3"/>
  <c r="BM318" i="3"/>
  <c r="BL318" i="3"/>
  <c r="BK318" i="3"/>
  <c r="BJ318" i="3"/>
  <c r="BI318" i="3"/>
  <c r="BH318" i="3"/>
  <c r="BG318" i="3"/>
  <c r="BE318" i="3"/>
  <c r="BD318" i="3"/>
  <c r="BC318" i="3"/>
  <c r="BB318" i="3"/>
  <c r="BA318" i="3"/>
  <c r="AZ318" i="3"/>
  <c r="AY318" i="3"/>
  <c r="BF318" i="3" s="1"/>
  <c r="AW318" i="3"/>
  <c r="AV318" i="3"/>
  <c r="AU318" i="3"/>
  <c r="AT318" i="3"/>
  <c r="AS318" i="3"/>
  <c r="AR318" i="3"/>
  <c r="AQ318" i="3"/>
  <c r="AX318" i="3" s="1"/>
  <c r="AO318" i="3"/>
  <c r="AN318" i="3"/>
  <c r="AM318" i="3"/>
  <c r="AL318" i="3"/>
  <c r="AK318" i="3"/>
  <c r="AJ318" i="3"/>
  <c r="AI318" i="3"/>
  <c r="AP318" i="3" s="1"/>
  <c r="AE318" i="3"/>
  <c r="AD318" i="3"/>
  <c r="AC318" i="3"/>
  <c r="AB318" i="3"/>
  <c r="AA318" i="3"/>
  <c r="BQ317" i="3"/>
  <c r="BP317" i="3"/>
  <c r="BO317" i="3"/>
  <c r="BN317" i="3"/>
  <c r="BM317" i="3"/>
  <c r="BL317" i="3"/>
  <c r="BK317" i="3"/>
  <c r="BJ317" i="3"/>
  <c r="BI317" i="3"/>
  <c r="BH317" i="3"/>
  <c r="BG317" i="3"/>
  <c r="BE317" i="3"/>
  <c r="BD317" i="3"/>
  <c r="BC317" i="3"/>
  <c r="BB317" i="3"/>
  <c r="BA317" i="3"/>
  <c r="AZ317" i="3"/>
  <c r="AY317" i="3"/>
  <c r="BF317" i="3" s="1"/>
  <c r="AW317" i="3"/>
  <c r="AV317" i="3"/>
  <c r="AU317" i="3"/>
  <c r="AT317" i="3"/>
  <c r="AS317" i="3"/>
  <c r="AR317" i="3"/>
  <c r="AQ317" i="3"/>
  <c r="AX317" i="3" s="1"/>
  <c r="AO317" i="3"/>
  <c r="AN317" i="3"/>
  <c r="AM317" i="3"/>
  <c r="AL317" i="3"/>
  <c r="AK317" i="3"/>
  <c r="AJ317" i="3"/>
  <c r="AI317" i="3"/>
  <c r="AP317" i="3" s="1"/>
  <c r="AE317" i="3"/>
  <c r="AD317" i="3"/>
  <c r="AC317" i="3"/>
  <c r="AB317" i="3"/>
  <c r="AA317" i="3"/>
  <c r="BQ316" i="3"/>
  <c r="BP316" i="3"/>
  <c r="BO316" i="3"/>
  <c r="BN316" i="3"/>
  <c r="BM316" i="3"/>
  <c r="BL316" i="3"/>
  <c r="BK316" i="3"/>
  <c r="BJ316" i="3"/>
  <c r="BI316" i="3"/>
  <c r="BH316" i="3"/>
  <c r="BG316" i="3"/>
  <c r="BE316" i="3"/>
  <c r="BD316" i="3"/>
  <c r="BC316" i="3"/>
  <c r="BB316" i="3"/>
  <c r="BA316" i="3"/>
  <c r="AZ316" i="3"/>
  <c r="AY316" i="3"/>
  <c r="BF316" i="3" s="1"/>
  <c r="AW316" i="3"/>
  <c r="AV316" i="3"/>
  <c r="AU316" i="3"/>
  <c r="AT316" i="3"/>
  <c r="AS316" i="3"/>
  <c r="AR316" i="3"/>
  <c r="AQ316" i="3"/>
  <c r="AX316" i="3" s="1"/>
  <c r="AO316" i="3"/>
  <c r="AN316" i="3"/>
  <c r="AM316" i="3"/>
  <c r="AL316" i="3"/>
  <c r="AK316" i="3"/>
  <c r="AJ316" i="3"/>
  <c r="AI316" i="3"/>
  <c r="AP316" i="3" s="1"/>
  <c r="AE316" i="3"/>
  <c r="AD316" i="3"/>
  <c r="AC316" i="3"/>
  <c r="AB316" i="3"/>
  <c r="AA316" i="3"/>
  <c r="BQ315" i="3"/>
  <c r="BP315" i="3"/>
  <c r="BO315" i="3"/>
  <c r="BN315" i="3"/>
  <c r="BM315" i="3"/>
  <c r="BL315" i="3"/>
  <c r="BK315" i="3"/>
  <c r="BJ315" i="3"/>
  <c r="BI315" i="3"/>
  <c r="BH315" i="3"/>
  <c r="BG315" i="3"/>
  <c r="BE315" i="3"/>
  <c r="BD315" i="3"/>
  <c r="BC315" i="3"/>
  <c r="BB315" i="3"/>
  <c r="BA315" i="3"/>
  <c r="AZ315" i="3"/>
  <c r="AY315" i="3"/>
  <c r="BF315" i="3" s="1"/>
  <c r="AW315" i="3"/>
  <c r="AV315" i="3"/>
  <c r="AU315" i="3"/>
  <c r="AT315" i="3"/>
  <c r="AS315" i="3"/>
  <c r="AR315" i="3"/>
  <c r="AQ315" i="3"/>
  <c r="AX315" i="3" s="1"/>
  <c r="AO315" i="3"/>
  <c r="AN315" i="3"/>
  <c r="AM315" i="3"/>
  <c r="AL315" i="3"/>
  <c r="AK315" i="3"/>
  <c r="AJ315" i="3"/>
  <c r="AI315" i="3"/>
  <c r="AP315" i="3" s="1"/>
  <c r="AE315" i="3"/>
  <c r="AD315" i="3"/>
  <c r="AC315" i="3"/>
  <c r="AB315" i="3"/>
  <c r="AA315" i="3"/>
  <c r="BQ314" i="3"/>
  <c r="BP314" i="3"/>
  <c r="BO314" i="3"/>
  <c r="BN314" i="3"/>
  <c r="BM314" i="3"/>
  <c r="BL314" i="3"/>
  <c r="BK314" i="3"/>
  <c r="BJ314" i="3"/>
  <c r="BI314" i="3"/>
  <c r="BH314" i="3"/>
  <c r="BG314" i="3"/>
  <c r="BE314" i="3"/>
  <c r="BD314" i="3"/>
  <c r="BC314" i="3"/>
  <c r="BB314" i="3"/>
  <c r="BA314" i="3"/>
  <c r="AZ314" i="3"/>
  <c r="AY314" i="3"/>
  <c r="BF314" i="3" s="1"/>
  <c r="AW314" i="3"/>
  <c r="AV314" i="3"/>
  <c r="AU314" i="3"/>
  <c r="AT314" i="3"/>
  <c r="AS314" i="3"/>
  <c r="AR314" i="3"/>
  <c r="AQ314" i="3"/>
  <c r="AX314" i="3" s="1"/>
  <c r="AO314" i="3"/>
  <c r="AN314" i="3"/>
  <c r="AM314" i="3"/>
  <c r="AL314" i="3"/>
  <c r="AK314" i="3"/>
  <c r="AJ314" i="3"/>
  <c r="AI314" i="3"/>
  <c r="AP314" i="3" s="1"/>
  <c r="AE314" i="3"/>
  <c r="AD314" i="3"/>
  <c r="AC314" i="3"/>
  <c r="AB314" i="3"/>
  <c r="AA314" i="3"/>
  <c r="BQ313" i="3"/>
  <c r="BP313" i="3"/>
  <c r="BO313" i="3"/>
  <c r="BN313" i="3"/>
  <c r="BM313" i="3"/>
  <c r="BL313" i="3"/>
  <c r="BK313" i="3"/>
  <c r="BJ313" i="3"/>
  <c r="BI313" i="3"/>
  <c r="BH313" i="3"/>
  <c r="BG313" i="3"/>
  <c r="BE313" i="3"/>
  <c r="BD313" i="3"/>
  <c r="BC313" i="3"/>
  <c r="BB313" i="3"/>
  <c r="BA313" i="3"/>
  <c r="AZ313" i="3"/>
  <c r="AY313" i="3"/>
  <c r="BF313" i="3" s="1"/>
  <c r="AW313" i="3"/>
  <c r="AV313" i="3"/>
  <c r="AU313" i="3"/>
  <c r="AT313" i="3"/>
  <c r="AS313" i="3"/>
  <c r="AR313" i="3"/>
  <c r="AQ313" i="3"/>
  <c r="AX313" i="3" s="1"/>
  <c r="AO313" i="3"/>
  <c r="AN313" i="3"/>
  <c r="AM313" i="3"/>
  <c r="AL313" i="3"/>
  <c r="AK313" i="3"/>
  <c r="AJ313" i="3"/>
  <c r="AI313" i="3"/>
  <c r="AP313" i="3" s="1"/>
  <c r="AE313" i="3"/>
  <c r="AD313" i="3"/>
  <c r="AC313" i="3"/>
  <c r="AB313" i="3"/>
  <c r="AA313" i="3"/>
  <c r="BQ312" i="3"/>
  <c r="BP312" i="3"/>
  <c r="BO312" i="3"/>
  <c r="BN312" i="3"/>
  <c r="BM312" i="3"/>
  <c r="BL312" i="3"/>
  <c r="BK312" i="3"/>
  <c r="BJ312" i="3"/>
  <c r="BI312" i="3"/>
  <c r="BH312" i="3"/>
  <c r="BG312" i="3"/>
  <c r="BE312" i="3"/>
  <c r="BD312" i="3"/>
  <c r="BC312" i="3"/>
  <c r="BB312" i="3"/>
  <c r="BA312" i="3"/>
  <c r="AZ312" i="3"/>
  <c r="AY312" i="3"/>
  <c r="BF312" i="3" s="1"/>
  <c r="AW312" i="3"/>
  <c r="AV312" i="3"/>
  <c r="AU312" i="3"/>
  <c r="AT312" i="3"/>
  <c r="AS312" i="3"/>
  <c r="AR312" i="3"/>
  <c r="AQ312" i="3"/>
  <c r="AX312" i="3" s="1"/>
  <c r="AO312" i="3"/>
  <c r="AN312" i="3"/>
  <c r="AM312" i="3"/>
  <c r="AL312" i="3"/>
  <c r="AK312" i="3"/>
  <c r="AJ312" i="3"/>
  <c r="AI312" i="3"/>
  <c r="AP312" i="3" s="1"/>
  <c r="AE312" i="3"/>
  <c r="AD312" i="3"/>
  <c r="AC312" i="3"/>
  <c r="AB312" i="3"/>
  <c r="AA312" i="3"/>
  <c r="BQ311" i="3"/>
  <c r="BP311" i="3"/>
  <c r="BO311" i="3"/>
  <c r="BN311" i="3"/>
  <c r="BM311" i="3"/>
  <c r="BL311" i="3"/>
  <c r="BK311" i="3"/>
  <c r="BJ311" i="3"/>
  <c r="BI311" i="3"/>
  <c r="BH311" i="3"/>
  <c r="BG311" i="3"/>
  <c r="BE311" i="3"/>
  <c r="BD311" i="3"/>
  <c r="BC311" i="3"/>
  <c r="BB311" i="3"/>
  <c r="BA311" i="3"/>
  <c r="AZ311" i="3"/>
  <c r="AY311" i="3"/>
  <c r="BF311" i="3" s="1"/>
  <c r="AW311" i="3"/>
  <c r="AV311" i="3"/>
  <c r="AU311" i="3"/>
  <c r="AT311" i="3"/>
  <c r="AS311" i="3"/>
  <c r="AR311" i="3"/>
  <c r="AQ311" i="3"/>
  <c r="AX311" i="3" s="1"/>
  <c r="AO311" i="3"/>
  <c r="AN311" i="3"/>
  <c r="AM311" i="3"/>
  <c r="AL311" i="3"/>
  <c r="AK311" i="3"/>
  <c r="AJ311" i="3"/>
  <c r="AI311" i="3"/>
  <c r="AP311" i="3" s="1"/>
  <c r="AE311" i="3"/>
  <c r="AD311" i="3"/>
  <c r="AC311" i="3"/>
  <c r="AB311" i="3"/>
  <c r="AA311" i="3"/>
  <c r="BQ310" i="3"/>
  <c r="BP310" i="3"/>
  <c r="BO310" i="3"/>
  <c r="BN310" i="3"/>
  <c r="BM310" i="3"/>
  <c r="BL310" i="3"/>
  <c r="BK310" i="3"/>
  <c r="BJ310" i="3"/>
  <c r="BI310" i="3"/>
  <c r="BH310" i="3"/>
  <c r="BG310" i="3"/>
  <c r="BE310" i="3"/>
  <c r="BD310" i="3"/>
  <c r="BC310" i="3"/>
  <c r="BB310" i="3"/>
  <c r="BA310" i="3"/>
  <c r="AZ310" i="3"/>
  <c r="AY310" i="3"/>
  <c r="BF310" i="3" s="1"/>
  <c r="AW310" i="3"/>
  <c r="AV310" i="3"/>
  <c r="AU310" i="3"/>
  <c r="AT310" i="3"/>
  <c r="AS310" i="3"/>
  <c r="AR310" i="3"/>
  <c r="AQ310" i="3"/>
  <c r="AX310" i="3" s="1"/>
  <c r="AO310" i="3"/>
  <c r="AN310" i="3"/>
  <c r="AM310" i="3"/>
  <c r="AL310" i="3"/>
  <c r="AK310" i="3"/>
  <c r="AJ310" i="3"/>
  <c r="AI310" i="3"/>
  <c r="AP310" i="3" s="1"/>
  <c r="AE310" i="3"/>
  <c r="AD310" i="3"/>
  <c r="AC310" i="3"/>
  <c r="AA310" i="3" s="1"/>
  <c r="AB310" i="3"/>
  <c r="BQ309" i="3"/>
  <c r="BP309" i="3"/>
  <c r="BO309" i="3"/>
  <c r="BN309" i="3"/>
  <c r="BM309" i="3"/>
  <c r="BL309" i="3"/>
  <c r="BK309" i="3"/>
  <c r="BJ309" i="3"/>
  <c r="BI309" i="3"/>
  <c r="BH309" i="3"/>
  <c r="BG309" i="3"/>
  <c r="BE309" i="3"/>
  <c r="BD309" i="3"/>
  <c r="BC309" i="3"/>
  <c r="BB309" i="3"/>
  <c r="BA309" i="3"/>
  <c r="AZ309" i="3"/>
  <c r="AY309" i="3"/>
  <c r="BF309" i="3" s="1"/>
  <c r="AW309" i="3"/>
  <c r="AV309" i="3"/>
  <c r="AU309" i="3"/>
  <c r="AT309" i="3"/>
  <c r="AS309" i="3"/>
  <c r="AR309" i="3"/>
  <c r="AQ309" i="3"/>
  <c r="AX309" i="3" s="1"/>
  <c r="AO309" i="3"/>
  <c r="AN309" i="3"/>
  <c r="AM309" i="3"/>
  <c r="AL309" i="3"/>
  <c r="AK309" i="3"/>
  <c r="AJ309" i="3"/>
  <c r="AI309" i="3"/>
  <c r="AP309" i="3" s="1"/>
  <c r="AE309" i="3"/>
  <c r="AD309" i="3"/>
  <c r="AC309" i="3"/>
  <c r="AB309" i="3"/>
  <c r="AA309" i="3"/>
  <c r="BQ308" i="3"/>
  <c r="BP308" i="3"/>
  <c r="BO308" i="3"/>
  <c r="BN308" i="3"/>
  <c r="BM308" i="3"/>
  <c r="BL308" i="3"/>
  <c r="BK308" i="3"/>
  <c r="BJ308" i="3"/>
  <c r="BI308" i="3"/>
  <c r="BH308" i="3"/>
  <c r="BG308" i="3"/>
  <c r="BE308" i="3"/>
  <c r="BD308" i="3"/>
  <c r="BC308" i="3"/>
  <c r="BB308" i="3"/>
  <c r="BA308" i="3"/>
  <c r="AZ308" i="3"/>
  <c r="AY308" i="3"/>
  <c r="BF308" i="3" s="1"/>
  <c r="AW308" i="3"/>
  <c r="AV308" i="3"/>
  <c r="AU308" i="3"/>
  <c r="AT308" i="3"/>
  <c r="AS308" i="3"/>
  <c r="AR308" i="3"/>
  <c r="AQ308" i="3"/>
  <c r="AX308" i="3" s="1"/>
  <c r="AO308" i="3"/>
  <c r="AN308" i="3"/>
  <c r="AM308" i="3"/>
  <c r="AL308" i="3"/>
  <c r="AK308" i="3"/>
  <c r="AJ308" i="3"/>
  <c r="AI308" i="3"/>
  <c r="AP308" i="3" s="1"/>
  <c r="AE308" i="3"/>
  <c r="AD308" i="3"/>
  <c r="AC308" i="3"/>
  <c r="AB308" i="3"/>
  <c r="AA308" i="3"/>
  <c r="BQ307" i="3"/>
  <c r="BP307" i="3"/>
  <c r="BO307" i="3"/>
  <c r="BN307" i="3"/>
  <c r="BM307" i="3"/>
  <c r="BL307" i="3"/>
  <c r="BK307" i="3"/>
  <c r="BJ307" i="3"/>
  <c r="BI307" i="3"/>
  <c r="BH307" i="3"/>
  <c r="BG307" i="3"/>
  <c r="BE307" i="3"/>
  <c r="BD307" i="3"/>
  <c r="BC307" i="3"/>
  <c r="BB307" i="3"/>
  <c r="BA307" i="3"/>
  <c r="AZ307" i="3"/>
  <c r="AY307" i="3"/>
  <c r="BF307" i="3" s="1"/>
  <c r="AW307" i="3"/>
  <c r="AV307" i="3"/>
  <c r="AU307" i="3"/>
  <c r="AT307" i="3"/>
  <c r="AS307" i="3"/>
  <c r="AR307" i="3"/>
  <c r="AQ307" i="3"/>
  <c r="AX307" i="3" s="1"/>
  <c r="AO307" i="3"/>
  <c r="AN307" i="3"/>
  <c r="AM307" i="3"/>
  <c r="AL307" i="3"/>
  <c r="AK307" i="3"/>
  <c r="AJ307" i="3"/>
  <c r="AI307" i="3"/>
  <c r="AP307" i="3" s="1"/>
  <c r="AE307" i="3"/>
  <c r="AD307" i="3"/>
  <c r="AC307" i="3"/>
  <c r="AA307" i="3" s="1"/>
  <c r="AB307" i="3"/>
  <c r="BQ306" i="3"/>
  <c r="BP306" i="3"/>
  <c r="BO306" i="3"/>
  <c r="BN306" i="3"/>
  <c r="BM306" i="3"/>
  <c r="BL306" i="3"/>
  <c r="BK306" i="3"/>
  <c r="BJ306" i="3"/>
  <c r="BI306" i="3"/>
  <c r="BH306" i="3"/>
  <c r="BG306" i="3"/>
  <c r="BE306" i="3"/>
  <c r="BD306" i="3"/>
  <c r="BC306" i="3"/>
  <c r="BB306" i="3"/>
  <c r="BA306" i="3"/>
  <c r="AZ306" i="3"/>
  <c r="AY306" i="3"/>
  <c r="BF306" i="3" s="1"/>
  <c r="AW306" i="3"/>
  <c r="AV306" i="3"/>
  <c r="AU306" i="3"/>
  <c r="AT306" i="3"/>
  <c r="AS306" i="3"/>
  <c r="AR306" i="3"/>
  <c r="AQ306" i="3"/>
  <c r="AX306" i="3" s="1"/>
  <c r="AO306" i="3"/>
  <c r="AN306" i="3"/>
  <c r="AM306" i="3"/>
  <c r="AL306" i="3"/>
  <c r="AK306" i="3"/>
  <c r="AJ306" i="3"/>
  <c r="AI306" i="3"/>
  <c r="AP306" i="3" s="1"/>
  <c r="AE306" i="3"/>
  <c r="AD306" i="3"/>
  <c r="AC306" i="3"/>
  <c r="AB306" i="3"/>
  <c r="AA306" i="3"/>
  <c r="BQ305" i="3"/>
  <c r="BP305" i="3"/>
  <c r="BO305" i="3"/>
  <c r="BN305" i="3"/>
  <c r="BM305" i="3"/>
  <c r="BL305" i="3"/>
  <c r="BK305" i="3"/>
  <c r="BJ305" i="3"/>
  <c r="BI305" i="3"/>
  <c r="BH305" i="3"/>
  <c r="BG305" i="3"/>
  <c r="BE305" i="3"/>
  <c r="BD305" i="3"/>
  <c r="BC305" i="3"/>
  <c r="BB305" i="3"/>
  <c r="BA305" i="3"/>
  <c r="AZ305" i="3"/>
  <c r="AY305" i="3"/>
  <c r="BF305" i="3" s="1"/>
  <c r="AW305" i="3"/>
  <c r="AV305" i="3"/>
  <c r="AU305" i="3"/>
  <c r="AT305" i="3"/>
  <c r="AS305" i="3"/>
  <c r="AR305" i="3"/>
  <c r="AQ305" i="3"/>
  <c r="AX305" i="3" s="1"/>
  <c r="AO305" i="3"/>
  <c r="AN305" i="3"/>
  <c r="AM305" i="3"/>
  <c r="AL305" i="3"/>
  <c r="AK305" i="3"/>
  <c r="AJ305" i="3"/>
  <c r="AI305" i="3"/>
  <c r="AP305" i="3" s="1"/>
  <c r="AE305" i="3"/>
  <c r="AD305" i="3"/>
  <c r="AC305" i="3"/>
  <c r="AB305" i="3"/>
  <c r="AA305" i="3"/>
  <c r="BQ304" i="3"/>
  <c r="BP304" i="3"/>
  <c r="BO304" i="3"/>
  <c r="BN304" i="3"/>
  <c r="BM304" i="3"/>
  <c r="BL304" i="3"/>
  <c r="BK304" i="3"/>
  <c r="BJ304" i="3"/>
  <c r="BI304" i="3"/>
  <c r="BH304" i="3"/>
  <c r="BG304" i="3"/>
  <c r="BE304" i="3"/>
  <c r="BD304" i="3"/>
  <c r="BC304" i="3"/>
  <c r="BB304" i="3"/>
  <c r="BA304" i="3"/>
  <c r="AZ304" i="3"/>
  <c r="AY304" i="3"/>
  <c r="BF304" i="3" s="1"/>
  <c r="AW304" i="3"/>
  <c r="AV304" i="3"/>
  <c r="AU304" i="3"/>
  <c r="AT304" i="3"/>
  <c r="AS304" i="3"/>
  <c r="AR304" i="3"/>
  <c r="AQ304" i="3"/>
  <c r="AX304" i="3" s="1"/>
  <c r="AO304" i="3"/>
  <c r="AN304" i="3"/>
  <c r="AM304" i="3"/>
  <c r="AL304" i="3"/>
  <c r="AK304" i="3"/>
  <c r="AJ304" i="3"/>
  <c r="AI304" i="3"/>
  <c r="AP304" i="3" s="1"/>
  <c r="AE304" i="3"/>
  <c r="AD304" i="3"/>
  <c r="AC304" i="3"/>
  <c r="AB304" i="3"/>
  <c r="AA304" i="3"/>
  <c r="BQ303" i="3"/>
  <c r="BP303" i="3"/>
  <c r="BO303" i="3"/>
  <c r="BN303" i="3"/>
  <c r="BM303" i="3"/>
  <c r="BL303" i="3"/>
  <c r="BK303" i="3"/>
  <c r="BJ303" i="3"/>
  <c r="BI303" i="3"/>
  <c r="BH303" i="3"/>
  <c r="BG303" i="3"/>
  <c r="BE303" i="3"/>
  <c r="BD303" i="3"/>
  <c r="BC303" i="3"/>
  <c r="BB303" i="3"/>
  <c r="BA303" i="3"/>
  <c r="AZ303" i="3"/>
  <c r="AY303" i="3"/>
  <c r="BF303" i="3" s="1"/>
  <c r="AW303" i="3"/>
  <c r="AV303" i="3"/>
  <c r="AU303" i="3"/>
  <c r="AT303" i="3"/>
  <c r="AS303" i="3"/>
  <c r="AR303" i="3"/>
  <c r="AQ303" i="3"/>
  <c r="AX303" i="3" s="1"/>
  <c r="AO303" i="3"/>
  <c r="AN303" i="3"/>
  <c r="AM303" i="3"/>
  <c r="AL303" i="3"/>
  <c r="AK303" i="3"/>
  <c r="AJ303" i="3"/>
  <c r="AI303" i="3"/>
  <c r="AP303" i="3" s="1"/>
  <c r="AE303" i="3"/>
  <c r="AD303" i="3"/>
  <c r="AC303" i="3"/>
  <c r="AA303" i="3" s="1"/>
  <c r="AB303" i="3"/>
  <c r="BQ302" i="3"/>
  <c r="BP302" i="3"/>
  <c r="BO302" i="3"/>
  <c r="BN302" i="3"/>
  <c r="BM302" i="3"/>
  <c r="BL302" i="3"/>
  <c r="BK302" i="3"/>
  <c r="BJ302" i="3"/>
  <c r="BI302" i="3"/>
  <c r="BH302" i="3"/>
  <c r="BG302" i="3"/>
  <c r="BE302" i="3"/>
  <c r="BD302" i="3"/>
  <c r="BC302" i="3"/>
  <c r="BB302" i="3"/>
  <c r="BA302" i="3"/>
  <c r="AZ302" i="3"/>
  <c r="AY302" i="3"/>
  <c r="BF302" i="3" s="1"/>
  <c r="AW302" i="3"/>
  <c r="AV302" i="3"/>
  <c r="AU302" i="3"/>
  <c r="AT302" i="3"/>
  <c r="AS302" i="3"/>
  <c r="AR302" i="3"/>
  <c r="AQ302" i="3"/>
  <c r="AX302" i="3" s="1"/>
  <c r="AO302" i="3"/>
  <c r="AN302" i="3"/>
  <c r="AM302" i="3"/>
  <c r="AL302" i="3"/>
  <c r="AK302" i="3"/>
  <c r="AJ302" i="3"/>
  <c r="AI302" i="3"/>
  <c r="AP302" i="3" s="1"/>
  <c r="AE302" i="3"/>
  <c r="AD302" i="3"/>
  <c r="AC302" i="3"/>
  <c r="AB302" i="3"/>
  <c r="AA302" i="3"/>
  <c r="BQ301" i="3"/>
  <c r="BP301" i="3"/>
  <c r="BO301" i="3"/>
  <c r="BN301" i="3"/>
  <c r="BM301" i="3"/>
  <c r="BL301" i="3"/>
  <c r="BK301" i="3"/>
  <c r="BJ301" i="3"/>
  <c r="BI301" i="3"/>
  <c r="BH301" i="3"/>
  <c r="BG301" i="3"/>
  <c r="BE301" i="3"/>
  <c r="BD301" i="3"/>
  <c r="BC301" i="3"/>
  <c r="BB301" i="3"/>
  <c r="BA301" i="3"/>
  <c r="AZ301" i="3"/>
  <c r="AY301" i="3"/>
  <c r="BF301" i="3" s="1"/>
  <c r="AW301" i="3"/>
  <c r="AV301" i="3"/>
  <c r="AU301" i="3"/>
  <c r="AT301" i="3"/>
  <c r="AS301" i="3"/>
  <c r="AR301" i="3"/>
  <c r="AQ301" i="3"/>
  <c r="AX301" i="3" s="1"/>
  <c r="AO301" i="3"/>
  <c r="AN301" i="3"/>
  <c r="AM301" i="3"/>
  <c r="AL301" i="3"/>
  <c r="AK301" i="3"/>
  <c r="AJ301" i="3"/>
  <c r="AI301" i="3"/>
  <c r="AP301" i="3" s="1"/>
  <c r="AE301" i="3"/>
  <c r="AD301" i="3"/>
  <c r="AC301" i="3"/>
  <c r="AB301" i="3"/>
  <c r="AA301" i="3"/>
  <c r="BQ300" i="3"/>
  <c r="BP300" i="3"/>
  <c r="BO300" i="3"/>
  <c r="BN300" i="3"/>
  <c r="BM300" i="3"/>
  <c r="BL300" i="3"/>
  <c r="BK300" i="3"/>
  <c r="BJ300" i="3"/>
  <c r="BI300" i="3"/>
  <c r="BH300" i="3"/>
  <c r="BG300" i="3"/>
  <c r="BE300" i="3"/>
  <c r="BD300" i="3"/>
  <c r="BC300" i="3"/>
  <c r="BB300" i="3"/>
  <c r="BA300" i="3"/>
  <c r="AZ300" i="3"/>
  <c r="AY300" i="3"/>
  <c r="BF300" i="3" s="1"/>
  <c r="AW300" i="3"/>
  <c r="AV300" i="3"/>
  <c r="AU300" i="3"/>
  <c r="AT300" i="3"/>
  <c r="AS300" i="3"/>
  <c r="AR300" i="3"/>
  <c r="AQ300" i="3"/>
  <c r="AX300" i="3" s="1"/>
  <c r="AO300" i="3"/>
  <c r="AN300" i="3"/>
  <c r="AM300" i="3"/>
  <c r="AL300" i="3"/>
  <c r="AK300" i="3"/>
  <c r="AJ300" i="3"/>
  <c r="AI300" i="3"/>
  <c r="AP300" i="3" s="1"/>
  <c r="AE300" i="3"/>
  <c r="AD300" i="3"/>
  <c r="AC300" i="3"/>
  <c r="AB300" i="3"/>
  <c r="AA300" i="3"/>
  <c r="BQ299" i="3"/>
  <c r="BP299" i="3"/>
  <c r="BO299" i="3"/>
  <c r="BN299" i="3"/>
  <c r="BM299" i="3"/>
  <c r="BL299" i="3"/>
  <c r="BK299" i="3"/>
  <c r="BJ299" i="3"/>
  <c r="BI299" i="3"/>
  <c r="BH299" i="3"/>
  <c r="BG299" i="3"/>
  <c r="BE299" i="3"/>
  <c r="BD299" i="3"/>
  <c r="BC299" i="3"/>
  <c r="BB299" i="3"/>
  <c r="BA299" i="3"/>
  <c r="AZ299" i="3"/>
  <c r="AY299" i="3"/>
  <c r="BF299" i="3" s="1"/>
  <c r="AW299" i="3"/>
  <c r="AV299" i="3"/>
  <c r="AU299" i="3"/>
  <c r="AT299" i="3"/>
  <c r="AS299" i="3"/>
  <c r="AR299" i="3"/>
  <c r="AQ299" i="3"/>
  <c r="AX299" i="3" s="1"/>
  <c r="AO299" i="3"/>
  <c r="AN299" i="3"/>
  <c r="AM299" i="3"/>
  <c r="AL299" i="3"/>
  <c r="AK299" i="3"/>
  <c r="AJ299" i="3"/>
  <c r="AI299" i="3"/>
  <c r="AP299" i="3" s="1"/>
  <c r="AE299" i="3"/>
  <c r="AD299" i="3"/>
  <c r="AC299" i="3"/>
  <c r="AB299" i="3"/>
  <c r="AA299" i="3"/>
  <c r="BQ298" i="3"/>
  <c r="BP298" i="3"/>
  <c r="BO298" i="3"/>
  <c r="BN298" i="3"/>
  <c r="BM298" i="3"/>
  <c r="BL298" i="3"/>
  <c r="BK298" i="3"/>
  <c r="BJ298" i="3"/>
  <c r="BI298" i="3"/>
  <c r="BH298" i="3"/>
  <c r="BG298" i="3"/>
  <c r="BE298" i="3"/>
  <c r="BD298" i="3"/>
  <c r="BC298" i="3"/>
  <c r="BB298" i="3"/>
  <c r="BA298" i="3"/>
  <c r="AZ298" i="3"/>
  <c r="AY298" i="3"/>
  <c r="BF298" i="3" s="1"/>
  <c r="AW298" i="3"/>
  <c r="AV298" i="3"/>
  <c r="AU298" i="3"/>
  <c r="AT298" i="3"/>
  <c r="AS298" i="3"/>
  <c r="AR298" i="3"/>
  <c r="AQ298" i="3"/>
  <c r="AX298" i="3" s="1"/>
  <c r="AO298" i="3"/>
  <c r="AN298" i="3"/>
  <c r="AM298" i="3"/>
  <c r="AL298" i="3"/>
  <c r="AK298" i="3"/>
  <c r="AJ298" i="3"/>
  <c r="AI298" i="3"/>
  <c r="AP298" i="3" s="1"/>
  <c r="AE298" i="3"/>
  <c r="AD298" i="3"/>
  <c r="AC298" i="3"/>
  <c r="AB298" i="3"/>
  <c r="AA298" i="3"/>
  <c r="BQ297" i="3"/>
  <c r="BP297" i="3"/>
  <c r="BO297" i="3"/>
  <c r="BN297" i="3"/>
  <c r="BM297" i="3"/>
  <c r="BL297" i="3"/>
  <c r="BK297" i="3"/>
  <c r="BJ297" i="3"/>
  <c r="BI297" i="3"/>
  <c r="BH297" i="3"/>
  <c r="BG297" i="3"/>
  <c r="BE297" i="3"/>
  <c r="BD297" i="3"/>
  <c r="BC297" i="3"/>
  <c r="BB297" i="3"/>
  <c r="BA297" i="3"/>
  <c r="AZ297" i="3"/>
  <c r="AY297" i="3"/>
  <c r="BF297" i="3" s="1"/>
  <c r="AW297" i="3"/>
  <c r="AV297" i="3"/>
  <c r="AU297" i="3"/>
  <c r="AT297" i="3"/>
  <c r="AS297" i="3"/>
  <c r="AR297" i="3"/>
  <c r="AQ297" i="3"/>
  <c r="AX297" i="3" s="1"/>
  <c r="AO297" i="3"/>
  <c r="AN297" i="3"/>
  <c r="AM297" i="3"/>
  <c r="AL297" i="3"/>
  <c r="AK297" i="3"/>
  <c r="AJ297" i="3"/>
  <c r="AI297" i="3"/>
  <c r="AP297" i="3" s="1"/>
  <c r="AE297" i="3"/>
  <c r="AD297" i="3"/>
  <c r="AC297" i="3"/>
  <c r="AB297" i="3"/>
  <c r="AA297" i="3"/>
  <c r="BQ296" i="3"/>
  <c r="BP296" i="3"/>
  <c r="BO296" i="3"/>
  <c r="BN296" i="3"/>
  <c r="BM296" i="3"/>
  <c r="BL296" i="3"/>
  <c r="BK296" i="3"/>
  <c r="BJ296" i="3"/>
  <c r="BI296" i="3"/>
  <c r="BH296" i="3"/>
  <c r="BG296" i="3"/>
  <c r="BE296" i="3"/>
  <c r="BD296" i="3"/>
  <c r="BC296" i="3"/>
  <c r="BB296" i="3"/>
  <c r="BA296" i="3"/>
  <c r="AZ296" i="3"/>
  <c r="AY296" i="3"/>
  <c r="BF296" i="3" s="1"/>
  <c r="AW296" i="3"/>
  <c r="AV296" i="3"/>
  <c r="AU296" i="3"/>
  <c r="AT296" i="3"/>
  <c r="AS296" i="3"/>
  <c r="AR296" i="3"/>
  <c r="AQ296" i="3"/>
  <c r="AX296" i="3" s="1"/>
  <c r="AO296" i="3"/>
  <c r="AN296" i="3"/>
  <c r="AM296" i="3"/>
  <c r="AL296" i="3"/>
  <c r="AK296" i="3"/>
  <c r="AJ296" i="3"/>
  <c r="AI296" i="3"/>
  <c r="AP296" i="3" s="1"/>
  <c r="AE296" i="3"/>
  <c r="AD296" i="3"/>
  <c r="AC296" i="3"/>
  <c r="AB296" i="3"/>
  <c r="AA296" i="3"/>
  <c r="BQ295" i="3"/>
  <c r="BP295" i="3"/>
  <c r="BO295" i="3"/>
  <c r="BN295" i="3"/>
  <c r="BM295" i="3"/>
  <c r="BL295" i="3"/>
  <c r="BK295" i="3"/>
  <c r="BJ295" i="3"/>
  <c r="BI295" i="3"/>
  <c r="BH295" i="3"/>
  <c r="BG295" i="3"/>
  <c r="BE295" i="3"/>
  <c r="BD295" i="3"/>
  <c r="BC295" i="3"/>
  <c r="BB295" i="3"/>
  <c r="BA295" i="3"/>
  <c r="AZ295" i="3"/>
  <c r="AY295" i="3"/>
  <c r="BF295" i="3" s="1"/>
  <c r="AW295" i="3"/>
  <c r="AV295" i="3"/>
  <c r="AU295" i="3"/>
  <c r="AT295" i="3"/>
  <c r="AS295" i="3"/>
  <c r="AR295" i="3"/>
  <c r="AQ295" i="3"/>
  <c r="AX295" i="3" s="1"/>
  <c r="AO295" i="3"/>
  <c r="AN295" i="3"/>
  <c r="AM295" i="3"/>
  <c r="AL295" i="3"/>
  <c r="AK295" i="3"/>
  <c r="AJ295" i="3"/>
  <c r="AI295" i="3"/>
  <c r="AP295" i="3" s="1"/>
  <c r="AE295" i="3"/>
  <c r="AD295" i="3"/>
  <c r="AC295" i="3"/>
  <c r="AB295" i="3"/>
  <c r="AA295" i="3"/>
  <c r="BQ294" i="3"/>
  <c r="BP294" i="3"/>
  <c r="BO294" i="3"/>
  <c r="BN294" i="3"/>
  <c r="BM294" i="3"/>
  <c r="BL294" i="3"/>
  <c r="BK294" i="3"/>
  <c r="BJ294" i="3"/>
  <c r="BI294" i="3"/>
  <c r="BH294" i="3"/>
  <c r="BG294" i="3"/>
  <c r="BE294" i="3"/>
  <c r="BD294" i="3"/>
  <c r="BC294" i="3"/>
  <c r="BB294" i="3"/>
  <c r="BA294" i="3"/>
  <c r="AZ294" i="3"/>
  <c r="AY294" i="3"/>
  <c r="BF294" i="3" s="1"/>
  <c r="AW294" i="3"/>
  <c r="AV294" i="3"/>
  <c r="AU294" i="3"/>
  <c r="AT294" i="3"/>
  <c r="AS294" i="3"/>
  <c r="AR294" i="3"/>
  <c r="AQ294" i="3"/>
  <c r="AX294" i="3" s="1"/>
  <c r="AO294" i="3"/>
  <c r="AN294" i="3"/>
  <c r="AM294" i="3"/>
  <c r="AL294" i="3"/>
  <c r="AK294" i="3"/>
  <c r="AJ294" i="3"/>
  <c r="AI294" i="3"/>
  <c r="AP294" i="3" s="1"/>
  <c r="AE294" i="3"/>
  <c r="AD294" i="3"/>
  <c r="AC294" i="3"/>
  <c r="AB294" i="3"/>
  <c r="AA294" i="3"/>
  <c r="BQ293" i="3"/>
  <c r="BP293" i="3"/>
  <c r="BO293" i="3"/>
  <c r="BN293" i="3"/>
  <c r="BM293" i="3"/>
  <c r="BL293" i="3"/>
  <c r="BK293" i="3"/>
  <c r="BJ293" i="3"/>
  <c r="BI293" i="3"/>
  <c r="BH293" i="3"/>
  <c r="BG293" i="3"/>
  <c r="BE293" i="3"/>
  <c r="BD293" i="3"/>
  <c r="BC293" i="3"/>
  <c r="BB293" i="3"/>
  <c r="BA293" i="3"/>
  <c r="AZ293" i="3"/>
  <c r="AY293" i="3"/>
  <c r="BF293" i="3" s="1"/>
  <c r="AW293" i="3"/>
  <c r="AV293" i="3"/>
  <c r="AU293" i="3"/>
  <c r="AT293" i="3"/>
  <c r="AS293" i="3"/>
  <c r="AR293" i="3"/>
  <c r="AQ293" i="3"/>
  <c r="AX293" i="3" s="1"/>
  <c r="AO293" i="3"/>
  <c r="AN293" i="3"/>
  <c r="AM293" i="3"/>
  <c r="AL293" i="3"/>
  <c r="AK293" i="3"/>
  <c r="AJ293" i="3"/>
  <c r="AI293" i="3"/>
  <c r="AP293" i="3" s="1"/>
  <c r="AE293" i="3"/>
  <c r="AD293" i="3"/>
  <c r="AC293" i="3"/>
  <c r="AB293" i="3"/>
  <c r="AA293" i="3"/>
  <c r="BQ292" i="3"/>
  <c r="BP292" i="3"/>
  <c r="BO292" i="3"/>
  <c r="BN292" i="3"/>
  <c r="BM292" i="3"/>
  <c r="BL292" i="3"/>
  <c r="BK292" i="3"/>
  <c r="BJ292" i="3"/>
  <c r="BI292" i="3"/>
  <c r="BH292" i="3"/>
  <c r="BG292" i="3"/>
  <c r="BE292" i="3"/>
  <c r="BD292" i="3"/>
  <c r="BC292" i="3"/>
  <c r="BB292" i="3"/>
  <c r="BA292" i="3"/>
  <c r="AZ292" i="3"/>
  <c r="AY292" i="3"/>
  <c r="BF292" i="3" s="1"/>
  <c r="AW292" i="3"/>
  <c r="AV292" i="3"/>
  <c r="AU292" i="3"/>
  <c r="AT292" i="3"/>
  <c r="AS292" i="3"/>
  <c r="AR292" i="3"/>
  <c r="AQ292" i="3"/>
  <c r="AX292" i="3" s="1"/>
  <c r="AO292" i="3"/>
  <c r="AN292" i="3"/>
  <c r="AM292" i="3"/>
  <c r="AL292" i="3"/>
  <c r="AK292" i="3"/>
  <c r="AJ292" i="3"/>
  <c r="AI292" i="3"/>
  <c r="AP292" i="3" s="1"/>
  <c r="AE292" i="3"/>
  <c r="AD292" i="3"/>
  <c r="AC292" i="3"/>
  <c r="AB292" i="3"/>
  <c r="AA292" i="3"/>
  <c r="BQ291" i="3"/>
  <c r="BP291" i="3"/>
  <c r="BO291" i="3"/>
  <c r="BN291" i="3"/>
  <c r="BM291" i="3"/>
  <c r="BL291" i="3"/>
  <c r="BK291" i="3"/>
  <c r="BJ291" i="3"/>
  <c r="BI291" i="3"/>
  <c r="BH291" i="3"/>
  <c r="BG291" i="3"/>
  <c r="BE291" i="3"/>
  <c r="BD291" i="3"/>
  <c r="BC291" i="3"/>
  <c r="BB291" i="3"/>
  <c r="BA291" i="3"/>
  <c r="AZ291" i="3"/>
  <c r="AY291" i="3"/>
  <c r="BF291" i="3" s="1"/>
  <c r="AW291" i="3"/>
  <c r="AV291" i="3"/>
  <c r="AU291" i="3"/>
  <c r="AT291" i="3"/>
  <c r="AS291" i="3"/>
  <c r="AR291" i="3"/>
  <c r="AQ291" i="3"/>
  <c r="AX291" i="3" s="1"/>
  <c r="AO291" i="3"/>
  <c r="AN291" i="3"/>
  <c r="AM291" i="3"/>
  <c r="AL291" i="3"/>
  <c r="AK291" i="3"/>
  <c r="AJ291" i="3"/>
  <c r="AI291" i="3"/>
  <c r="AP291" i="3" s="1"/>
  <c r="AE291" i="3"/>
  <c r="AD291" i="3"/>
  <c r="AC291" i="3"/>
  <c r="AB291" i="3"/>
  <c r="AA291" i="3"/>
  <c r="BQ290" i="3"/>
  <c r="BP290" i="3"/>
  <c r="BO290" i="3"/>
  <c r="BN290" i="3"/>
  <c r="BM290" i="3"/>
  <c r="BL290" i="3"/>
  <c r="BK290" i="3"/>
  <c r="BJ290" i="3"/>
  <c r="BI290" i="3"/>
  <c r="BH290" i="3"/>
  <c r="BG290" i="3"/>
  <c r="BE290" i="3"/>
  <c r="BD290" i="3"/>
  <c r="BC290" i="3"/>
  <c r="BB290" i="3"/>
  <c r="BA290" i="3"/>
  <c r="AZ290" i="3"/>
  <c r="AY290" i="3"/>
  <c r="BF290" i="3" s="1"/>
  <c r="AW290" i="3"/>
  <c r="AV290" i="3"/>
  <c r="AU290" i="3"/>
  <c r="AT290" i="3"/>
  <c r="AS290" i="3"/>
  <c r="AR290" i="3"/>
  <c r="AQ290" i="3"/>
  <c r="AX290" i="3" s="1"/>
  <c r="AO290" i="3"/>
  <c r="AN290" i="3"/>
  <c r="AM290" i="3"/>
  <c r="AL290" i="3"/>
  <c r="AK290" i="3"/>
  <c r="AJ290" i="3"/>
  <c r="AI290" i="3"/>
  <c r="AP290" i="3" s="1"/>
  <c r="AE290" i="3"/>
  <c r="AD290" i="3"/>
  <c r="AC290" i="3"/>
  <c r="AB290" i="3"/>
  <c r="AA290" i="3"/>
  <c r="BQ289" i="3"/>
  <c r="BP289" i="3"/>
  <c r="BO289" i="3"/>
  <c r="BN289" i="3"/>
  <c r="BM289" i="3"/>
  <c r="BL289" i="3"/>
  <c r="BK289" i="3"/>
  <c r="BJ289" i="3"/>
  <c r="BI289" i="3"/>
  <c r="BH289" i="3"/>
  <c r="BG289" i="3"/>
  <c r="BE289" i="3"/>
  <c r="BD289" i="3"/>
  <c r="BC289" i="3"/>
  <c r="BB289" i="3"/>
  <c r="BA289" i="3"/>
  <c r="AZ289" i="3"/>
  <c r="AY289" i="3"/>
  <c r="BF289" i="3" s="1"/>
  <c r="AW289" i="3"/>
  <c r="AV289" i="3"/>
  <c r="AU289" i="3"/>
  <c r="AT289" i="3"/>
  <c r="AS289" i="3"/>
  <c r="AR289" i="3"/>
  <c r="AQ289" i="3"/>
  <c r="AX289" i="3" s="1"/>
  <c r="AO289" i="3"/>
  <c r="AN289" i="3"/>
  <c r="AM289" i="3"/>
  <c r="AL289" i="3"/>
  <c r="AK289" i="3"/>
  <c r="AJ289" i="3"/>
  <c r="AI289" i="3"/>
  <c r="AP289" i="3" s="1"/>
  <c r="AE289" i="3"/>
  <c r="AD289" i="3"/>
  <c r="AC289" i="3"/>
  <c r="AB289" i="3"/>
  <c r="AA289" i="3"/>
  <c r="BQ288" i="3"/>
  <c r="BP288" i="3"/>
  <c r="BO288" i="3"/>
  <c r="BN288" i="3"/>
  <c r="BM288" i="3"/>
  <c r="BL288" i="3"/>
  <c r="BK288" i="3"/>
  <c r="BJ288" i="3"/>
  <c r="BI288" i="3"/>
  <c r="BH288" i="3"/>
  <c r="BG288" i="3"/>
  <c r="BE288" i="3"/>
  <c r="BD288" i="3"/>
  <c r="BC288" i="3"/>
  <c r="BB288" i="3"/>
  <c r="BA288" i="3"/>
  <c r="AZ288" i="3"/>
  <c r="AY288" i="3"/>
  <c r="BF288" i="3" s="1"/>
  <c r="AW288" i="3"/>
  <c r="AV288" i="3"/>
  <c r="AU288" i="3"/>
  <c r="AT288" i="3"/>
  <c r="AS288" i="3"/>
  <c r="AR288" i="3"/>
  <c r="AQ288" i="3"/>
  <c r="AX288" i="3" s="1"/>
  <c r="AO288" i="3"/>
  <c r="AN288" i="3"/>
  <c r="AM288" i="3"/>
  <c r="AL288" i="3"/>
  <c r="AK288" i="3"/>
  <c r="AJ288" i="3"/>
  <c r="AI288" i="3"/>
  <c r="AP288" i="3" s="1"/>
  <c r="AE288" i="3"/>
  <c r="AD288" i="3"/>
  <c r="AC288" i="3"/>
  <c r="AB288" i="3"/>
  <c r="AA288" i="3"/>
  <c r="BQ287" i="3"/>
  <c r="BP287" i="3"/>
  <c r="BO287" i="3"/>
  <c r="BN287" i="3"/>
  <c r="BM287" i="3"/>
  <c r="BL287" i="3"/>
  <c r="BK287" i="3"/>
  <c r="BJ287" i="3"/>
  <c r="BI287" i="3"/>
  <c r="BH287" i="3"/>
  <c r="BG287" i="3"/>
  <c r="BE287" i="3"/>
  <c r="BD287" i="3"/>
  <c r="BC287" i="3"/>
  <c r="BB287" i="3"/>
  <c r="BA287" i="3"/>
  <c r="AZ287" i="3"/>
  <c r="AY287" i="3"/>
  <c r="BF287" i="3" s="1"/>
  <c r="AW287" i="3"/>
  <c r="AV287" i="3"/>
  <c r="AU287" i="3"/>
  <c r="AT287" i="3"/>
  <c r="AS287" i="3"/>
  <c r="AR287" i="3"/>
  <c r="AQ287" i="3"/>
  <c r="AX287" i="3" s="1"/>
  <c r="AO287" i="3"/>
  <c r="AN287" i="3"/>
  <c r="AM287" i="3"/>
  <c r="AL287" i="3"/>
  <c r="AK287" i="3"/>
  <c r="AJ287" i="3"/>
  <c r="AI287" i="3"/>
  <c r="AP287" i="3" s="1"/>
  <c r="AE287" i="3"/>
  <c r="AD287" i="3"/>
  <c r="AC287" i="3"/>
  <c r="AB287" i="3"/>
  <c r="AA287" i="3"/>
  <c r="BQ286" i="3"/>
  <c r="BP286" i="3"/>
  <c r="BO286" i="3"/>
  <c r="BN286" i="3"/>
  <c r="BM286" i="3"/>
  <c r="BL286" i="3"/>
  <c r="BK286" i="3"/>
  <c r="BJ286" i="3"/>
  <c r="BI286" i="3"/>
  <c r="BH286" i="3"/>
  <c r="BG286" i="3"/>
  <c r="BE286" i="3"/>
  <c r="BD286" i="3"/>
  <c r="BC286" i="3"/>
  <c r="BB286" i="3"/>
  <c r="BA286" i="3"/>
  <c r="AZ286" i="3"/>
  <c r="AY286" i="3"/>
  <c r="BF286" i="3" s="1"/>
  <c r="AW286" i="3"/>
  <c r="AV286" i="3"/>
  <c r="AU286" i="3"/>
  <c r="AT286" i="3"/>
  <c r="AS286" i="3"/>
  <c r="AR286" i="3"/>
  <c r="AQ286" i="3"/>
  <c r="AX286" i="3" s="1"/>
  <c r="AO286" i="3"/>
  <c r="AN286" i="3"/>
  <c r="AM286" i="3"/>
  <c r="AL286" i="3"/>
  <c r="AK286" i="3"/>
  <c r="AJ286" i="3"/>
  <c r="AI286" i="3"/>
  <c r="AP286" i="3" s="1"/>
  <c r="AE286" i="3"/>
  <c r="AD286" i="3"/>
  <c r="AC286" i="3"/>
  <c r="AA286" i="3" s="1"/>
  <c r="AB286" i="3"/>
  <c r="BQ285" i="3"/>
  <c r="BP285" i="3"/>
  <c r="BO285" i="3"/>
  <c r="BN285" i="3"/>
  <c r="BM285" i="3"/>
  <c r="BL285" i="3"/>
  <c r="BK285" i="3"/>
  <c r="BJ285" i="3"/>
  <c r="BI285" i="3"/>
  <c r="BH285" i="3"/>
  <c r="BG285" i="3"/>
  <c r="BE285" i="3"/>
  <c r="BD285" i="3"/>
  <c r="BC285" i="3"/>
  <c r="BB285" i="3"/>
  <c r="BA285" i="3"/>
  <c r="AZ285" i="3"/>
  <c r="AY285" i="3"/>
  <c r="BF285" i="3" s="1"/>
  <c r="AW285" i="3"/>
  <c r="AV285" i="3"/>
  <c r="AU285" i="3"/>
  <c r="AT285" i="3"/>
  <c r="AS285" i="3"/>
  <c r="AR285" i="3"/>
  <c r="AQ285" i="3"/>
  <c r="AX285" i="3" s="1"/>
  <c r="AO285" i="3"/>
  <c r="AN285" i="3"/>
  <c r="AM285" i="3"/>
  <c r="AL285" i="3"/>
  <c r="AK285" i="3"/>
  <c r="AJ285" i="3"/>
  <c r="AI285" i="3"/>
  <c r="AP285" i="3" s="1"/>
  <c r="AE285" i="3"/>
  <c r="AD285" i="3"/>
  <c r="AC285" i="3"/>
  <c r="AB285" i="3"/>
  <c r="AA285" i="3"/>
  <c r="BQ284" i="3"/>
  <c r="BP284" i="3"/>
  <c r="BO284" i="3"/>
  <c r="BN284" i="3"/>
  <c r="BM284" i="3"/>
  <c r="BL284" i="3"/>
  <c r="BK284" i="3"/>
  <c r="BJ284" i="3"/>
  <c r="BI284" i="3"/>
  <c r="BH284" i="3"/>
  <c r="BG284" i="3"/>
  <c r="BE284" i="3"/>
  <c r="BD284" i="3"/>
  <c r="BC284" i="3"/>
  <c r="BB284" i="3"/>
  <c r="BA284" i="3"/>
  <c r="AZ284" i="3"/>
  <c r="AY284" i="3"/>
  <c r="BF284" i="3" s="1"/>
  <c r="AW284" i="3"/>
  <c r="AV284" i="3"/>
  <c r="AU284" i="3"/>
  <c r="AT284" i="3"/>
  <c r="AS284" i="3"/>
  <c r="AR284" i="3"/>
  <c r="AQ284" i="3"/>
  <c r="AX284" i="3" s="1"/>
  <c r="AO284" i="3"/>
  <c r="AN284" i="3"/>
  <c r="AM284" i="3"/>
  <c r="AL284" i="3"/>
  <c r="AK284" i="3"/>
  <c r="AJ284" i="3"/>
  <c r="AI284" i="3"/>
  <c r="AP284" i="3" s="1"/>
  <c r="AE284" i="3"/>
  <c r="AD284" i="3"/>
  <c r="AC284" i="3"/>
  <c r="AB284" i="3"/>
  <c r="AA284" i="3"/>
  <c r="BQ283" i="3"/>
  <c r="BP283" i="3"/>
  <c r="BO283" i="3"/>
  <c r="BN283" i="3"/>
  <c r="BM283" i="3"/>
  <c r="BL283" i="3"/>
  <c r="BK283" i="3"/>
  <c r="BJ283" i="3"/>
  <c r="BI283" i="3"/>
  <c r="BH283" i="3"/>
  <c r="BG283" i="3"/>
  <c r="BE283" i="3"/>
  <c r="BD283" i="3"/>
  <c r="BC283" i="3"/>
  <c r="BB283" i="3"/>
  <c r="BA283" i="3"/>
  <c r="AZ283" i="3"/>
  <c r="AY283" i="3"/>
  <c r="BF283" i="3" s="1"/>
  <c r="AW283" i="3"/>
  <c r="AV283" i="3"/>
  <c r="AU283" i="3"/>
  <c r="AT283" i="3"/>
  <c r="AS283" i="3"/>
  <c r="AR283" i="3"/>
  <c r="AQ283" i="3"/>
  <c r="AX283" i="3" s="1"/>
  <c r="AO283" i="3"/>
  <c r="AN283" i="3"/>
  <c r="AM283" i="3"/>
  <c r="AL283" i="3"/>
  <c r="AK283" i="3"/>
  <c r="AJ283" i="3"/>
  <c r="AI283" i="3"/>
  <c r="AP283" i="3" s="1"/>
  <c r="AE283" i="3"/>
  <c r="AD283" i="3"/>
  <c r="AC283" i="3"/>
  <c r="AA283" i="3" s="1"/>
  <c r="AB283" i="3"/>
  <c r="BQ282" i="3"/>
  <c r="BP282" i="3"/>
  <c r="BO282" i="3"/>
  <c r="BN282" i="3"/>
  <c r="BM282" i="3"/>
  <c r="BL282" i="3"/>
  <c r="BK282" i="3"/>
  <c r="BJ282" i="3"/>
  <c r="BI282" i="3"/>
  <c r="BH282" i="3"/>
  <c r="BG282" i="3"/>
  <c r="BE282" i="3"/>
  <c r="BD282" i="3"/>
  <c r="BC282" i="3"/>
  <c r="BB282" i="3"/>
  <c r="BA282" i="3"/>
  <c r="AZ282" i="3"/>
  <c r="AY282" i="3"/>
  <c r="BF282" i="3" s="1"/>
  <c r="AW282" i="3"/>
  <c r="AV282" i="3"/>
  <c r="AU282" i="3"/>
  <c r="AT282" i="3"/>
  <c r="AS282" i="3"/>
  <c r="AR282" i="3"/>
  <c r="AQ282" i="3"/>
  <c r="AX282" i="3" s="1"/>
  <c r="AO282" i="3"/>
  <c r="AN282" i="3"/>
  <c r="AM282" i="3"/>
  <c r="AL282" i="3"/>
  <c r="AK282" i="3"/>
  <c r="AJ282" i="3"/>
  <c r="AI282" i="3"/>
  <c r="AP282" i="3" s="1"/>
  <c r="AE282" i="3"/>
  <c r="AD282" i="3"/>
  <c r="AC282" i="3"/>
  <c r="AB282" i="3"/>
  <c r="AA282" i="3"/>
  <c r="BQ281" i="3"/>
  <c r="BP281" i="3"/>
  <c r="BO281" i="3"/>
  <c r="BN281" i="3"/>
  <c r="BM281" i="3"/>
  <c r="BL281" i="3"/>
  <c r="BK281" i="3"/>
  <c r="BJ281" i="3"/>
  <c r="BI281" i="3"/>
  <c r="BH281" i="3"/>
  <c r="BG281" i="3"/>
  <c r="BE281" i="3"/>
  <c r="BD281" i="3"/>
  <c r="BC281" i="3"/>
  <c r="BB281" i="3"/>
  <c r="BA281" i="3"/>
  <c r="AZ281" i="3"/>
  <c r="AY281" i="3"/>
  <c r="BF281" i="3" s="1"/>
  <c r="AW281" i="3"/>
  <c r="AV281" i="3"/>
  <c r="AU281" i="3"/>
  <c r="AT281" i="3"/>
  <c r="AS281" i="3"/>
  <c r="AR281" i="3"/>
  <c r="AQ281" i="3"/>
  <c r="AX281" i="3" s="1"/>
  <c r="AO281" i="3"/>
  <c r="AN281" i="3"/>
  <c r="AM281" i="3"/>
  <c r="AL281" i="3"/>
  <c r="AK281" i="3"/>
  <c r="AJ281" i="3"/>
  <c r="AI281" i="3"/>
  <c r="AP281" i="3" s="1"/>
  <c r="AE281" i="3"/>
  <c r="AD281" i="3"/>
  <c r="AC281" i="3"/>
  <c r="AB281" i="3"/>
  <c r="AA281" i="3"/>
  <c r="BQ280" i="3"/>
  <c r="BP280" i="3"/>
  <c r="BO280" i="3"/>
  <c r="BN280" i="3"/>
  <c r="BM280" i="3"/>
  <c r="BL280" i="3"/>
  <c r="BK280" i="3"/>
  <c r="BJ280" i="3"/>
  <c r="BI280" i="3"/>
  <c r="BH280" i="3"/>
  <c r="BG280" i="3"/>
  <c r="BE280" i="3"/>
  <c r="BD280" i="3"/>
  <c r="BC280" i="3"/>
  <c r="BB280" i="3"/>
  <c r="BA280" i="3"/>
  <c r="AZ280" i="3"/>
  <c r="AY280" i="3"/>
  <c r="BF280" i="3" s="1"/>
  <c r="AW280" i="3"/>
  <c r="AV280" i="3"/>
  <c r="AU280" i="3"/>
  <c r="AT280" i="3"/>
  <c r="AS280" i="3"/>
  <c r="AR280" i="3"/>
  <c r="AQ280" i="3"/>
  <c r="AX280" i="3" s="1"/>
  <c r="AO280" i="3"/>
  <c r="AN280" i="3"/>
  <c r="AM280" i="3"/>
  <c r="AL280" i="3"/>
  <c r="AK280" i="3"/>
  <c r="AJ280" i="3"/>
  <c r="AI280" i="3"/>
  <c r="AP280" i="3" s="1"/>
  <c r="AE280" i="3"/>
  <c r="AD280" i="3"/>
  <c r="AC280" i="3"/>
  <c r="AB280" i="3"/>
  <c r="AA280" i="3"/>
  <c r="BQ279" i="3"/>
  <c r="BP279" i="3"/>
  <c r="BO279" i="3"/>
  <c r="BN279" i="3"/>
  <c r="BM279" i="3"/>
  <c r="BL279" i="3"/>
  <c r="BK279" i="3"/>
  <c r="BJ279" i="3"/>
  <c r="BI279" i="3"/>
  <c r="BH279" i="3"/>
  <c r="BG279" i="3"/>
  <c r="BE279" i="3"/>
  <c r="BD279" i="3"/>
  <c r="BC279" i="3"/>
  <c r="BB279" i="3"/>
  <c r="BA279" i="3"/>
  <c r="AZ279" i="3"/>
  <c r="AY279" i="3"/>
  <c r="BF279" i="3" s="1"/>
  <c r="AW279" i="3"/>
  <c r="AV279" i="3"/>
  <c r="AU279" i="3"/>
  <c r="AT279" i="3"/>
  <c r="AS279" i="3"/>
  <c r="AR279" i="3"/>
  <c r="AQ279" i="3"/>
  <c r="AX279" i="3" s="1"/>
  <c r="AO279" i="3"/>
  <c r="AN279" i="3"/>
  <c r="AM279" i="3"/>
  <c r="AL279" i="3"/>
  <c r="AK279" i="3"/>
  <c r="AJ279" i="3"/>
  <c r="AI279" i="3"/>
  <c r="AP279" i="3" s="1"/>
  <c r="AE279" i="3"/>
  <c r="AD279" i="3"/>
  <c r="AC279" i="3"/>
  <c r="AB279" i="3"/>
  <c r="AA279" i="3"/>
  <c r="BQ278" i="3"/>
  <c r="BP278" i="3"/>
  <c r="BO278" i="3"/>
  <c r="BN278" i="3"/>
  <c r="BM278" i="3"/>
  <c r="BL278" i="3"/>
  <c r="BK278" i="3"/>
  <c r="BJ278" i="3"/>
  <c r="BI278" i="3"/>
  <c r="BH278" i="3"/>
  <c r="BG278" i="3"/>
  <c r="BE278" i="3"/>
  <c r="BD278" i="3"/>
  <c r="BC278" i="3"/>
  <c r="BB278" i="3"/>
  <c r="BA278" i="3"/>
  <c r="AZ278" i="3"/>
  <c r="AY278" i="3"/>
  <c r="BF278" i="3" s="1"/>
  <c r="AW278" i="3"/>
  <c r="AV278" i="3"/>
  <c r="AU278" i="3"/>
  <c r="AT278" i="3"/>
  <c r="AS278" i="3"/>
  <c r="AR278" i="3"/>
  <c r="AQ278" i="3"/>
  <c r="AX278" i="3" s="1"/>
  <c r="AO278" i="3"/>
  <c r="AN278" i="3"/>
  <c r="AM278" i="3"/>
  <c r="AL278" i="3"/>
  <c r="AK278" i="3"/>
  <c r="AJ278" i="3"/>
  <c r="AI278" i="3"/>
  <c r="AP278" i="3" s="1"/>
  <c r="AE278" i="3"/>
  <c r="AD278" i="3"/>
  <c r="AC278" i="3"/>
  <c r="AB278" i="3"/>
  <c r="AA278" i="3"/>
  <c r="BQ277" i="3"/>
  <c r="BP277" i="3"/>
  <c r="BO277" i="3"/>
  <c r="BN277" i="3"/>
  <c r="BM277" i="3"/>
  <c r="BL277" i="3"/>
  <c r="BK277" i="3"/>
  <c r="BJ277" i="3"/>
  <c r="BI277" i="3"/>
  <c r="BH277" i="3"/>
  <c r="BG277" i="3"/>
  <c r="BE277" i="3"/>
  <c r="BD277" i="3"/>
  <c r="BC277" i="3"/>
  <c r="BB277" i="3"/>
  <c r="BA277" i="3"/>
  <c r="AZ277" i="3"/>
  <c r="AY277" i="3"/>
  <c r="BF277" i="3" s="1"/>
  <c r="AW277" i="3"/>
  <c r="AV277" i="3"/>
  <c r="AU277" i="3"/>
  <c r="AT277" i="3"/>
  <c r="AS277" i="3"/>
  <c r="AR277" i="3"/>
  <c r="AQ277" i="3"/>
  <c r="AX277" i="3" s="1"/>
  <c r="AO277" i="3"/>
  <c r="AN277" i="3"/>
  <c r="AM277" i="3"/>
  <c r="AL277" i="3"/>
  <c r="AK277" i="3"/>
  <c r="AJ277" i="3"/>
  <c r="AI277" i="3"/>
  <c r="AP277" i="3" s="1"/>
  <c r="AE277" i="3"/>
  <c r="AD277" i="3"/>
  <c r="AC277" i="3"/>
  <c r="AB277" i="3"/>
  <c r="AA277" i="3"/>
  <c r="BQ276" i="3"/>
  <c r="BP276" i="3"/>
  <c r="BO276" i="3"/>
  <c r="BN276" i="3"/>
  <c r="BM276" i="3"/>
  <c r="BL276" i="3"/>
  <c r="BK276" i="3"/>
  <c r="BJ276" i="3"/>
  <c r="BI276" i="3"/>
  <c r="BH276" i="3"/>
  <c r="BG276" i="3"/>
  <c r="BE276" i="3"/>
  <c r="BD276" i="3"/>
  <c r="BC276" i="3"/>
  <c r="BB276" i="3"/>
  <c r="BA276" i="3"/>
  <c r="AZ276" i="3"/>
  <c r="AY276" i="3"/>
  <c r="BF276" i="3" s="1"/>
  <c r="AW276" i="3"/>
  <c r="AV276" i="3"/>
  <c r="AU276" i="3"/>
  <c r="AT276" i="3"/>
  <c r="AS276" i="3"/>
  <c r="AR276" i="3"/>
  <c r="AQ276" i="3"/>
  <c r="AX276" i="3" s="1"/>
  <c r="AO276" i="3"/>
  <c r="AN276" i="3"/>
  <c r="AM276" i="3"/>
  <c r="AL276" i="3"/>
  <c r="AK276" i="3"/>
  <c r="AJ276" i="3"/>
  <c r="AI276" i="3"/>
  <c r="AP276" i="3" s="1"/>
  <c r="AE276" i="3"/>
  <c r="AD276" i="3"/>
  <c r="AC276" i="3"/>
  <c r="AB276" i="3"/>
  <c r="AA276" i="3"/>
  <c r="BQ275" i="3"/>
  <c r="BP275" i="3"/>
  <c r="BO275" i="3"/>
  <c r="BN275" i="3"/>
  <c r="BM275" i="3"/>
  <c r="BL275" i="3"/>
  <c r="BK275" i="3"/>
  <c r="BJ275" i="3"/>
  <c r="BI275" i="3"/>
  <c r="BH275" i="3"/>
  <c r="BG275" i="3"/>
  <c r="BE275" i="3"/>
  <c r="BD275" i="3"/>
  <c r="BC275" i="3"/>
  <c r="BB275" i="3"/>
  <c r="BA275" i="3"/>
  <c r="AZ275" i="3"/>
  <c r="AY275" i="3"/>
  <c r="BF275" i="3" s="1"/>
  <c r="AW275" i="3"/>
  <c r="AV275" i="3"/>
  <c r="AU275" i="3"/>
  <c r="AT275" i="3"/>
  <c r="AS275" i="3"/>
  <c r="AR275" i="3"/>
  <c r="AQ275" i="3"/>
  <c r="AX275" i="3" s="1"/>
  <c r="AO275" i="3"/>
  <c r="AN275" i="3"/>
  <c r="AM275" i="3"/>
  <c r="AL275" i="3"/>
  <c r="AK275" i="3"/>
  <c r="AJ275" i="3"/>
  <c r="AI275" i="3"/>
  <c r="AP275" i="3" s="1"/>
  <c r="AE275" i="3"/>
  <c r="AD275" i="3"/>
  <c r="AC275" i="3"/>
  <c r="AB275" i="3"/>
  <c r="AA275" i="3"/>
  <c r="BQ274" i="3"/>
  <c r="BP274" i="3"/>
  <c r="BO274" i="3"/>
  <c r="BN274" i="3"/>
  <c r="BM274" i="3"/>
  <c r="BL274" i="3"/>
  <c r="BK274" i="3"/>
  <c r="BJ274" i="3"/>
  <c r="BI274" i="3"/>
  <c r="BH274" i="3"/>
  <c r="BG274" i="3"/>
  <c r="BE274" i="3"/>
  <c r="BD274" i="3"/>
  <c r="BC274" i="3"/>
  <c r="BB274" i="3"/>
  <c r="BA274" i="3"/>
  <c r="AZ274" i="3"/>
  <c r="AY274" i="3"/>
  <c r="BF274" i="3" s="1"/>
  <c r="AW274" i="3"/>
  <c r="AV274" i="3"/>
  <c r="AU274" i="3"/>
  <c r="AT274" i="3"/>
  <c r="AS274" i="3"/>
  <c r="AR274" i="3"/>
  <c r="AQ274" i="3"/>
  <c r="AX274" i="3" s="1"/>
  <c r="AO274" i="3"/>
  <c r="AN274" i="3"/>
  <c r="AM274" i="3"/>
  <c r="AL274" i="3"/>
  <c r="AK274" i="3"/>
  <c r="AJ274" i="3"/>
  <c r="AI274" i="3"/>
  <c r="AP274" i="3" s="1"/>
  <c r="AE274" i="3"/>
  <c r="AD274" i="3"/>
  <c r="AC274" i="3"/>
  <c r="AB274" i="3"/>
  <c r="AA274" i="3"/>
  <c r="BQ273" i="3"/>
  <c r="BP273" i="3"/>
  <c r="BO273" i="3"/>
  <c r="BN273" i="3"/>
  <c r="BM273" i="3"/>
  <c r="BL273" i="3"/>
  <c r="BK273" i="3"/>
  <c r="BJ273" i="3"/>
  <c r="BI273" i="3"/>
  <c r="BH273" i="3"/>
  <c r="BG273" i="3"/>
  <c r="BE273" i="3"/>
  <c r="BD273" i="3"/>
  <c r="BC273" i="3"/>
  <c r="BB273" i="3"/>
  <c r="BA273" i="3"/>
  <c r="AZ273" i="3"/>
  <c r="AY273" i="3"/>
  <c r="BF273" i="3" s="1"/>
  <c r="AW273" i="3"/>
  <c r="AV273" i="3"/>
  <c r="AU273" i="3"/>
  <c r="AT273" i="3"/>
  <c r="AS273" i="3"/>
  <c r="AR273" i="3"/>
  <c r="AQ273" i="3"/>
  <c r="AX273" i="3" s="1"/>
  <c r="AO273" i="3"/>
  <c r="AN273" i="3"/>
  <c r="AM273" i="3"/>
  <c r="AL273" i="3"/>
  <c r="AK273" i="3"/>
  <c r="AJ273" i="3"/>
  <c r="AI273" i="3"/>
  <c r="AP273" i="3" s="1"/>
  <c r="AE273" i="3"/>
  <c r="AD273" i="3"/>
  <c r="AC273" i="3"/>
  <c r="AB273" i="3"/>
  <c r="AA273" i="3"/>
  <c r="BQ272" i="3"/>
  <c r="BP272" i="3"/>
  <c r="BO272" i="3"/>
  <c r="BN272" i="3"/>
  <c r="BM272" i="3"/>
  <c r="BL272" i="3"/>
  <c r="BK272" i="3"/>
  <c r="BJ272" i="3"/>
  <c r="BI272" i="3"/>
  <c r="BH272" i="3"/>
  <c r="BG272" i="3"/>
  <c r="BE272" i="3"/>
  <c r="BD272" i="3"/>
  <c r="BC272" i="3"/>
  <c r="BB272" i="3"/>
  <c r="BA272" i="3"/>
  <c r="AZ272" i="3"/>
  <c r="AY272" i="3"/>
  <c r="BF272" i="3" s="1"/>
  <c r="AW272" i="3"/>
  <c r="AV272" i="3"/>
  <c r="AU272" i="3"/>
  <c r="AT272" i="3"/>
  <c r="AS272" i="3"/>
  <c r="AR272" i="3"/>
  <c r="AQ272" i="3"/>
  <c r="AX272" i="3" s="1"/>
  <c r="AO272" i="3"/>
  <c r="AN272" i="3"/>
  <c r="AM272" i="3"/>
  <c r="AL272" i="3"/>
  <c r="AK272" i="3"/>
  <c r="AJ272" i="3"/>
  <c r="AI272" i="3"/>
  <c r="AP272" i="3" s="1"/>
  <c r="AE272" i="3"/>
  <c r="AD272" i="3"/>
  <c r="AC272" i="3"/>
  <c r="AB272" i="3"/>
  <c r="AA272" i="3"/>
  <c r="BQ271" i="3"/>
  <c r="BP271" i="3"/>
  <c r="BO271" i="3"/>
  <c r="BN271" i="3"/>
  <c r="BM271" i="3"/>
  <c r="BL271" i="3"/>
  <c r="BK271" i="3"/>
  <c r="BJ271" i="3"/>
  <c r="BI271" i="3"/>
  <c r="BH271" i="3"/>
  <c r="BG271" i="3"/>
  <c r="BE271" i="3"/>
  <c r="BD271" i="3"/>
  <c r="BC271" i="3"/>
  <c r="BB271" i="3"/>
  <c r="BA271" i="3"/>
  <c r="AZ271" i="3"/>
  <c r="AY271" i="3"/>
  <c r="BF271" i="3" s="1"/>
  <c r="AW271" i="3"/>
  <c r="AV271" i="3"/>
  <c r="AU271" i="3"/>
  <c r="AT271" i="3"/>
  <c r="AS271" i="3"/>
  <c r="AR271" i="3"/>
  <c r="AQ271" i="3"/>
  <c r="AX271" i="3" s="1"/>
  <c r="AO271" i="3"/>
  <c r="AN271" i="3"/>
  <c r="AM271" i="3"/>
  <c r="AL271" i="3"/>
  <c r="AK271" i="3"/>
  <c r="AJ271" i="3"/>
  <c r="AI271" i="3"/>
  <c r="AP271" i="3" s="1"/>
  <c r="AE271" i="3"/>
  <c r="AD271" i="3"/>
  <c r="AC271" i="3"/>
  <c r="AB271" i="3"/>
  <c r="AA271" i="3"/>
  <c r="BQ270" i="3"/>
  <c r="BP270" i="3"/>
  <c r="BO270" i="3"/>
  <c r="BN270" i="3"/>
  <c r="BM270" i="3"/>
  <c r="BL270" i="3"/>
  <c r="BK270" i="3"/>
  <c r="BJ270" i="3"/>
  <c r="BI270" i="3"/>
  <c r="BH270" i="3"/>
  <c r="BG270" i="3"/>
  <c r="BE270" i="3"/>
  <c r="BD270" i="3"/>
  <c r="BC270" i="3"/>
  <c r="BB270" i="3"/>
  <c r="BA270" i="3"/>
  <c r="AZ270" i="3"/>
  <c r="AY270" i="3"/>
  <c r="BF270" i="3" s="1"/>
  <c r="AW270" i="3"/>
  <c r="AV270" i="3"/>
  <c r="AU270" i="3"/>
  <c r="AT270" i="3"/>
  <c r="AS270" i="3"/>
  <c r="AR270" i="3"/>
  <c r="AQ270" i="3"/>
  <c r="AX270" i="3" s="1"/>
  <c r="AO270" i="3"/>
  <c r="AN270" i="3"/>
  <c r="AM270" i="3"/>
  <c r="AL270" i="3"/>
  <c r="AK270" i="3"/>
  <c r="AJ270" i="3"/>
  <c r="AI270" i="3"/>
  <c r="AP270" i="3" s="1"/>
  <c r="AE270" i="3"/>
  <c r="AD270" i="3"/>
  <c r="AC270" i="3"/>
  <c r="AA270" i="3" s="1"/>
  <c r="AB270" i="3"/>
  <c r="BQ269" i="3"/>
  <c r="BP269" i="3"/>
  <c r="BO269" i="3"/>
  <c r="BN269" i="3"/>
  <c r="BM269" i="3"/>
  <c r="BL269" i="3"/>
  <c r="BK269" i="3"/>
  <c r="BJ269" i="3"/>
  <c r="BI269" i="3"/>
  <c r="BH269" i="3"/>
  <c r="BG269" i="3"/>
  <c r="BE269" i="3"/>
  <c r="BD269" i="3"/>
  <c r="BC269" i="3"/>
  <c r="BB269" i="3"/>
  <c r="BA269" i="3"/>
  <c r="AZ269" i="3"/>
  <c r="AY269" i="3"/>
  <c r="BF269" i="3" s="1"/>
  <c r="AW269" i="3"/>
  <c r="AV269" i="3"/>
  <c r="AU269" i="3"/>
  <c r="AT269" i="3"/>
  <c r="AS269" i="3"/>
  <c r="AR269" i="3"/>
  <c r="AQ269" i="3"/>
  <c r="AX269" i="3" s="1"/>
  <c r="AO269" i="3"/>
  <c r="AN269" i="3"/>
  <c r="AM269" i="3"/>
  <c r="AL269" i="3"/>
  <c r="AK269" i="3"/>
  <c r="AJ269" i="3"/>
  <c r="AI269" i="3"/>
  <c r="AP269" i="3" s="1"/>
  <c r="AE269" i="3"/>
  <c r="AD269" i="3"/>
  <c r="AC269" i="3"/>
  <c r="AB269" i="3"/>
  <c r="AA269" i="3"/>
  <c r="BQ268" i="3"/>
  <c r="BP268" i="3"/>
  <c r="BO268" i="3"/>
  <c r="BN268" i="3"/>
  <c r="BM268" i="3"/>
  <c r="BL268" i="3"/>
  <c r="BK268" i="3"/>
  <c r="BJ268" i="3"/>
  <c r="BI268" i="3"/>
  <c r="BH268" i="3"/>
  <c r="BG268" i="3"/>
  <c r="BE268" i="3"/>
  <c r="BD268" i="3"/>
  <c r="BC268" i="3"/>
  <c r="BB268" i="3"/>
  <c r="BA268" i="3"/>
  <c r="AZ268" i="3"/>
  <c r="AY268" i="3"/>
  <c r="BF268" i="3" s="1"/>
  <c r="AW268" i="3"/>
  <c r="AV268" i="3"/>
  <c r="AU268" i="3"/>
  <c r="AT268" i="3"/>
  <c r="AS268" i="3"/>
  <c r="AR268" i="3"/>
  <c r="AQ268" i="3"/>
  <c r="AX268" i="3" s="1"/>
  <c r="AO268" i="3"/>
  <c r="AN268" i="3"/>
  <c r="AM268" i="3"/>
  <c r="AL268" i="3"/>
  <c r="AK268" i="3"/>
  <c r="AJ268" i="3"/>
  <c r="AI268" i="3"/>
  <c r="AP268" i="3" s="1"/>
  <c r="AE268" i="3"/>
  <c r="AD268" i="3"/>
  <c r="AC268" i="3"/>
  <c r="AB268" i="3"/>
  <c r="AA268" i="3"/>
  <c r="BQ267" i="3"/>
  <c r="BP267" i="3"/>
  <c r="BO267" i="3"/>
  <c r="BN267" i="3"/>
  <c r="BM267" i="3"/>
  <c r="BL267" i="3"/>
  <c r="BK267" i="3"/>
  <c r="BJ267" i="3"/>
  <c r="BI267" i="3"/>
  <c r="BH267" i="3"/>
  <c r="BG267" i="3"/>
  <c r="BE267" i="3"/>
  <c r="BD267" i="3"/>
  <c r="BC267" i="3"/>
  <c r="BB267" i="3"/>
  <c r="BA267" i="3"/>
  <c r="AZ267" i="3"/>
  <c r="AY267" i="3"/>
  <c r="BF267" i="3" s="1"/>
  <c r="AW267" i="3"/>
  <c r="AV267" i="3"/>
  <c r="AU267" i="3"/>
  <c r="AT267" i="3"/>
  <c r="AS267" i="3"/>
  <c r="AR267" i="3"/>
  <c r="AQ267" i="3"/>
  <c r="AX267" i="3" s="1"/>
  <c r="AO267" i="3"/>
  <c r="AN267" i="3"/>
  <c r="AM267" i="3"/>
  <c r="AL267" i="3"/>
  <c r="AK267" i="3"/>
  <c r="AJ267" i="3"/>
  <c r="AI267" i="3"/>
  <c r="AP267" i="3" s="1"/>
  <c r="AE267" i="3"/>
  <c r="AD267" i="3"/>
  <c r="AC267" i="3"/>
  <c r="AA267" i="3" s="1"/>
  <c r="AB267" i="3"/>
  <c r="BQ266" i="3"/>
  <c r="BP266" i="3"/>
  <c r="BO266" i="3"/>
  <c r="BN266" i="3"/>
  <c r="BM266" i="3"/>
  <c r="BL266" i="3"/>
  <c r="BK266" i="3"/>
  <c r="BJ266" i="3"/>
  <c r="BI266" i="3"/>
  <c r="BH266" i="3"/>
  <c r="BG266" i="3"/>
  <c r="BE266" i="3"/>
  <c r="BD266" i="3"/>
  <c r="BC266" i="3"/>
  <c r="BB266" i="3"/>
  <c r="BA266" i="3"/>
  <c r="AZ266" i="3"/>
  <c r="AY266" i="3"/>
  <c r="BF266" i="3" s="1"/>
  <c r="AW266" i="3"/>
  <c r="AV266" i="3"/>
  <c r="AU266" i="3"/>
  <c r="AT266" i="3"/>
  <c r="AS266" i="3"/>
  <c r="AR266" i="3"/>
  <c r="AQ266" i="3"/>
  <c r="AX266" i="3" s="1"/>
  <c r="AO266" i="3"/>
  <c r="AN266" i="3"/>
  <c r="AM266" i="3"/>
  <c r="AL266" i="3"/>
  <c r="AK266" i="3"/>
  <c r="AJ266" i="3"/>
  <c r="AI266" i="3"/>
  <c r="AP266" i="3" s="1"/>
  <c r="AE266" i="3"/>
  <c r="AD266" i="3"/>
  <c r="AC266" i="3"/>
  <c r="AB266" i="3"/>
  <c r="AA266" i="3"/>
  <c r="BQ265" i="3"/>
  <c r="BP265" i="3"/>
  <c r="BO265" i="3"/>
  <c r="BN265" i="3"/>
  <c r="BM265" i="3"/>
  <c r="BL265" i="3"/>
  <c r="BK265" i="3"/>
  <c r="BJ265" i="3"/>
  <c r="BI265" i="3"/>
  <c r="BH265" i="3"/>
  <c r="BG265" i="3"/>
  <c r="BE265" i="3"/>
  <c r="BD265" i="3"/>
  <c r="BC265" i="3"/>
  <c r="BB265" i="3"/>
  <c r="BA265" i="3"/>
  <c r="AZ265" i="3"/>
  <c r="AY265" i="3"/>
  <c r="BF265" i="3" s="1"/>
  <c r="AW265" i="3"/>
  <c r="AV265" i="3"/>
  <c r="AU265" i="3"/>
  <c r="AT265" i="3"/>
  <c r="AS265" i="3"/>
  <c r="AR265" i="3"/>
  <c r="AQ265" i="3"/>
  <c r="AX265" i="3" s="1"/>
  <c r="AO265" i="3"/>
  <c r="AN265" i="3"/>
  <c r="AM265" i="3"/>
  <c r="AL265" i="3"/>
  <c r="AK265" i="3"/>
  <c r="AJ265" i="3"/>
  <c r="AI265" i="3"/>
  <c r="AP265" i="3" s="1"/>
  <c r="AE265" i="3"/>
  <c r="AD265" i="3"/>
  <c r="AC265" i="3"/>
  <c r="AB265" i="3"/>
  <c r="AA265" i="3"/>
  <c r="BQ264" i="3"/>
  <c r="BP264" i="3"/>
  <c r="BO264" i="3"/>
  <c r="BN264" i="3"/>
  <c r="BM264" i="3"/>
  <c r="BL264" i="3"/>
  <c r="BK264" i="3"/>
  <c r="BJ264" i="3"/>
  <c r="BI264" i="3"/>
  <c r="BH264" i="3"/>
  <c r="BG264" i="3"/>
  <c r="BE264" i="3"/>
  <c r="BD264" i="3"/>
  <c r="BC264" i="3"/>
  <c r="BB264" i="3"/>
  <c r="BA264" i="3"/>
  <c r="AZ264" i="3"/>
  <c r="AY264" i="3"/>
  <c r="BF264" i="3" s="1"/>
  <c r="AW264" i="3"/>
  <c r="AV264" i="3"/>
  <c r="AU264" i="3"/>
  <c r="AT264" i="3"/>
  <c r="AS264" i="3"/>
  <c r="AR264" i="3"/>
  <c r="AQ264" i="3"/>
  <c r="AX264" i="3" s="1"/>
  <c r="AO264" i="3"/>
  <c r="AN264" i="3"/>
  <c r="AM264" i="3"/>
  <c r="AL264" i="3"/>
  <c r="AK264" i="3"/>
  <c r="AJ264" i="3"/>
  <c r="AI264" i="3"/>
  <c r="AP264" i="3" s="1"/>
  <c r="AE264" i="3"/>
  <c r="AD264" i="3"/>
  <c r="AC264" i="3"/>
  <c r="AB264" i="3"/>
  <c r="AA264" i="3"/>
  <c r="BQ263" i="3"/>
  <c r="BP263" i="3"/>
  <c r="BO263" i="3"/>
  <c r="BN263" i="3"/>
  <c r="BM263" i="3"/>
  <c r="BL263" i="3"/>
  <c r="BK263" i="3"/>
  <c r="BJ263" i="3"/>
  <c r="BI263" i="3"/>
  <c r="BH263" i="3"/>
  <c r="BG263" i="3"/>
  <c r="BE263" i="3"/>
  <c r="BD263" i="3"/>
  <c r="BC263" i="3"/>
  <c r="BB263" i="3"/>
  <c r="BA263" i="3"/>
  <c r="AZ263" i="3"/>
  <c r="AY263" i="3"/>
  <c r="BF263" i="3" s="1"/>
  <c r="AW263" i="3"/>
  <c r="AV263" i="3"/>
  <c r="AU263" i="3"/>
  <c r="AT263" i="3"/>
  <c r="AS263" i="3"/>
  <c r="AR263" i="3"/>
  <c r="AQ263" i="3"/>
  <c r="AX263" i="3" s="1"/>
  <c r="AO263" i="3"/>
  <c r="AN263" i="3"/>
  <c r="AM263" i="3"/>
  <c r="AL263" i="3"/>
  <c r="AK263" i="3"/>
  <c r="AJ263" i="3"/>
  <c r="AI263" i="3"/>
  <c r="AP263" i="3" s="1"/>
  <c r="AE263" i="3"/>
  <c r="AD263" i="3"/>
  <c r="AC263" i="3"/>
  <c r="AB263" i="3"/>
  <c r="AA263" i="3"/>
  <c r="BQ262" i="3"/>
  <c r="BP262" i="3"/>
  <c r="BO262" i="3"/>
  <c r="BN262" i="3"/>
  <c r="BM262" i="3"/>
  <c r="BL262" i="3"/>
  <c r="BK262" i="3"/>
  <c r="BJ262" i="3"/>
  <c r="BI262" i="3"/>
  <c r="BH262" i="3"/>
  <c r="BG262" i="3"/>
  <c r="BE262" i="3"/>
  <c r="BD262" i="3"/>
  <c r="BC262" i="3"/>
  <c r="BB262" i="3"/>
  <c r="BA262" i="3"/>
  <c r="AZ262" i="3"/>
  <c r="AY262" i="3"/>
  <c r="BF262" i="3" s="1"/>
  <c r="AW262" i="3"/>
  <c r="AV262" i="3"/>
  <c r="AU262" i="3"/>
  <c r="AT262" i="3"/>
  <c r="AS262" i="3"/>
  <c r="AR262" i="3"/>
  <c r="AQ262" i="3"/>
  <c r="AX262" i="3" s="1"/>
  <c r="AO262" i="3"/>
  <c r="AN262" i="3"/>
  <c r="AM262" i="3"/>
  <c r="AL262" i="3"/>
  <c r="AK262" i="3"/>
  <c r="AJ262" i="3"/>
  <c r="AI262" i="3"/>
  <c r="AP262" i="3" s="1"/>
  <c r="AE262" i="3"/>
  <c r="AD262" i="3"/>
  <c r="AC262" i="3"/>
  <c r="AB262" i="3"/>
  <c r="AA262" i="3"/>
  <c r="BQ261" i="3"/>
  <c r="BP261" i="3"/>
  <c r="BO261" i="3"/>
  <c r="BN261" i="3"/>
  <c r="BM261" i="3"/>
  <c r="BL261" i="3"/>
  <c r="BK261" i="3"/>
  <c r="BJ261" i="3"/>
  <c r="BI261" i="3"/>
  <c r="BH261" i="3"/>
  <c r="BG261" i="3"/>
  <c r="BE261" i="3"/>
  <c r="BD261" i="3"/>
  <c r="BC261" i="3"/>
  <c r="BB261" i="3"/>
  <c r="BA261" i="3"/>
  <c r="AZ261" i="3"/>
  <c r="AY261" i="3"/>
  <c r="BF261" i="3" s="1"/>
  <c r="AW261" i="3"/>
  <c r="AV261" i="3"/>
  <c r="AU261" i="3"/>
  <c r="AT261" i="3"/>
  <c r="AS261" i="3"/>
  <c r="AR261" i="3"/>
  <c r="AQ261" i="3"/>
  <c r="AX261" i="3" s="1"/>
  <c r="AO261" i="3"/>
  <c r="AN261" i="3"/>
  <c r="AM261" i="3"/>
  <c r="AL261" i="3"/>
  <c r="AK261" i="3"/>
  <c r="AJ261" i="3"/>
  <c r="AI261" i="3"/>
  <c r="AP261" i="3" s="1"/>
  <c r="AE261" i="3"/>
  <c r="AD261" i="3"/>
  <c r="AC261" i="3"/>
  <c r="AB261" i="3"/>
  <c r="AA261" i="3"/>
  <c r="BQ260" i="3"/>
  <c r="BP260" i="3"/>
  <c r="BO260" i="3"/>
  <c r="BN260" i="3"/>
  <c r="BM260" i="3"/>
  <c r="BL260" i="3"/>
  <c r="BK260" i="3"/>
  <c r="BJ260" i="3"/>
  <c r="BI260" i="3"/>
  <c r="BH260" i="3"/>
  <c r="BG260" i="3"/>
  <c r="BE260" i="3"/>
  <c r="BD260" i="3"/>
  <c r="BC260" i="3"/>
  <c r="BB260" i="3"/>
  <c r="BA260" i="3"/>
  <c r="AZ260" i="3"/>
  <c r="AY260" i="3"/>
  <c r="BF260" i="3" s="1"/>
  <c r="AW260" i="3"/>
  <c r="AV260" i="3"/>
  <c r="AU260" i="3"/>
  <c r="AT260" i="3"/>
  <c r="AS260" i="3"/>
  <c r="AR260" i="3"/>
  <c r="AQ260" i="3"/>
  <c r="AX260" i="3" s="1"/>
  <c r="AO260" i="3"/>
  <c r="AN260" i="3"/>
  <c r="AM260" i="3"/>
  <c r="AL260" i="3"/>
  <c r="AK260" i="3"/>
  <c r="AJ260" i="3"/>
  <c r="AI260" i="3"/>
  <c r="AP260" i="3" s="1"/>
  <c r="AE260" i="3"/>
  <c r="AD260" i="3"/>
  <c r="AC260" i="3"/>
  <c r="AB260" i="3"/>
  <c r="AA260" i="3"/>
  <c r="BQ259" i="3"/>
  <c r="BP259" i="3"/>
  <c r="BO259" i="3"/>
  <c r="BN259" i="3"/>
  <c r="BM259" i="3"/>
  <c r="BL259" i="3"/>
  <c r="BK259" i="3"/>
  <c r="BJ259" i="3"/>
  <c r="BI259" i="3"/>
  <c r="BH259" i="3"/>
  <c r="BG259" i="3"/>
  <c r="BE259" i="3"/>
  <c r="BD259" i="3"/>
  <c r="BC259" i="3"/>
  <c r="BB259" i="3"/>
  <c r="BA259" i="3"/>
  <c r="AZ259" i="3"/>
  <c r="AY259" i="3"/>
  <c r="BF259" i="3" s="1"/>
  <c r="AW259" i="3"/>
  <c r="AV259" i="3"/>
  <c r="AU259" i="3"/>
  <c r="AT259" i="3"/>
  <c r="AS259" i="3"/>
  <c r="AR259" i="3"/>
  <c r="AQ259" i="3"/>
  <c r="AX259" i="3" s="1"/>
  <c r="AO259" i="3"/>
  <c r="AN259" i="3"/>
  <c r="AM259" i="3"/>
  <c r="AL259" i="3"/>
  <c r="AK259" i="3"/>
  <c r="AJ259" i="3"/>
  <c r="AI259" i="3"/>
  <c r="AP259" i="3" s="1"/>
  <c r="AE259" i="3"/>
  <c r="AD259" i="3"/>
  <c r="AC259" i="3"/>
  <c r="AA259" i="3" s="1"/>
  <c r="AB259" i="3"/>
  <c r="BQ258" i="3"/>
  <c r="BP258" i="3"/>
  <c r="BO258" i="3"/>
  <c r="BN258" i="3"/>
  <c r="BM258" i="3"/>
  <c r="BL258" i="3"/>
  <c r="BK258" i="3"/>
  <c r="BJ258" i="3"/>
  <c r="BI258" i="3"/>
  <c r="BH258" i="3"/>
  <c r="BG258" i="3"/>
  <c r="BE258" i="3"/>
  <c r="BD258" i="3"/>
  <c r="BC258" i="3"/>
  <c r="BB258" i="3"/>
  <c r="BA258" i="3"/>
  <c r="AZ258" i="3"/>
  <c r="AY258" i="3"/>
  <c r="BF258" i="3" s="1"/>
  <c r="AW258" i="3"/>
  <c r="AV258" i="3"/>
  <c r="AU258" i="3"/>
  <c r="AT258" i="3"/>
  <c r="AS258" i="3"/>
  <c r="AR258" i="3"/>
  <c r="AQ258" i="3"/>
  <c r="AX258" i="3" s="1"/>
  <c r="AO258" i="3"/>
  <c r="AN258" i="3"/>
  <c r="AM258" i="3"/>
  <c r="AL258" i="3"/>
  <c r="AK258" i="3"/>
  <c r="AJ258" i="3"/>
  <c r="AI258" i="3"/>
  <c r="AP258" i="3" s="1"/>
  <c r="AE258" i="3"/>
  <c r="AD258" i="3"/>
  <c r="AC258" i="3"/>
  <c r="AB258" i="3"/>
  <c r="AA258" i="3"/>
  <c r="BQ257" i="3"/>
  <c r="BP257" i="3"/>
  <c r="BO257" i="3"/>
  <c r="BN257" i="3"/>
  <c r="BM257" i="3"/>
  <c r="BL257" i="3"/>
  <c r="BK257" i="3"/>
  <c r="BJ257" i="3"/>
  <c r="BI257" i="3"/>
  <c r="BH257" i="3"/>
  <c r="BG257" i="3"/>
  <c r="BE257" i="3"/>
  <c r="BD257" i="3"/>
  <c r="BC257" i="3"/>
  <c r="BB257" i="3"/>
  <c r="BA257" i="3"/>
  <c r="AZ257" i="3"/>
  <c r="AY257" i="3"/>
  <c r="BF257" i="3" s="1"/>
  <c r="AW257" i="3"/>
  <c r="AV257" i="3"/>
  <c r="AU257" i="3"/>
  <c r="AT257" i="3"/>
  <c r="AS257" i="3"/>
  <c r="AR257" i="3"/>
  <c r="AQ257" i="3"/>
  <c r="AX257" i="3" s="1"/>
  <c r="AO257" i="3"/>
  <c r="AN257" i="3"/>
  <c r="AM257" i="3"/>
  <c r="AL257" i="3"/>
  <c r="AK257" i="3"/>
  <c r="AJ257" i="3"/>
  <c r="AI257" i="3"/>
  <c r="AP257" i="3" s="1"/>
  <c r="AE257" i="3"/>
  <c r="AD257" i="3"/>
  <c r="AC257" i="3"/>
  <c r="AA257" i="3" s="1"/>
  <c r="AB257" i="3"/>
  <c r="BQ256" i="3"/>
  <c r="BP256" i="3"/>
  <c r="BO256" i="3"/>
  <c r="BN256" i="3"/>
  <c r="BM256" i="3"/>
  <c r="BL256" i="3"/>
  <c r="BK256" i="3"/>
  <c r="BJ256" i="3"/>
  <c r="BI256" i="3"/>
  <c r="BH256" i="3"/>
  <c r="BG256" i="3"/>
  <c r="BE256" i="3"/>
  <c r="BD256" i="3"/>
  <c r="BC256" i="3"/>
  <c r="BB256" i="3"/>
  <c r="BA256" i="3"/>
  <c r="AZ256" i="3"/>
  <c r="AY256" i="3"/>
  <c r="BF256" i="3" s="1"/>
  <c r="AW256" i="3"/>
  <c r="AV256" i="3"/>
  <c r="AU256" i="3"/>
  <c r="AT256" i="3"/>
  <c r="AS256" i="3"/>
  <c r="AR256" i="3"/>
  <c r="AQ256" i="3"/>
  <c r="AX256" i="3" s="1"/>
  <c r="AO256" i="3"/>
  <c r="AN256" i="3"/>
  <c r="AM256" i="3"/>
  <c r="AL256" i="3"/>
  <c r="AK256" i="3"/>
  <c r="AJ256" i="3"/>
  <c r="AI256" i="3"/>
  <c r="AP256" i="3" s="1"/>
  <c r="AE256" i="3"/>
  <c r="AD256" i="3"/>
  <c r="AC256" i="3"/>
  <c r="AB256" i="3"/>
  <c r="AA256" i="3"/>
  <c r="BQ255" i="3"/>
  <c r="BP255" i="3"/>
  <c r="BO255" i="3"/>
  <c r="BN255" i="3"/>
  <c r="BM255" i="3"/>
  <c r="BL255" i="3"/>
  <c r="BK255" i="3"/>
  <c r="BJ255" i="3"/>
  <c r="BI255" i="3"/>
  <c r="BH255" i="3"/>
  <c r="BG255" i="3"/>
  <c r="BE255" i="3"/>
  <c r="BD255" i="3"/>
  <c r="BC255" i="3"/>
  <c r="BB255" i="3"/>
  <c r="BA255" i="3"/>
  <c r="AZ255" i="3"/>
  <c r="AY255" i="3"/>
  <c r="BF255" i="3" s="1"/>
  <c r="AW255" i="3"/>
  <c r="AV255" i="3"/>
  <c r="AU255" i="3"/>
  <c r="AT255" i="3"/>
  <c r="AS255" i="3"/>
  <c r="AR255" i="3"/>
  <c r="AQ255" i="3"/>
  <c r="AX255" i="3" s="1"/>
  <c r="AO255" i="3"/>
  <c r="AN255" i="3"/>
  <c r="AM255" i="3"/>
  <c r="AL255" i="3"/>
  <c r="AK255" i="3"/>
  <c r="AJ255" i="3"/>
  <c r="AI255" i="3"/>
  <c r="AP255" i="3" s="1"/>
  <c r="AE255" i="3"/>
  <c r="AD255" i="3"/>
  <c r="AC255" i="3"/>
  <c r="AA255" i="3" s="1"/>
  <c r="AB255" i="3"/>
  <c r="BQ254" i="3"/>
  <c r="BP254" i="3"/>
  <c r="BO254" i="3"/>
  <c r="BN254" i="3"/>
  <c r="BM254" i="3"/>
  <c r="BL254" i="3"/>
  <c r="BK254" i="3"/>
  <c r="BJ254" i="3"/>
  <c r="BI254" i="3"/>
  <c r="BH254" i="3"/>
  <c r="BG254" i="3"/>
  <c r="BE254" i="3"/>
  <c r="BD254" i="3"/>
  <c r="BC254" i="3"/>
  <c r="BB254" i="3"/>
  <c r="BA254" i="3"/>
  <c r="AZ254" i="3"/>
  <c r="AY254" i="3"/>
  <c r="BF254" i="3" s="1"/>
  <c r="AW254" i="3"/>
  <c r="AV254" i="3"/>
  <c r="AU254" i="3"/>
  <c r="AT254" i="3"/>
  <c r="AS254" i="3"/>
  <c r="AR254" i="3"/>
  <c r="AQ254" i="3"/>
  <c r="AX254" i="3" s="1"/>
  <c r="AO254" i="3"/>
  <c r="AN254" i="3"/>
  <c r="AM254" i="3"/>
  <c r="AL254" i="3"/>
  <c r="AK254" i="3"/>
  <c r="AJ254" i="3"/>
  <c r="AI254" i="3"/>
  <c r="AP254" i="3" s="1"/>
  <c r="AE254" i="3"/>
  <c r="AD254" i="3"/>
  <c r="AC254" i="3"/>
  <c r="AA254" i="3" s="1"/>
  <c r="AB254" i="3"/>
  <c r="BQ253" i="3"/>
  <c r="BP253" i="3"/>
  <c r="BO253" i="3"/>
  <c r="BN253" i="3"/>
  <c r="BM253" i="3"/>
  <c r="BL253" i="3"/>
  <c r="BK253" i="3"/>
  <c r="BJ253" i="3"/>
  <c r="BI253" i="3"/>
  <c r="BH253" i="3"/>
  <c r="BG253" i="3"/>
  <c r="BE253" i="3"/>
  <c r="BD253" i="3"/>
  <c r="BC253" i="3"/>
  <c r="BB253" i="3"/>
  <c r="BA253" i="3"/>
  <c r="AZ253" i="3"/>
  <c r="AY253" i="3"/>
  <c r="BF253" i="3" s="1"/>
  <c r="AW253" i="3"/>
  <c r="AV253" i="3"/>
  <c r="AU253" i="3"/>
  <c r="AT253" i="3"/>
  <c r="AS253" i="3"/>
  <c r="AR253" i="3"/>
  <c r="AQ253" i="3"/>
  <c r="AX253" i="3" s="1"/>
  <c r="AO253" i="3"/>
  <c r="AN253" i="3"/>
  <c r="AM253" i="3"/>
  <c r="AL253" i="3"/>
  <c r="AK253" i="3"/>
  <c r="AJ253" i="3"/>
  <c r="AI253" i="3"/>
  <c r="AP253" i="3" s="1"/>
  <c r="AE253" i="3"/>
  <c r="AD253" i="3"/>
  <c r="AC253" i="3"/>
  <c r="AB253" i="3"/>
  <c r="AA253" i="3"/>
  <c r="BQ252" i="3"/>
  <c r="BP252" i="3"/>
  <c r="BO252" i="3"/>
  <c r="BN252" i="3"/>
  <c r="BM252" i="3"/>
  <c r="BL252" i="3"/>
  <c r="BK252" i="3"/>
  <c r="BJ252" i="3"/>
  <c r="BI252" i="3"/>
  <c r="BH252" i="3"/>
  <c r="BG252" i="3"/>
  <c r="BE252" i="3"/>
  <c r="BD252" i="3"/>
  <c r="BC252" i="3"/>
  <c r="BB252" i="3"/>
  <c r="BA252" i="3"/>
  <c r="AZ252" i="3"/>
  <c r="AY252" i="3"/>
  <c r="BF252" i="3" s="1"/>
  <c r="AW252" i="3"/>
  <c r="AV252" i="3"/>
  <c r="AU252" i="3"/>
  <c r="AT252" i="3"/>
  <c r="AS252" i="3"/>
  <c r="AR252" i="3"/>
  <c r="AQ252" i="3"/>
  <c r="AX252" i="3" s="1"/>
  <c r="AO252" i="3"/>
  <c r="AN252" i="3"/>
  <c r="AM252" i="3"/>
  <c r="AL252" i="3"/>
  <c r="AK252" i="3"/>
  <c r="AJ252" i="3"/>
  <c r="AI252" i="3"/>
  <c r="AP252" i="3" s="1"/>
  <c r="AE252" i="3"/>
  <c r="AD252" i="3"/>
  <c r="AC252" i="3"/>
  <c r="AB252" i="3"/>
  <c r="AA252" i="3"/>
  <c r="BQ251" i="3"/>
  <c r="BP251" i="3"/>
  <c r="BO251" i="3"/>
  <c r="BN251" i="3"/>
  <c r="BM251" i="3"/>
  <c r="BL251" i="3"/>
  <c r="BK251" i="3"/>
  <c r="BJ251" i="3"/>
  <c r="BI251" i="3"/>
  <c r="BH251" i="3"/>
  <c r="BG251" i="3"/>
  <c r="BE251" i="3"/>
  <c r="BD251" i="3"/>
  <c r="BC251" i="3"/>
  <c r="BB251" i="3"/>
  <c r="BA251" i="3"/>
  <c r="AZ251" i="3"/>
  <c r="AY251" i="3"/>
  <c r="BF251" i="3" s="1"/>
  <c r="AW251" i="3"/>
  <c r="AV251" i="3"/>
  <c r="AU251" i="3"/>
  <c r="AT251" i="3"/>
  <c r="AS251" i="3"/>
  <c r="AR251" i="3"/>
  <c r="AQ251" i="3"/>
  <c r="AX251" i="3" s="1"/>
  <c r="AO251" i="3"/>
  <c r="AN251" i="3"/>
  <c r="AM251" i="3"/>
  <c r="AL251" i="3"/>
  <c r="AK251" i="3"/>
  <c r="AJ251" i="3"/>
  <c r="AI251" i="3"/>
  <c r="AP251" i="3" s="1"/>
  <c r="AE251" i="3"/>
  <c r="AD251" i="3"/>
  <c r="AC251" i="3"/>
  <c r="AB251" i="3"/>
  <c r="AA251" i="3"/>
  <c r="BQ250" i="3"/>
  <c r="BP250" i="3"/>
  <c r="BO250" i="3"/>
  <c r="BN250" i="3"/>
  <c r="BM250" i="3"/>
  <c r="BL250" i="3"/>
  <c r="BK250" i="3"/>
  <c r="BJ250" i="3"/>
  <c r="BI250" i="3"/>
  <c r="BH250" i="3"/>
  <c r="BG250" i="3"/>
  <c r="BE250" i="3"/>
  <c r="BD250" i="3"/>
  <c r="BC250" i="3"/>
  <c r="BB250" i="3"/>
  <c r="BA250" i="3"/>
  <c r="AZ250" i="3"/>
  <c r="AY250" i="3"/>
  <c r="BF250" i="3" s="1"/>
  <c r="AW250" i="3"/>
  <c r="AV250" i="3"/>
  <c r="AU250" i="3"/>
  <c r="AT250" i="3"/>
  <c r="AS250" i="3"/>
  <c r="AR250" i="3"/>
  <c r="AQ250" i="3"/>
  <c r="AX250" i="3" s="1"/>
  <c r="AO250" i="3"/>
  <c r="AN250" i="3"/>
  <c r="AM250" i="3"/>
  <c r="AL250" i="3"/>
  <c r="AK250" i="3"/>
  <c r="AJ250" i="3"/>
  <c r="AI250" i="3"/>
  <c r="AP250" i="3" s="1"/>
  <c r="AE250" i="3"/>
  <c r="AD250" i="3"/>
  <c r="AC250" i="3"/>
  <c r="AA250" i="3" s="1"/>
  <c r="AB250" i="3"/>
  <c r="BQ249" i="3"/>
  <c r="BP249" i="3"/>
  <c r="BO249" i="3"/>
  <c r="BN249" i="3"/>
  <c r="BM249" i="3"/>
  <c r="BL249" i="3"/>
  <c r="BK249" i="3"/>
  <c r="BJ249" i="3"/>
  <c r="BI249" i="3"/>
  <c r="BH249" i="3"/>
  <c r="BG249" i="3"/>
  <c r="BE249" i="3"/>
  <c r="BD249" i="3"/>
  <c r="BC249" i="3"/>
  <c r="BB249" i="3"/>
  <c r="BA249" i="3"/>
  <c r="AZ249" i="3"/>
  <c r="AY249" i="3"/>
  <c r="BF249" i="3" s="1"/>
  <c r="AW249" i="3"/>
  <c r="AV249" i="3"/>
  <c r="AU249" i="3"/>
  <c r="AT249" i="3"/>
  <c r="AS249" i="3"/>
  <c r="AR249" i="3"/>
  <c r="AQ249" i="3"/>
  <c r="AX249" i="3" s="1"/>
  <c r="AO249" i="3"/>
  <c r="AN249" i="3"/>
  <c r="AM249" i="3"/>
  <c r="AL249" i="3"/>
  <c r="AK249" i="3"/>
  <c r="AJ249" i="3"/>
  <c r="AI249" i="3"/>
  <c r="AP249" i="3" s="1"/>
  <c r="AE249" i="3"/>
  <c r="AD249" i="3"/>
  <c r="AC249" i="3"/>
  <c r="AB249" i="3"/>
  <c r="AA249" i="3"/>
  <c r="BQ248" i="3"/>
  <c r="BP248" i="3"/>
  <c r="BO248" i="3"/>
  <c r="BN248" i="3"/>
  <c r="BM248" i="3"/>
  <c r="BL248" i="3"/>
  <c r="BK248" i="3"/>
  <c r="BJ248" i="3"/>
  <c r="BI248" i="3"/>
  <c r="BH248" i="3"/>
  <c r="BG248" i="3"/>
  <c r="BE248" i="3"/>
  <c r="BD248" i="3"/>
  <c r="BC248" i="3"/>
  <c r="BB248" i="3"/>
  <c r="BA248" i="3"/>
  <c r="AZ248" i="3"/>
  <c r="AY248" i="3"/>
  <c r="BF248" i="3" s="1"/>
  <c r="AW248" i="3"/>
  <c r="AV248" i="3"/>
  <c r="AU248" i="3"/>
  <c r="AT248" i="3"/>
  <c r="AS248" i="3"/>
  <c r="AR248" i="3"/>
  <c r="AQ248" i="3"/>
  <c r="AX248" i="3" s="1"/>
  <c r="AO248" i="3"/>
  <c r="AN248" i="3"/>
  <c r="AM248" i="3"/>
  <c r="AL248" i="3"/>
  <c r="AK248" i="3"/>
  <c r="AJ248" i="3"/>
  <c r="AI248" i="3"/>
  <c r="AP248" i="3" s="1"/>
  <c r="AE248" i="3"/>
  <c r="AD248" i="3"/>
  <c r="AC248" i="3"/>
  <c r="AB248" i="3"/>
  <c r="AA248" i="3"/>
  <c r="BQ247" i="3"/>
  <c r="BP247" i="3"/>
  <c r="BO247" i="3"/>
  <c r="BN247" i="3"/>
  <c r="BM247" i="3"/>
  <c r="BL247" i="3"/>
  <c r="BK247" i="3"/>
  <c r="BJ247" i="3"/>
  <c r="BI247" i="3"/>
  <c r="BH247" i="3"/>
  <c r="BG247" i="3"/>
  <c r="BE247" i="3"/>
  <c r="BD247" i="3"/>
  <c r="BC247" i="3"/>
  <c r="BB247" i="3"/>
  <c r="BA247" i="3"/>
  <c r="AZ247" i="3"/>
  <c r="AY247" i="3"/>
  <c r="BF247" i="3" s="1"/>
  <c r="AW247" i="3"/>
  <c r="AV247" i="3"/>
  <c r="AU247" i="3"/>
  <c r="AT247" i="3"/>
  <c r="AS247" i="3"/>
  <c r="AR247" i="3"/>
  <c r="AQ247" i="3"/>
  <c r="AX247" i="3" s="1"/>
  <c r="AO247" i="3"/>
  <c r="AN247" i="3"/>
  <c r="AM247" i="3"/>
  <c r="AL247" i="3"/>
  <c r="AK247" i="3"/>
  <c r="AJ247" i="3"/>
  <c r="AI247" i="3"/>
  <c r="AP247" i="3" s="1"/>
  <c r="AE247" i="3"/>
  <c r="AD247" i="3"/>
  <c r="AC247" i="3"/>
  <c r="AB247" i="3"/>
  <c r="AA247" i="3"/>
  <c r="BQ246" i="3"/>
  <c r="BP246" i="3"/>
  <c r="BO246" i="3"/>
  <c r="BN246" i="3"/>
  <c r="BM246" i="3"/>
  <c r="BL246" i="3"/>
  <c r="BK246" i="3"/>
  <c r="BJ246" i="3"/>
  <c r="BI246" i="3"/>
  <c r="BH246" i="3"/>
  <c r="BG246" i="3"/>
  <c r="BE246" i="3"/>
  <c r="BD246" i="3"/>
  <c r="BC246" i="3"/>
  <c r="BB246" i="3"/>
  <c r="BA246" i="3"/>
  <c r="AZ246" i="3"/>
  <c r="AY246" i="3"/>
  <c r="BF246" i="3" s="1"/>
  <c r="AW246" i="3"/>
  <c r="AV246" i="3"/>
  <c r="AU246" i="3"/>
  <c r="AT246" i="3"/>
  <c r="AS246" i="3"/>
  <c r="AR246" i="3"/>
  <c r="AQ246" i="3"/>
  <c r="AX246" i="3" s="1"/>
  <c r="AO246" i="3"/>
  <c r="AN246" i="3"/>
  <c r="AM246" i="3"/>
  <c r="AL246" i="3"/>
  <c r="AK246" i="3"/>
  <c r="AJ246" i="3"/>
  <c r="AI246" i="3"/>
  <c r="AP246" i="3" s="1"/>
  <c r="AE246" i="3"/>
  <c r="AD246" i="3"/>
  <c r="AC246" i="3"/>
  <c r="AA246" i="3" s="1"/>
  <c r="AB246" i="3"/>
  <c r="BQ245" i="3"/>
  <c r="BP245" i="3"/>
  <c r="BO245" i="3"/>
  <c r="BN245" i="3"/>
  <c r="BM245" i="3"/>
  <c r="BL245" i="3"/>
  <c r="BK245" i="3"/>
  <c r="BJ245" i="3"/>
  <c r="BI245" i="3"/>
  <c r="BH245" i="3"/>
  <c r="BG245" i="3"/>
  <c r="BE245" i="3"/>
  <c r="BD245" i="3"/>
  <c r="BC245" i="3"/>
  <c r="BB245" i="3"/>
  <c r="BA245" i="3"/>
  <c r="AZ245" i="3"/>
  <c r="AY245" i="3"/>
  <c r="BF245" i="3" s="1"/>
  <c r="AW245" i="3"/>
  <c r="AV245" i="3"/>
  <c r="AU245" i="3"/>
  <c r="AT245" i="3"/>
  <c r="AS245" i="3"/>
  <c r="AR245" i="3"/>
  <c r="AQ245" i="3"/>
  <c r="AX245" i="3" s="1"/>
  <c r="AO245" i="3"/>
  <c r="AN245" i="3"/>
  <c r="AM245" i="3"/>
  <c r="AL245" i="3"/>
  <c r="AK245" i="3"/>
  <c r="AJ245" i="3"/>
  <c r="AI245" i="3"/>
  <c r="AP245" i="3" s="1"/>
  <c r="AE245" i="3"/>
  <c r="AD245" i="3"/>
  <c r="AC245" i="3"/>
  <c r="AB245" i="3"/>
  <c r="AA245" i="3"/>
  <c r="BQ244" i="3"/>
  <c r="BP244" i="3"/>
  <c r="BO244" i="3"/>
  <c r="BN244" i="3"/>
  <c r="BM244" i="3"/>
  <c r="BL244" i="3"/>
  <c r="BK244" i="3"/>
  <c r="BJ244" i="3"/>
  <c r="BI244" i="3"/>
  <c r="BH244" i="3"/>
  <c r="BG244" i="3"/>
  <c r="BE244" i="3"/>
  <c r="BD244" i="3"/>
  <c r="BC244" i="3"/>
  <c r="BB244" i="3"/>
  <c r="BA244" i="3"/>
  <c r="AZ244" i="3"/>
  <c r="AY244" i="3"/>
  <c r="BF244" i="3" s="1"/>
  <c r="AW244" i="3"/>
  <c r="AV244" i="3"/>
  <c r="AU244" i="3"/>
  <c r="AT244" i="3"/>
  <c r="AS244" i="3"/>
  <c r="AR244" i="3"/>
  <c r="AQ244" i="3"/>
  <c r="AX244" i="3" s="1"/>
  <c r="AO244" i="3"/>
  <c r="AN244" i="3"/>
  <c r="AM244" i="3"/>
  <c r="AL244" i="3"/>
  <c r="AK244" i="3"/>
  <c r="AJ244" i="3"/>
  <c r="AI244" i="3"/>
  <c r="AP244" i="3" s="1"/>
  <c r="AE244" i="3"/>
  <c r="AD244" i="3"/>
  <c r="AC244" i="3"/>
  <c r="AB244" i="3"/>
  <c r="AA244" i="3"/>
  <c r="BQ243" i="3"/>
  <c r="BP243" i="3"/>
  <c r="BO243" i="3"/>
  <c r="BN243" i="3"/>
  <c r="BM243" i="3"/>
  <c r="BL243" i="3"/>
  <c r="BK243" i="3"/>
  <c r="BJ243" i="3"/>
  <c r="BI243" i="3"/>
  <c r="BH243" i="3"/>
  <c r="BG243" i="3"/>
  <c r="BE243" i="3"/>
  <c r="BD243" i="3"/>
  <c r="BC243" i="3"/>
  <c r="BB243" i="3"/>
  <c r="BA243" i="3"/>
  <c r="AZ243" i="3"/>
  <c r="AY243" i="3"/>
  <c r="BF243" i="3" s="1"/>
  <c r="AW243" i="3"/>
  <c r="AV243" i="3"/>
  <c r="AU243" i="3"/>
  <c r="AT243" i="3"/>
  <c r="AS243" i="3"/>
  <c r="AR243" i="3"/>
  <c r="AQ243" i="3"/>
  <c r="AX243" i="3" s="1"/>
  <c r="AO243" i="3"/>
  <c r="AN243" i="3"/>
  <c r="AM243" i="3"/>
  <c r="AL243" i="3"/>
  <c r="AK243" i="3"/>
  <c r="AJ243" i="3"/>
  <c r="AI243" i="3"/>
  <c r="AP243" i="3" s="1"/>
  <c r="AE243" i="3"/>
  <c r="AD243" i="3"/>
  <c r="AC243" i="3"/>
  <c r="AB243" i="3"/>
  <c r="AA243" i="3"/>
  <c r="BQ242" i="3"/>
  <c r="BP242" i="3"/>
  <c r="BO242" i="3"/>
  <c r="BN242" i="3"/>
  <c r="BM242" i="3"/>
  <c r="BL242" i="3"/>
  <c r="BK242" i="3"/>
  <c r="BJ242" i="3"/>
  <c r="BI242" i="3"/>
  <c r="BH242" i="3"/>
  <c r="BG242" i="3"/>
  <c r="BE242" i="3"/>
  <c r="BD242" i="3"/>
  <c r="BC242" i="3"/>
  <c r="BB242" i="3"/>
  <c r="BA242" i="3"/>
  <c r="AZ242" i="3"/>
  <c r="AY242" i="3"/>
  <c r="BF242" i="3" s="1"/>
  <c r="AW242" i="3"/>
  <c r="AV242" i="3"/>
  <c r="AU242" i="3"/>
  <c r="AT242" i="3"/>
  <c r="AS242" i="3"/>
  <c r="AR242" i="3"/>
  <c r="AQ242" i="3"/>
  <c r="AX242" i="3" s="1"/>
  <c r="AO242" i="3"/>
  <c r="AN242" i="3"/>
  <c r="AM242" i="3"/>
  <c r="AL242" i="3"/>
  <c r="AK242" i="3"/>
  <c r="AJ242" i="3"/>
  <c r="AI242" i="3"/>
  <c r="AP242" i="3" s="1"/>
  <c r="AE242" i="3"/>
  <c r="AD242" i="3"/>
  <c r="AC242" i="3"/>
  <c r="AB242" i="3"/>
  <c r="AA242" i="3"/>
  <c r="BQ241" i="3"/>
  <c r="BP241" i="3"/>
  <c r="BO241" i="3"/>
  <c r="BN241" i="3"/>
  <c r="BM241" i="3"/>
  <c r="BL241" i="3"/>
  <c r="BK241" i="3"/>
  <c r="BJ241" i="3"/>
  <c r="BI241" i="3"/>
  <c r="BH241" i="3"/>
  <c r="BG241" i="3"/>
  <c r="BE241" i="3"/>
  <c r="BD241" i="3"/>
  <c r="BC241" i="3"/>
  <c r="BB241" i="3"/>
  <c r="BA241" i="3"/>
  <c r="AZ241" i="3"/>
  <c r="AY241" i="3"/>
  <c r="BF241" i="3" s="1"/>
  <c r="AW241" i="3"/>
  <c r="AV241" i="3"/>
  <c r="AU241" i="3"/>
  <c r="AT241" i="3"/>
  <c r="AS241" i="3"/>
  <c r="AR241" i="3"/>
  <c r="AQ241" i="3"/>
  <c r="AX241" i="3" s="1"/>
  <c r="AO241" i="3"/>
  <c r="AN241" i="3"/>
  <c r="AM241" i="3"/>
  <c r="AL241" i="3"/>
  <c r="AK241" i="3"/>
  <c r="AJ241" i="3"/>
  <c r="AI241" i="3"/>
  <c r="AP241" i="3" s="1"/>
  <c r="AE241" i="3"/>
  <c r="AD241" i="3"/>
  <c r="AC241" i="3"/>
  <c r="AA241" i="3" s="1"/>
  <c r="AB241" i="3"/>
  <c r="BQ240" i="3"/>
  <c r="BP240" i="3"/>
  <c r="BO240" i="3"/>
  <c r="BN240" i="3"/>
  <c r="BM240" i="3"/>
  <c r="BL240" i="3"/>
  <c r="BK240" i="3"/>
  <c r="BJ240" i="3"/>
  <c r="BI240" i="3"/>
  <c r="BH240" i="3"/>
  <c r="BG240" i="3"/>
  <c r="BE240" i="3"/>
  <c r="BD240" i="3"/>
  <c r="BC240" i="3"/>
  <c r="BB240" i="3"/>
  <c r="BA240" i="3"/>
  <c r="AZ240" i="3"/>
  <c r="AY240" i="3"/>
  <c r="BF240" i="3" s="1"/>
  <c r="AW240" i="3"/>
  <c r="AV240" i="3"/>
  <c r="AU240" i="3"/>
  <c r="AT240" i="3"/>
  <c r="AS240" i="3"/>
  <c r="AR240" i="3"/>
  <c r="AQ240" i="3"/>
  <c r="AX240" i="3" s="1"/>
  <c r="AO240" i="3"/>
  <c r="AN240" i="3"/>
  <c r="AM240" i="3"/>
  <c r="AL240" i="3"/>
  <c r="AK240" i="3"/>
  <c r="AJ240" i="3"/>
  <c r="AI240" i="3"/>
  <c r="AP240" i="3" s="1"/>
  <c r="AE240" i="3"/>
  <c r="AD240" i="3"/>
  <c r="AC240" i="3"/>
  <c r="AB240" i="3"/>
  <c r="AA240" i="3"/>
  <c r="BQ239" i="3"/>
  <c r="BP239" i="3"/>
  <c r="BO239" i="3"/>
  <c r="BN239" i="3"/>
  <c r="BM239" i="3"/>
  <c r="BL239" i="3"/>
  <c r="BK239" i="3"/>
  <c r="BJ239" i="3"/>
  <c r="BI239" i="3"/>
  <c r="BH239" i="3"/>
  <c r="BG239" i="3"/>
  <c r="BE239" i="3"/>
  <c r="BD239" i="3"/>
  <c r="BC239" i="3"/>
  <c r="BB239" i="3"/>
  <c r="BA239" i="3"/>
  <c r="AZ239" i="3"/>
  <c r="AY239" i="3"/>
  <c r="BF239" i="3" s="1"/>
  <c r="AW239" i="3"/>
  <c r="AV239" i="3"/>
  <c r="AU239" i="3"/>
  <c r="AT239" i="3"/>
  <c r="AS239" i="3"/>
  <c r="AR239" i="3"/>
  <c r="AQ239" i="3"/>
  <c r="AX239" i="3" s="1"/>
  <c r="AO239" i="3"/>
  <c r="AN239" i="3"/>
  <c r="AM239" i="3"/>
  <c r="AL239" i="3"/>
  <c r="AK239" i="3"/>
  <c r="AJ239" i="3"/>
  <c r="AI239" i="3"/>
  <c r="AP239" i="3" s="1"/>
  <c r="AE239" i="3"/>
  <c r="AD239" i="3"/>
  <c r="AC239" i="3"/>
  <c r="AB239" i="3"/>
  <c r="AA239" i="3"/>
  <c r="BQ238" i="3"/>
  <c r="BP238" i="3"/>
  <c r="BO238" i="3"/>
  <c r="BN238" i="3"/>
  <c r="BM238" i="3"/>
  <c r="BL238" i="3"/>
  <c r="BK238" i="3"/>
  <c r="BJ238" i="3"/>
  <c r="BI238" i="3"/>
  <c r="BH238" i="3"/>
  <c r="BG238" i="3"/>
  <c r="BE238" i="3"/>
  <c r="BD238" i="3"/>
  <c r="BC238" i="3"/>
  <c r="BB238" i="3"/>
  <c r="BA238" i="3"/>
  <c r="AZ238" i="3"/>
  <c r="AY238" i="3"/>
  <c r="BF238" i="3" s="1"/>
  <c r="AW238" i="3"/>
  <c r="AV238" i="3"/>
  <c r="AU238" i="3"/>
  <c r="AT238" i="3"/>
  <c r="AS238" i="3"/>
  <c r="AR238" i="3"/>
  <c r="AQ238" i="3"/>
  <c r="AX238" i="3" s="1"/>
  <c r="AO238" i="3"/>
  <c r="AN238" i="3"/>
  <c r="AM238" i="3"/>
  <c r="AL238" i="3"/>
  <c r="AK238" i="3"/>
  <c r="AJ238" i="3"/>
  <c r="AI238" i="3"/>
  <c r="AP238" i="3" s="1"/>
  <c r="AE238" i="3"/>
  <c r="AD238" i="3"/>
  <c r="AC238" i="3"/>
  <c r="AB238" i="3"/>
  <c r="AA238" i="3"/>
  <c r="BQ237" i="3"/>
  <c r="BP237" i="3"/>
  <c r="BO237" i="3"/>
  <c r="BN237" i="3"/>
  <c r="BM237" i="3"/>
  <c r="BL237" i="3"/>
  <c r="BK237" i="3"/>
  <c r="BJ237" i="3"/>
  <c r="BI237" i="3"/>
  <c r="BH237" i="3"/>
  <c r="BG237" i="3"/>
  <c r="BE237" i="3"/>
  <c r="BD237" i="3"/>
  <c r="BC237" i="3"/>
  <c r="BB237" i="3"/>
  <c r="BA237" i="3"/>
  <c r="AZ237" i="3"/>
  <c r="AY237" i="3"/>
  <c r="BF237" i="3" s="1"/>
  <c r="AW237" i="3"/>
  <c r="AV237" i="3"/>
  <c r="AU237" i="3"/>
  <c r="AT237" i="3"/>
  <c r="AS237" i="3"/>
  <c r="AR237" i="3"/>
  <c r="AQ237" i="3"/>
  <c r="AX237" i="3" s="1"/>
  <c r="AO237" i="3"/>
  <c r="AN237" i="3"/>
  <c r="AM237" i="3"/>
  <c r="AL237" i="3"/>
  <c r="AK237" i="3"/>
  <c r="AJ237" i="3"/>
  <c r="AI237" i="3"/>
  <c r="AP237" i="3" s="1"/>
  <c r="AE237" i="3"/>
  <c r="AD237" i="3"/>
  <c r="AC237" i="3"/>
  <c r="AB237" i="3"/>
  <c r="AA237" i="3"/>
  <c r="BQ236" i="3"/>
  <c r="BP236" i="3"/>
  <c r="BO236" i="3"/>
  <c r="BN236" i="3"/>
  <c r="BM236" i="3"/>
  <c r="BL236" i="3"/>
  <c r="BK236" i="3"/>
  <c r="BJ236" i="3"/>
  <c r="BI236" i="3"/>
  <c r="BH236" i="3"/>
  <c r="BG236" i="3"/>
  <c r="BE236" i="3"/>
  <c r="BD236" i="3"/>
  <c r="BC236" i="3"/>
  <c r="BB236" i="3"/>
  <c r="BA236" i="3"/>
  <c r="AZ236" i="3"/>
  <c r="AY236" i="3"/>
  <c r="BF236" i="3" s="1"/>
  <c r="AW236" i="3"/>
  <c r="AV236" i="3"/>
  <c r="AU236" i="3"/>
  <c r="AT236" i="3"/>
  <c r="AS236" i="3"/>
  <c r="AR236" i="3"/>
  <c r="AQ236" i="3"/>
  <c r="AX236" i="3" s="1"/>
  <c r="AO236" i="3"/>
  <c r="AN236" i="3"/>
  <c r="AM236" i="3"/>
  <c r="AL236" i="3"/>
  <c r="AK236" i="3"/>
  <c r="AJ236" i="3"/>
  <c r="AI236" i="3"/>
  <c r="AP236" i="3" s="1"/>
  <c r="AE236" i="3"/>
  <c r="AD236" i="3"/>
  <c r="AC236" i="3"/>
  <c r="AB236" i="3"/>
  <c r="AA236" i="3"/>
  <c r="BQ235" i="3"/>
  <c r="BP235" i="3"/>
  <c r="BO235" i="3"/>
  <c r="BN235" i="3"/>
  <c r="BM235" i="3"/>
  <c r="BL235" i="3"/>
  <c r="BK235" i="3"/>
  <c r="BJ235" i="3"/>
  <c r="BI235" i="3"/>
  <c r="BH235" i="3"/>
  <c r="BG235" i="3"/>
  <c r="BE235" i="3"/>
  <c r="BD235" i="3"/>
  <c r="BC235" i="3"/>
  <c r="BB235" i="3"/>
  <c r="BA235" i="3"/>
  <c r="AZ235" i="3"/>
  <c r="AY235" i="3"/>
  <c r="BF235" i="3" s="1"/>
  <c r="AW235" i="3"/>
  <c r="AV235" i="3"/>
  <c r="AU235" i="3"/>
  <c r="AT235" i="3"/>
  <c r="AS235" i="3"/>
  <c r="AR235" i="3"/>
  <c r="AQ235" i="3"/>
  <c r="AX235" i="3" s="1"/>
  <c r="AO235" i="3"/>
  <c r="AN235" i="3"/>
  <c r="AM235" i="3"/>
  <c r="AL235" i="3"/>
  <c r="AK235" i="3"/>
  <c r="AJ235" i="3"/>
  <c r="AI235" i="3"/>
  <c r="AP235" i="3" s="1"/>
  <c r="AE235" i="3"/>
  <c r="AD235" i="3"/>
  <c r="AC235" i="3"/>
  <c r="AA235" i="3" s="1"/>
  <c r="AB235" i="3"/>
  <c r="BQ234" i="3"/>
  <c r="BP234" i="3"/>
  <c r="BO234" i="3"/>
  <c r="BN234" i="3"/>
  <c r="BM234" i="3"/>
  <c r="BL234" i="3"/>
  <c r="BK234" i="3"/>
  <c r="BJ234" i="3"/>
  <c r="BI234" i="3"/>
  <c r="BH234" i="3"/>
  <c r="BG234" i="3"/>
  <c r="BE234" i="3"/>
  <c r="BD234" i="3"/>
  <c r="BC234" i="3"/>
  <c r="BB234" i="3"/>
  <c r="BA234" i="3"/>
  <c r="AZ234" i="3"/>
  <c r="AY234" i="3"/>
  <c r="BF234" i="3" s="1"/>
  <c r="AW234" i="3"/>
  <c r="AV234" i="3"/>
  <c r="AU234" i="3"/>
  <c r="AT234" i="3"/>
  <c r="AS234" i="3"/>
  <c r="AR234" i="3"/>
  <c r="AQ234" i="3"/>
  <c r="AX234" i="3" s="1"/>
  <c r="AO234" i="3"/>
  <c r="AN234" i="3"/>
  <c r="AM234" i="3"/>
  <c r="AL234" i="3"/>
  <c r="AK234" i="3"/>
  <c r="AJ234" i="3"/>
  <c r="AI234" i="3"/>
  <c r="AP234" i="3" s="1"/>
  <c r="AE234" i="3"/>
  <c r="AD234" i="3"/>
  <c r="AC234" i="3"/>
  <c r="AB234" i="3"/>
  <c r="AA234" i="3"/>
  <c r="BQ233" i="3"/>
  <c r="BP233" i="3"/>
  <c r="BO233" i="3"/>
  <c r="BN233" i="3"/>
  <c r="BM233" i="3"/>
  <c r="BL233" i="3"/>
  <c r="BK233" i="3"/>
  <c r="BJ233" i="3"/>
  <c r="BI233" i="3"/>
  <c r="BH233" i="3"/>
  <c r="BG233" i="3"/>
  <c r="BE233" i="3"/>
  <c r="BD233" i="3"/>
  <c r="BC233" i="3"/>
  <c r="BB233" i="3"/>
  <c r="BA233" i="3"/>
  <c r="AZ233" i="3"/>
  <c r="AY233" i="3"/>
  <c r="BF233" i="3" s="1"/>
  <c r="AW233" i="3"/>
  <c r="AV233" i="3"/>
  <c r="AU233" i="3"/>
  <c r="AT233" i="3"/>
  <c r="AS233" i="3"/>
  <c r="AR233" i="3"/>
  <c r="AQ233" i="3"/>
  <c r="AX233" i="3" s="1"/>
  <c r="AO233" i="3"/>
  <c r="AN233" i="3"/>
  <c r="AM233" i="3"/>
  <c r="AL233" i="3"/>
  <c r="AK233" i="3"/>
  <c r="AJ233" i="3"/>
  <c r="AI233" i="3"/>
  <c r="AP233" i="3" s="1"/>
  <c r="AE233" i="3"/>
  <c r="AD233" i="3"/>
  <c r="AC233" i="3"/>
  <c r="AB233" i="3"/>
  <c r="AA233" i="3"/>
  <c r="BQ232" i="3"/>
  <c r="BP232" i="3"/>
  <c r="BO232" i="3"/>
  <c r="BN232" i="3"/>
  <c r="BM232" i="3"/>
  <c r="BL232" i="3"/>
  <c r="BK232" i="3"/>
  <c r="BJ232" i="3"/>
  <c r="BI232" i="3"/>
  <c r="BH232" i="3"/>
  <c r="BG232" i="3"/>
  <c r="BE232" i="3"/>
  <c r="BD232" i="3"/>
  <c r="BC232" i="3"/>
  <c r="BB232" i="3"/>
  <c r="BA232" i="3"/>
  <c r="AZ232" i="3"/>
  <c r="AY232" i="3"/>
  <c r="BF232" i="3" s="1"/>
  <c r="AW232" i="3"/>
  <c r="AV232" i="3"/>
  <c r="AU232" i="3"/>
  <c r="AT232" i="3"/>
  <c r="AS232" i="3"/>
  <c r="AR232" i="3"/>
  <c r="AQ232" i="3"/>
  <c r="AX232" i="3" s="1"/>
  <c r="AO232" i="3"/>
  <c r="AN232" i="3"/>
  <c r="AM232" i="3"/>
  <c r="AL232" i="3"/>
  <c r="AK232" i="3"/>
  <c r="AJ232" i="3"/>
  <c r="AI232" i="3"/>
  <c r="AP232" i="3" s="1"/>
  <c r="AE232" i="3"/>
  <c r="AD232" i="3"/>
  <c r="AC232" i="3"/>
  <c r="AB232" i="3"/>
  <c r="AA232" i="3"/>
  <c r="BQ231" i="3"/>
  <c r="BP231" i="3"/>
  <c r="BO231" i="3"/>
  <c r="BN231" i="3"/>
  <c r="BM231" i="3"/>
  <c r="BL231" i="3"/>
  <c r="BK231" i="3"/>
  <c r="BJ231" i="3"/>
  <c r="BI231" i="3"/>
  <c r="BH231" i="3"/>
  <c r="BG231" i="3"/>
  <c r="BE231" i="3"/>
  <c r="BD231" i="3"/>
  <c r="BC231" i="3"/>
  <c r="BB231" i="3"/>
  <c r="BA231" i="3"/>
  <c r="AZ231" i="3"/>
  <c r="AY231" i="3"/>
  <c r="BF231" i="3" s="1"/>
  <c r="AW231" i="3"/>
  <c r="AV231" i="3"/>
  <c r="AU231" i="3"/>
  <c r="AT231" i="3"/>
  <c r="AS231" i="3"/>
  <c r="AR231" i="3"/>
  <c r="AQ231" i="3"/>
  <c r="AX231" i="3" s="1"/>
  <c r="AO231" i="3"/>
  <c r="AN231" i="3"/>
  <c r="AM231" i="3"/>
  <c r="AL231" i="3"/>
  <c r="AK231" i="3"/>
  <c r="AJ231" i="3"/>
  <c r="AI231" i="3"/>
  <c r="AP231" i="3" s="1"/>
  <c r="AE231" i="3"/>
  <c r="AD231" i="3"/>
  <c r="AC231" i="3"/>
  <c r="AB231" i="3"/>
  <c r="AA231" i="3"/>
  <c r="BQ230" i="3"/>
  <c r="BP230" i="3"/>
  <c r="BO230" i="3"/>
  <c r="BN230" i="3"/>
  <c r="BM230" i="3"/>
  <c r="BL230" i="3"/>
  <c r="BK230" i="3"/>
  <c r="BJ230" i="3"/>
  <c r="BI230" i="3"/>
  <c r="BH230" i="3"/>
  <c r="BG230" i="3"/>
  <c r="BE230" i="3"/>
  <c r="BD230" i="3"/>
  <c r="BC230" i="3"/>
  <c r="BB230" i="3"/>
  <c r="BA230" i="3"/>
  <c r="AZ230" i="3"/>
  <c r="AY230" i="3"/>
  <c r="BF230" i="3" s="1"/>
  <c r="AW230" i="3"/>
  <c r="AV230" i="3"/>
  <c r="AU230" i="3"/>
  <c r="AT230" i="3"/>
  <c r="AS230" i="3"/>
  <c r="AR230" i="3"/>
  <c r="AQ230" i="3"/>
  <c r="AX230" i="3" s="1"/>
  <c r="AO230" i="3"/>
  <c r="AN230" i="3"/>
  <c r="AM230" i="3"/>
  <c r="AL230" i="3"/>
  <c r="AK230" i="3"/>
  <c r="AJ230" i="3"/>
  <c r="AI230" i="3"/>
  <c r="AP230" i="3" s="1"/>
  <c r="AE230" i="3"/>
  <c r="AD230" i="3"/>
  <c r="AC230" i="3"/>
  <c r="AB230" i="3"/>
  <c r="AA230" i="3"/>
  <c r="BQ229" i="3"/>
  <c r="BP229" i="3"/>
  <c r="BO229" i="3"/>
  <c r="BN229" i="3"/>
  <c r="BM229" i="3"/>
  <c r="BL229" i="3"/>
  <c r="BK229" i="3"/>
  <c r="BJ229" i="3"/>
  <c r="BI229" i="3"/>
  <c r="BH229" i="3"/>
  <c r="BG229" i="3"/>
  <c r="BE229" i="3"/>
  <c r="BD229" i="3"/>
  <c r="BC229" i="3"/>
  <c r="BB229" i="3"/>
  <c r="BA229" i="3"/>
  <c r="AZ229" i="3"/>
  <c r="AY229" i="3"/>
  <c r="BF229" i="3" s="1"/>
  <c r="AW229" i="3"/>
  <c r="AV229" i="3"/>
  <c r="AU229" i="3"/>
  <c r="AT229" i="3"/>
  <c r="AS229" i="3"/>
  <c r="AR229" i="3"/>
  <c r="AQ229" i="3"/>
  <c r="AX229" i="3" s="1"/>
  <c r="AO229" i="3"/>
  <c r="AN229" i="3"/>
  <c r="AM229" i="3"/>
  <c r="AL229" i="3"/>
  <c r="AK229" i="3"/>
  <c r="AJ229" i="3"/>
  <c r="AI229" i="3"/>
  <c r="AP229" i="3" s="1"/>
  <c r="AE229" i="3"/>
  <c r="AD229" i="3"/>
  <c r="AC229" i="3"/>
  <c r="AB229" i="3"/>
  <c r="AA229" i="3"/>
  <c r="BQ228" i="3"/>
  <c r="BP228" i="3"/>
  <c r="BO228" i="3"/>
  <c r="BN228" i="3"/>
  <c r="BM228" i="3"/>
  <c r="BL228" i="3"/>
  <c r="BK228" i="3"/>
  <c r="BJ228" i="3"/>
  <c r="BI228" i="3"/>
  <c r="BH228" i="3"/>
  <c r="BG228" i="3"/>
  <c r="BE228" i="3"/>
  <c r="BD228" i="3"/>
  <c r="BC228" i="3"/>
  <c r="BB228" i="3"/>
  <c r="BA228" i="3"/>
  <c r="AZ228" i="3"/>
  <c r="AY228" i="3"/>
  <c r="BF228" i="3" s="1"/>
  <c r="AW228" i="3"/>
  <c r="AV228" i="3"/>
  <c r="AU228" i="3"/>
  <c r="AT228" i="3"/>
  <c r="AS228" i="3"/>
  <c r="AR228" i="3"/>
  <c r="AQ228" i="3"/>
  <c r="AX228" i="3" s="1"/>
  <c r="AO228" i="3"/>
  <c r="AN228" i="3"/>
  <c r="AM228" i="3"/>
  <c r="AL228" i="3"/>
  <c r="AK228" i="3"/>
  <c r="AJ228" i="3"/>
  <c r="AI228" i="3"/>
  <c r="AP228" i="3" s="1"/>
  <c r="AE228" i="3"/>
  <c r="AD228" i="3"/>
  <c r="AC228" i="3"/>
  <c r="AB228" i="3"/>
  <c r="AA228" i="3"/>
  <c r="BQ227" i="3"/>
  <c r="BP227" i="3"/>
  <c r="BO227" i="3"/>
  <c r="BN227" i="3"/>
  <c r="BM227" i="3"/>
  <c r="BL227" i="3"/>
  <c r="BK227" i="3"/>
  <c r="BJ227" i="3"/>
  <c r="BI227" i="3"/>
  <c r="BH227" i="3"/>
  <c r="BG227" i="3"/>
  <c r="BE227" i="3"/>
  <c r="BD227" i="3"/>
  <c r="BC227" i="3"/>
  <c r="BB227" i="3"/>
  <c r="BA227" i="3"/>
  <c r="AZ227" i="3"/>
  <c r="AY227" i="3"/>
  <c r="BF227" i="3" s="1"/>
  <c r="AW227" i="3"/>
  <c r="AV227" i="3"/>
  <c r="AU227" i="3"/>
  <c r="AT227" i="3"/>
  <c r="AS227" i="3"/>
  <c r="AR227" i="3"/>
  <c r="AQ227" i="3"/>
  <c r="AX227" i="3" s="1"/>
  <c r="AO227" i="3"/>
  <c r="AN227" i="3"/>
  <c r="AM227" i="3"/>
  <c r="AL227" i="3"/>
  <c r="AK227" i="3"/>
  <c r="AJ227" i="3"/>
  <c r="AI227" i="3"/>
  <c r="AP227" i="3" s="1"/>
  <c r="AE227" i="3"/>
  <c r="AD227" i="3"/>
  <c r="AC227" i="3"/>
  <c r="AB227" i="3"/>
  <c r="AA227" i="3"/>
  <c r="BQ226" i="3"/>
  <c r="BP226" i="3"/>
  <c r="BO226" i="3"/>
  <c r="BN226" i="3"/>
  <c r="BM226" i="3"/>
  <c r="BL226" i="3"/>
  <c r="BK226" i="3"/>
  <c r="BJ226" i="3"/>
  <c r="BI226" i="3"/>
  <c r="BH226" i="3"/>
  <c r="BG226" i="3"/>
  <c r="BE226" i="3"/>
  <c r="BD226" i="3"/>
  <c r="BC226" i="3"/>
  <c r="BB226" i="3"/>
  <c r="BA226" i="3"/>
  <c r="AZ226" i="3"/>
  <c r="AY226" i="3"/>
  <c r="BF226" i="3" s="1"/>
  <c r="AW226" i="3"/>
  <c r="AV226" i="3"/>
  <c r="AU226" i="3"/>
  <c r="AT226" i="3"/>
  <c r="AS226" i="3"/>
  <c r="AR226" i="3"/>
  <c r="AQ226" i="3"/>
  <c r="AX226" i="3" s="1"/>
  <c r="AO226" i="3"/>
  <c r="AN226" i="3"/>
  <c r="AM226" i="3"/>
  <c r="AL226" i="3"/>
  <c r="AK226" i="3"/>
  <c r="AJ226" i="3"/>
  <c r="AI226" i="3"/>
  <c r="AP226" i="3" s="1"/>
  <c r="AE226" i="3"/>
  <c r="AD226" i="3"/>
  <c r="AC226" i="3"/>
  <c r="AB226" i="3"/>
  <c r="AA226" i="3"/>
  <c r="BQ225" i="3"/>
  <c r="BP225" i="3"/>
  <c r="BO225" i="3"/>
  <c r="BN225" i="3"/>
  <c r="BM225" i="3"/>
  <c r="BL225" i="3"/>
  <c r="BK225" i="3"/>
  <c r="BJ225" i="3"/>
  <c r="BI225" i="3"/>
  <c r="BH225" i="3"/>
  <c r="BG225" i="3"/>
  <c r="BE225" i="3"/>
  <c r="BD225" i="3"/>
  <c r="BC225" i="3"/>
  <c r="BB225" i="3"/>
  <c r="BA225" i="3"/>
  <c r="AZ225" i="3"/>
  <c r="AY225" i="3"/>
  <c r="BF225" i="3" s="1"/>
  <c r="AW225" i="3"/>
  <c r="AV225" i="3"/>
  <c r="AU225" i="3"/>
  <c r="AT225" i="3"/>
  <c r="AS225" i="3"/>
  <c r="AR225" i="3"/>
  <c r="AQ225" i="3"/>
  <c r="AX225" i="3" s="1"/>
  <c r="AO225" i="3"/>
  <c r="AN225" i="3"/>
  <c r="AM225" i="3"/>
  <c r="AL225" i="3"/>
  <c r="AK225" i="3"/>
  <c r="AJ225" i="3"/>
  <c r="AI225" i="3"/>
  <c r="AP225" i="3" s="1"/>
  <c r="AE225" i="3"/>
  <c r="AD225" i="3"/>
  <c r="AC225" i="3"/>
  <c r="AB225" i="3"/>
  <c r="AA225" i="3"/>
  <c r="BQ224" i="3"/>
  <c r="BP224" i="3"/>
  <c r="BO224" i="3"/>
  <c r="BN224" i="3"/>
  <c r="BM224" i="3"/>
  <c r="BL224" i="3"/>
  <c r="BK224" i="3"/>
  <c r="BJ224" i="3"/>
  <c r="BI224" i="3"/>
  <c r="BH224" i="3"/>
  <c r="BG224" i="3"/>
  <c r="BE224" i="3"/>
  <c r="BD224" i="3"/>
  <c r="BC224" i="3"/>
  <c r="BB224" i="3"/>
  <c r="BA224" i="3"/>
  <c r="AZ224" i="3"/>
  <c r="AY224" i="3"/>
  <c r="BF224" i="3" s="1"/>
  <c r="AW224" i="3"/>
  <c r="AV224" i="3"/>
  <c r="AU224" i="3"/>
  <c r="AT224" i="3"/>
  <c r="AS224" i="3"/>
  <c r="AR224" i="3"/>
  <c r="AQ224" i="3"/>
  <c r="AX224" i="3" s="1"/>
  <c r="AO224" i="3"/>
  <c r="AN224" i="3"/>
  <c r="AM224" i="3"/>
  <c r="AL224" i="3"/>
  <c r="AK224" i="3"/>
  <c r="AJ224" i="3"/>
  <c r="AI224" i="3"/>
  <c r="AP224" i="3" s="1"/>
  <c r="AE224" i="3"/>
  <c r="AD224" i="3"/>
  <c r="AC224" i="3"/>
  <c r="AB224" i="3"/>
  <c r="AA224" i="3"/>
  <c r="BQ223" i="3"/>
  <c r="BP223" i="3"/>
  <c r="BO223" i="3"/>
  <c r="BN223" i="3"/>
  <c r="BM223" i="3"/>
  <c r="BL223" i="3"/>
  <c r="BK223" i="3"/>
  <c r="BJ223" i="3"/>
  <c r="BI223" i="3"/>
  <c r="BH223" i="3"/>
  <c r="BG223" i="3"/>
  <c r="BE223" i="3"/>
  <c r="BD223" i="3"/>
  <c r="BC223" i="3"/>
  <c r="BB223" i="3"/>
  <c r="BA223" i="3"/>
  <c r="AZ223" i="3"/>
  <c r="AY223" i="3"/>
  <c r="BF223" i="3" s="1"/>
  <c r="AW223" i="3"/>
  <c r="AV223" i="3"/>
  <c r="AU223" i="3"/>
  <c r="AT223" i="3"/>
  <c r="AS223" i="3"/>
  <c r="AR223" i="3"/>
  <c r="AQ223" i="3"/>
  <c r="AX223" i="3" s="1"/>
  <c r="AO223" i="3"/>
  <c r="AN223" i="3"/>
  <c r="AM223" i="3"/>
  <c r="AL223" i="3"/>
  <c r="AK223" i="3"/>
  <c r="AJ223" i="3"/>
  <c r="AI223" i="3"/>
  <c r="AP223" i="3" s="1"/>
  <c r="AE223" i="3"/>
  <c r="AD223" i="3"/>
  <c r="AC223" i="3"/>
  <c r="AB223" i="3"/>
  <c r="AA223" i="3"/>
  <c r="BQ222" i="3"/>
  <c r="BP222" i="3"/>
  <c r="BO222" i="3"/>
  <c r="BN222" i="3"/>
  <c r="BM222" i="3"/>
  <c r="BL222" i="3"/>
  <c r="BK222" i="3"/>
  <c r="BJ222" i="3"/>
  <c r="BI222" i="3"/>
  <c r="BH222" i="3"/>
  <c r="BG222" i="3"/>
  <c r="BE222" i="3"/>
  <c r="BD222" i="3"/>
  <c r="BC222" i="3"/>
  <c r="BB222" i="3"/>
  <c r="BA222" i="3"/>
  <c r="AZ222" i="3"/>
  <c r="AY222" i="3"/>
  <c r="BF222" i="3" s="1"/>
  <c r="AW222" i="3"/>
  <c r="AV222" i="3"/>
  <c r="AU222" i="3"/>
  <c r="AT222" i="3"/>
  <c r="AS222" i="3"/>
  <c r="AR222" i="3"/>
  <c r="AQ222" i="3"/>
  <c r="AX222" i="3" s="1"/>
  <c r="AO222" i="3"/>
  <c r="AN222" i="3"/>
  <c r="AM222" i="3"/>
  <c r="AL222" i="3"/>
  <c r="AK222" i="3"/>
  <c r="AJ222" i="3"/>
  <c r="AI222" i="3"/>
  <c r="AP222" i="3" s="1"/>
  <c r="AE222" i="3"/>
  <c r="AD222" i="3"/>
  <c r="AC222" i="3"/>
  <c r="AB222" i="3"/>
  <c r="AA222" i="3"/>
  <c r="BQ221" i="3"/>
  <c r="BP221" i="3"/>
  <c r="BO221" i="3"/>
  <c r="BN221" i="3"/>
  <c r="BM221" i="3"/>
  <c r="BL221" i="3"/>
  <c r="BK221" i="3"/>
  <c r="BJ221" i="3"/>
  <c r="BI221" i="3"/>
  <c r="BH221" i="3"/>
  <c r="BG221" i="3"/>
  <c r="BE221" i="3"/>
  <c r="BD221" i="3"/>
  <c r="BC221" i="3"/>
  <c r="BB221" i="3"/>
  <c r="BA221" i="3"/>
  <c r="AZ221" i="3"/>
  <c r="AY221" i="3"/>
  <c r="BF221" i="3" s="1"/>
  <c r="AW221" i="3"/>
  <c r="AV221" i="3"/>
  <c r="AU221" i="3"/>
  <c r="AT221" i="3"/>
  <c r="AS221" i="3"/>
  <c r="AR221" i="3"/>
  <c r="AQ221" i="3"/>
  <c r="AX221" i="3" s="1"/>
  <c r="AO221" i="3"/>
  <c r="AN221" i="3"/>
  <c r="AM221" i="3"/>
  <c r="AL221" i="3"/>
  <c r="AK221" i="3"/>
  <c r="AJ221" i="3"/>
  <c r="AI221" i="3"/>
  <c r="AP221" i="3" s="1"/>
  <c r="AE221" i="3"/>
  <c r="AD221" i="3"/>
  <c r="AC221" i="3"/>
  <c r="AB221" i="3"/>
  <c r="AA221" i="3"/>
  <c r="BQ220" i="3"/>
  <c r="BP220" i="3"/>
  <c r="BO220" i="3"/>
  <c r="BN220" i="3"/>
  <c r="BM220" i="3"/>
  <c r="BL220" i="3"/>
  <c r="BK220" i="3"/>
  <c r="BJ220" i="3"/>
  <c r="BI220" i="3"/>
  <c r="BH220" i="3"/>
  <c r="BG220" i="3"/>
  <c r="BE220" i="3"/>
  <c r="BD220" i="3"/>
  <c r="BC220" i="3"/>
  <c r="BB220" i="3"/>
  <c r="BA220" i="3"/>
  <c r="AZ220" i="3"/>
  <c r="AY220" i="3"/>
  <c r="BF220" i="3" s="1"/>
  <c r="AW220" i="3"/>
  <c r="AV220" i="3"/>
  <c r="AU220" i="3"/>
  <c r="AT220" i="3"/>
  <c r="AS220" i="3"/>
  <c r="AR220" i="3"/>
  <c r="AQ220" i="3"/>
  <c r="AX220" i="3" s="1"/>
  <c r="AO220" i="3"/>
  <c r="AN220" i="3"/>
  <c r="AM220" i="3"/>
  <c r="AL220" i="3"/>
  <c r="AK220" i="3"/>
  <c r="AJ220" i="3"/>
  <c r="AI220" i="3"/>
  <c r="AP220" i="3" s="1"/>
  <c r="AE220" i="3"/>
  <c r="AD220" i="3"/>
  <c r="AC220" i="3"/>
  <c r="AB220" i="3"/>
  <c r="AA220" i="3"/>
  <c r="BQ219" i="3"/>
  <c r="BP219" i="3"/>
  <c r="BO219" i="3"/>
  <c r="BN219" i="3"/>
  <c r="BM219" i="3"/>
  <c r="BL219" i="3"/>
  <c r="BK219" i="3"/>
  <c r="BJ219" i="3"/>
  <c r="BI219" i="3"/>
  <c r="BH219" i="3"/>
  <c r="BG219" i="3"/>
  <c r="BE219" i="3"/>
  <c r="BD219" i="3"/>
  <c r="BC219" i="3"/>
  <c r="BB219" i="3"/>
  <c r="BA219" i="3"/>
  <c r="AZ219" i="3"/>
  <c r="AY219" i="3"/>
  <c r="BF219" i="3" s="1"/>
  <c r="AW219" i="3"/>
  <c r="AV219" i="3"/>
  <c r="AU219" i="3"/>
  <c r="AT219" i="3"/>
  <c r="AS219" i="3"/>
  <c r="AR219" i="3"/>
  <c r="AQ219" i="3"/>
  <c r="AX219" i="3" s="1"/>
  <c r="AO219" i="3"/>
  <c r="AN219" i="3"/>
  <c r="AM219" i="3"/>
  <c r="AL219" i="3"/>
  <c r="AK219" i="3"/>
  <c r="AJ219" i="3"/>
  <c r="AI219" i="3"/>
  <c r="AP219" i="3" s="1"/>
  <c r="AE219" i="3"/>
  <c r="AD219" i="3"/>
  <c r="AC219" i="3"/>
  <c r="AB219" i="3"/>
  <c r="AA219" i="3"/>
  <c r="BQ218" i="3"/>
  <c r="BP218" i="3"/>
  <c r="BO218" i="3"/>
  <c r="BN218" i="3"/>
  <c r="BM218" i="3"/>
  <c r="BL218" i="3"/>
  <c r="BK218" i="3"/>
  <c r="BJ218" i="3"/>
  <c r="BI218" i="3"/>
  <c r="BH218" i="3"/>
  <c r="BG218" i="3"/>
  <c r="BE218" i="3"/>
  <c r="BD218" i="3"/>
  <c r="BC218" i="3"/>
  <c r="BB218" i="3"/>
  <c r="BA218" i="3"/>
  <c r="AZ218" i="3"/>
  <c r="AY218" i="3"/>
  <c r="BF218" i="3" s="1"/>
  <c r="AW218" i="3"/>
  <c r="AV218" i="3"/>
  <c r="AU218" i="3"/>
  <c r="AT218" i="3"/>
  <c r="AS218" i="3"/>
  <c r="AR218" i="3"/>
  <c r="AQ218" i="3"/>
  <c r="AX218" i="3" s="1"/>
  <c r="AO218" i="3"/>
  <c r="AN218" i="3"/>
  <c r="AM218" i="3"/>
  <c r="AL218" i="3"/>
  <c r="AK218" i="3"/>
  <c r="AJ218" i="3"/>
  <c r="AI218" i="3"/>
  <c r="AP218" i="3" s="1"/>
  <c r="AE218" i="3"/>
  <c r="AD218" i="3"/>
  <c r="AC218" i="3"/>
  <c r="AB218" i="3"/>
  <c r="AA218" i="3"/>
  <c r="BQ217" i="3"/>
  <c r="BP217" i="3"/>
  <c r="BO217" i="3"/>
  <c r="BN217" i="3"/>
  <c r="BM217" i="3"/>
  <c r="BL217" i="3"/>
  <c r="BK217" i="3"/>
  <c r="BJ217" i="3"/>
  <c r="BI217" i="3"/>
  <c r="BH217" i="3"/>
  <c r="BG217" i="3"/>
  <c r="BE217" i="3"/>
  <c r="BD217" i="3"/>
  <c r="BC217" i="3"/>
  <c r="BB217" i="3"/>
  <c r="BA217" i="3"/>
  <c r="AZ217" i="3"/>
  <c r="AY217" i="3"/>
  <c r="BF217" i="3" s="1"/>
  <c r="AW217" i="3"/>
  <c r="AV217" i="3"/>
  <c r="AU217" i="3"/>
  <c r="AT217" i="3"/>
  <c r="AS217" i="3"/>
  <c r="AR217" i="3"/>
  <c r="AQ217" i="3"/>
  <c r="AX217" i="3" s="1"/>
  <c r="AO217" i="3"/>
  <c r="AN217" i="3"/>
  <c r="AM217" i="3"/>
  <c r="AL217" i="3"/>
  <c r="AK217" i="3"/>
  <c r="AJ217" i="3"/>
  <c r="AI217" i="3"/>
  <c r="AP217" i="3" s="1"/>
  <c r="AE217" i="3"/>
  <c r="AD217" i="3"/>
  <c r="AC217" i="3"/>
  <c r="AB217" i="3"/>
  <c r="AA217" i="3"/>
  <c r="BQ216" i="3"/>
  <c r="BP216" i="3"/>
  <c r="BO216" i="3"/>
  <c r="BN216" i="3"/>
  <c r="BM216" i="3"/>
  <c r="BL216" i="3"/>
  <c r="BK216" i="3"/>
  <c r="BJ216" i="3"/>
  <c r="BI216" i="3"/>
  <c r="BH216" i="3"/>
  <c r="BG216" i="3"/>
  <c r="BE216" i="3"/>
  <c r="BD216" i="3"/>
  <c r="BC216" i="3"/>
  <c r="BB216" i="3"/>
  <c r="BA216" i="3"/>
  <c r="AZ216" i="3"/>
  <c r="AY216" i="3"/>
  <c r="BF216" i="3" s="1"/>
  <c r="AW216" i="3"/>
  <c r="AV216" i="3"/>
  <c r="AU216" i="3"/>
  <c r="AT216" i="3"/>
  <c r="AS216" i="3"/>
  <c r="AR216" i="3"/>
  <c r="AQ216" i="3"/>
  <c r="AX216" i="3" s="1"/>
  <c r="AO216" i="3"/>
  <c r="AN216" i="3"/>
  <c r="AM216" i="3"/>
  <c r="AL216" i="3"/>
  <c r="AK216" i="3"/>
  <c r="AJ216" i="3"/>
  <c r="AI216" i="3"/>
  <c r="AP216" i="3" s="1"/>
  <c r="AE216" i="3"/>
  <c r="AD216" i="3"/>
  <c r="AC216" i="3"/>
  <c r="AB216" i="3"/>
  <c r="AA216" i="3"/>
  <c r="BQ215" i="3"/>
  <c r="BP215" i="3"/>
  <c r="BO215" i="3"/>
  <c r="BN215" i="3"/>
  <c r="BM215" i="3"/>
  <c r="BL215" i="3"/>
  <c r="BK215" i="3"/>
  <c r="BJ215" i="3"/>
  <c r="BI215" i="3"/>
  <c r="BH215" i="3"/>
  <c r="BG215" i="3"/>
  <c r="BE215" i="3"/>
  <c r="BD215" i="3"/>
  <c r="BC215" i="3"/>
  <c r="BB215" i="3"/>
  <c r="BA215" i="3"/>
  <c r="AZ215" i="3"/>
  <c r="AY215" i="3"/>
  <c r="BF215" i="3" s="1"/>
  <c r="AW215" i="3"/>
  <c r="AV215" i="3"/>
  <c r="AU215" i="3"/>
  <c r="AT215" i="3"/>
  <c r="AS215" i="3"/>
  <c r="AR215" i="3"/>
  <c r="AQ215" i="3"/>
  <c r="AX215" i="3" s="1"/>
  <c r="AO215" i="3"/>
  <c r="AN215" i="3"/>
  <c r="AM215" i="3"/>
  <c r="AL215" i="3"/>
  <c r="AK215" i="3"/>
  <c r="AJ215" i="3"/>
  <c r="AI215" i="3"/>
  <c r="AP215" i="3" s="1"/>
  <c r="AE215" i="3"/>
  <c r="AD215" i="3"/>
  <c r="AC215" i="3"/>
  <c r="AA215" i="3" s="1"/>
  <c r="AB215" i="3"/>
  <c r="BQ214" i="3"/>
  <c r="BP214" i="3"/>
  <c r="BO214" i="3"/>
  <c r="BN214" i="3"/>
  <c r="BM214" i="3"/>
  <c r="BL214" i="3"/>
  <c r="BK214" i="3"/>
  <c r="BJ214" i="3"/>
  <c r="BI214" i="3"/>
  <c r="BH214" i="3"/>
  <c r="BG214" i="3"/>
  <c r="BE214" i="3"/>
  <c r="BD214" i="3"/>
  <c r="BC214" i="3"/>
  <c r="BB214" i="3"/>
  <c r="BA214" i="3"/>
  <c r="AZ214" i="3"/>
  <c r="AY214" i="3"/>
  <c r="BF214" i="3" s="1"/>
  <c r="AW214" i="3"/>
  <c r="AV214" i="3"/>
  <c r="AU214" i="3"/>
  <c r="AT214" i="3"/>
  <c r="AS214" i="3"/>
  <c r="AR214" i="3"/>
  <c r="AQ214" i="3"/>
  <c r="AX214" i="3" s="1"/>
  <c r="AO214" i="3"/>
  <c r="AN214" i="3"/>
  <c r="AM214" i="3"/>
  <c r="AL214" i="3"/>
  <c r="AK214" i="3"/>
  <c r="AJ214" i="3"/>
  <c r="AI214" i="3"/>
  <c r="AP214" i="3" s="1"/>
  <c r="AE214" i="3"/>
  <c r="AD214" i="3"/>
  <c r="AC214" i="3"/>
  <c r="AB214" i="3"/>
  <c r="AA214" i="3"/>
  <c r="BQ213" i="3"/>
  <c r="BP213" i="3"/>
  <c r="BO213" i="3"/>
  <c r="BN213" i="3"/>
  <c r="BM213" i="3"/>
  <c r="BL213" i="3"/>
  <c r="BK213" i="3"/>
  <c r="BJ213" i="3"/>
  <c r="BI213" i="3"/>
  <c r="BH213" i="3"/>
  <c r="BG213" i="3"/>
  <c r="BE213" i="3"/>
  <c r="BD213" i="3"/>
  <c r="BC213" i="3"/>
  <c r="BB213" i="3"/>
  <c r="BA213" i="3"/>
  <c r="AZ213" i="3"/>
  <c r="AY213" i="3"/>
  <c r="BF213" i="3" s="1"/>
  <c r="AW213" i="3"/>
  <c r="AV213" i="3"/>
  <c r="AU213" i="3"/>
  <c r="AT213" i="3"/>
  <c r="AS213" i="3"/>
  <c r="AR213" i="3"/>
  <c r="AQ213" i="3"/>
  <c r="AX213" i="3" s="1"/>
  <c r="AO213" i="3"/>
  <c r="AN213" i="3"/>
  <c r="AM213" i="3"/>
  <c r="AL213" i="3"/>
  <c r="AK213" i="3"/>
  <c r="AJ213" i="3"/>
  <c r="AI213" i="3"/>
  <c r="AP213" i="3" s="1"/>
  <c r="AE213" i="3"/>
  <c r="AD213" i="3"/>
  <c r="AC213" i="3"/>
  <c r="AB213" i="3"/>
  <c r="AA213" i="3"/>
  <c r="BQ212" i="3"/>
  <c r="BP212" i="3"/>
  <c r="BO212" i="3"/>
  <c r="BN212" i="3"/>
  <c r="BM212" i="3"/>
  <c r="BL212" i="3"/>
  <c r="BK212" i="3"/>
  <c r="BJ212" i="3"/>
  <c r="BI212" i="3"/>
  <c r="BH212" i="3"/>
  <c r="BG212" i="3"/>
  <c r="BE212" i="3"/>
  <c r="BD212" i="3"/>
  <c r="BC212" i="3"/>
  <c r="BB212" i="3"/>
  <c r="BA212" i="3"/>
  <c r="AZ212" i="3"/>
  <c r="AY212" i="3"/>
  <c r="BF212" i="3" s="1"/>
  <c r="AW212" i="3"/>
  <c r="AV212" i="3"/>
  <c r="AU212" i="3"/>
  <c r="AT212" i="3"/>
  <c r="AS212" i="3"/>
  <c r="AR212" i="3"/>
  <c r="AQ212" i="3"/>
  <c r="AX212" i="3" s="1"/>
  <c r="AO212" i="3"/>
  <c r="AN212" i="3"/>
  <c r="AM212" i="3"/>
  <c r="AL212" i="3"/>
  <c r="AK212" i="3"/>
  <c r="AJ212" i="3"/>
  <c r="AI212" i="3"/>
  <c r="AP212" i="3" s="1"/>
  <c r="AE212" i="3"/>
  <c r="AD212" i="3"/>
  <c r="AC212" i="3"/>
  <c r="AB212" i="3"/>
  <c r="AA212" i="3"/>
  <c r="BQ211" i="3"/>
  <c r="BP211" i="3"/>
  <c r="BO211" i="3"/>
  <c r="BN211" i="3"/>
  <c r="BM211" i="3"/>
  <c r="BL211" i="3"/>
  <c r="BK211" i="3"/>
  <c r="BJ211" i="3"/>
  <c r="BI211" i="3"/>
  <c r="BH211" i="3"/>
  <c r="BG211" i="3"/>
  <c r="BE211" i="3"/>
  <c r="BD211" i="3"/>
  <c r="BC211" i="3"/>
  <c r="BB211" i="3"/>
  <c r="BA211" i="3"/>
  <c r="AZ211" i="3"/>
  <c r="AY211" i="3"/>
  <c r="BF211" i="3" s="1"/>
  <c r="AW211" i="3"/>
  <c r="AV211" i="3"/>
  <c r="AU211" i="3"/>
  <c r="AT211" i="3"/>
  <c r="AS211" i="3"/>
  <c r="AR211" i="3"/>
  <c r="AQ211" i="3"/>
  <c r="AX211" i="3" s="1"/>
  <c r="AO211" i="3"/>
  <c r="AN211" i="3"/>
  <c r="AM211" i="3"/>
  <c r="AL211" i="3"/>
  <c r="AK211" i="3"/>
  <c r="AJ211" i="3"/>
  <c r="AI211" i="3"/>
  <c r="AP211" i="3" s="1"/>
  <c r="AE211" i="3"/>
  <c r="AD211" i="3"/>
  <c r="AC211" i="3"/>
  <c r="AB211" i="3"/>
  <c r="AA211" i="3"/>
  <c r="BQ210" i="3"/>
  <c r="BP210" i="3"/>
  <c r="BO210" i="3"/>
  <c r="BN210" i="3"/>
  <c r="BM210" i="3"/>
  <c r="BL210" i="3"/>
  <c r="BK210" i="3"/>
  <c r="BJ210" i="3"/>
  <c r="BI210" i="3"/>
  <c r="BH210" i="3"/>
  <c r="BG210" i="3"/>
  <c r="BE210" i="3"/>
  <c r="BD210" i="3"/>
  <c r="BC210" i="3"/>
  <c r="BB210" i="3"/>
  <c r="BA210" i="3"/>
  <c r="AZ210" i="3"/>
  <c r="AY210" i="3"/>
  <c r="BF210" i="3" s="1"/>
  <c r="AW210" i="3"/>
  <c r="AV210" i="3"/>
  <c r="AU210" i="3"/>
  <c r="AT210" i="3"/>
  <c r="AS210" i="3"/>
  <c r="AR210" i="3"/>
  <c r="AQ210" i="3"/>
  <c r="AX210" i="3" s="1"/>
  <c r="AO210" i="3"/>
  <c r="AN210" i="3"/>
  <c r="AM210" i="3"/>
  <c r="AL210" i="3"/>
  <c r="AK210" i="3"/>
  <c r="AJ210" i="3"/>
  <c r="AI210" i="3"/>
  <c r="AP210" i="3" s="1"/>
  <c r="AE210" i="3"/>
  <c r="AD210" i="3"/>
  <c r="AC210" i="3"/>
  <c r="AB210" i="3"/>
  <c r="AA210" i="3"/>
  <c r="BQ209" i="3"/>
  <c r="BP209" i="3"/>
  <c r="BO209" i="3"/>
  <c r="BN209" i="3"/>
  <c r="BM209" i="3"/>
  <c r="BL209" i="3"/>
  <c r="BK209" i="3"/>
  <c r="BJ209" i="3"/>
  <c r="BI209" i="3"/>
  <c r="BH209" i="3"/>
  <c r="BG209" i="3"/>
  <c r="BE209" i="3"/>
  <c r="BD209" i="3"/>
  <c r="BC209" i="3"/>
  <c r="BB209" i="3"/>
  <c r="BA209" i="3"/>
  <c r="AZ209" i="3"/>
  <c r="AY209" i="3"/>
  <c r="BF209" i="3" s="1"/>
  <c r="AW209" i="3"/>
  <c r="AV209" i="3"/>
  <c r="AU209" i="3"/>
  <c r="AT209" i="3"/>
  <c r="AS209" i="3"/>
  <c r="AR209" i="3"/>
  <c r="AQ209" i="3"/>
  <c r="AX209" i="3" s="1"/>
  <c r="AO209" i="3"/>
  <c r="AN209" i="3"/>
  <c r="AM209" i="3"/>
  <c r="AL209" i="3"/>
  <c r="AK209" i="3"/>
  <c r="AJ209" i="3"/>
  <c r="AI209" i="3"/>
  <c r="AP209" i="3" s="1"/>
  <c r="AE209" i="3"/>
  <c r="AD209" i="3"/>
  <c r="AC209" i="3"/>
  <c r="AB209" i="3"/>
  <c r="AA209" i="3"/>
  <c r="BQ208" i="3"/>
  <c r="BP208" i="3"/>
  <c r="BO208" i="3"/>
  <c r="BN208" i="3"/>
  <c r="BM208" i="3"/>
  <c r="BL208" i="3"/>
  <c r="BK208" i="3"/>
  <c r="BJ208" i="3"/>
  <c r="BI208" i="3"/>
  <c r="BH208" i="3"/>
  <c r="BG208" i="3"/>
  <c r="BE208" i="3"/>
  <c r="BD208" i="3"/>
  <c r="BC208" i="3"/>
  <c r="BB208" i="3"/>
  <c r="BA208" i="3"/>
  <c r="AZ208" i="3"/>
  <c r="AY208" i="3"/>
  <c r="BF208" i="3" s="1"/>
  <c r="AW208" i="3"/>
  <c r="AV208" i="3"/>
  <c r="AU208" i="3"/>
  <c r="AT208" i="3"/>
  <c r="AS208" i="3"/>
  <c r="AR208" i="3"/>
  <c r="AQ208" i="3"/>
  <c r="AX208" i="3" s="1"/>
  <c r="AO208" i="3"/>
  <c r="AN208" i="3"/>
  <c r="AM208" i="3"/>
  <c r="AL208" i="3"/>
  <c r="AK208" i="3"/>
  <c r="AJ208" i="3"/>
  <c r="AI208" i="3"/>
  <c r="AP208" i="3" s="1"/>
  <c r="AE208" i="3"/>
  <c r="AD208" i="3"/>
  <c r="AC208" i="3"/>
  <c r="AA208" i="3" s="1"/>
  <c r="AB208" i="3"/>
  <c r="BQ207" i="3"/>
  <c r="BP207" i="3"/>
  <c r="BO207" i="3"/>
  <c r="BN207" i="3"/>
  <c r="BM207" i="3"/>
  <c r="BL207" i="3"/>
  <c r="BK207" i="3"/>
  <c r="BJ207" i="3"/>
  <c r="BI207" i="3"/>
  <c r="BH207" i="3"/>
  <c r="BG207" i="3"/>
  <c r="BE207" i="3"/>
  <c r="BD207" i="3"/>
  <c r="BC207" i="3"/>
  <c r="BB207" i="3"/>
  <c r="BA207" i="3"/>
  <c r="AZ207" i="3"/>
  <c r="AY207" i="3"/>
  <c r="BF207" i="3" s="1"/>
  <c r="AW207" i="3"/>
  <c r="AV207" i="3"/>
  <c r="AU207" i="3"/>
  <c r="AT207" i="3"/>
  <c r="AS207" i="3"/>
  <c r="AR207" i="3"/>
  <c r="AQ207" i="3"/>
  <c r="AX207" i="3" s="1"/>
  <c r="AO207" i="3"/>
  <c r="AN207" i="3"/>
  <c r="AM207" i="3"/>
  <c r="AL207" i="3"/>
  <c r="AK207" i="3"/>
  <c r="AJ207" i="3"/>
  <c r="AI207" i="3"/>
  <c r="AP207" i="3" s="1"/>
  <c r="AE207" i="3"/>
  <c r="AD207" i="3"/>
  <c r="AC207" i="3"/>
  <c r="AB207" i="3"/>
  <c r="AA207" i="3"/>
  <c r="BQ206" i="3"/>
  <c r="BP206" i="3"/>
  <c r="BO206" i="3"/>
  <c r="BN206" i="3"/>
  <c r="BM206" i="3"/>
  <c r="BL206" i="3"/>
  <c r="BK206" i="3"/>
  <c r="BJ206" i="3"/>
  <c r="BI206" i="3"/>
  <c r="BH206" i="3"/>
  <c r="BG206" i="3"/>
  <c r="BE206" i="3"/>
  <c r="BD206" i="3"/>
  <c r="BC206" i="3"/>
  <c r="BB206" i="3"/>
  <c r="BA206" i="3"/>
  <c r="AZ206" i="3"/>
  <c r="AY206" i="3"/>
  <c r="BF206" i="3" s="1"/>
  <c r="AW206" i="3"/>
  <c r="AV206" i="3"/>
  <c r="AU206" i="3"/>
  <c r="AT206" i="3"/>
  <c r="AS206" i="3"/>
  <c r="AR206" i="3"/>
  <c r="AQ206" i="3"/>
  <c r="AX206" i="3" s="1"/>
  <c r="AO206" i="3"/>
  <c r="AN206" i="3"/>
  <c r="AM206" i="3"/>
  <c r="AL206" i="3"/>
  <c r="AK206" i="3"/>
  <c r="AJ206" i="3"/>
  <c r="AI206" i="3"/>
  <c r="AP206" i="3" s="1"/>
  <c r="AE206" i="3"/>
  <c r="AD206" i="3"/>
  <c r="AC206" i="3"/>
  <c r="AB206" i="3"/>
  <c r="AA206" i="3"/>
  <c r="BQ205" i="3"/>
  <c r="BP205" i="3"/>
  <c r="BO205" i="3"/>
  <c r="BN205" i="3"/>
  <c r="BM205" i="3"/>
  <c r="BL205" i="3"/>
  <c r="BK205" i="3"/>
  <c r="BJ205" i="3"/>
  <c r="BI205" i="3"/>
  <c r="BH205" i="3"/>
  <c r="BG205" i="3"/>
  <c r="BE205" i="3"/>
  <c r="BD205" i="3"/>
  <c r="BC205" i="3"/>
  <c r="BB205" i="3"/>
  <c r="BA205" i="3"/>
  <c r="AZ205" i="3"/>
  <c r="AY205" i="3"/>
  <c r="BF205" i="3" s="1"/>
  <c r="AW205" i="3"/>
  <c r="AV205" i="3"/>
  <c r="AU205" i="3"/>
  <c r="AT205" i="3"/>
  <c r="AS205" i="3"/>
  <c r="AR205" i="3"/>
  <c r="AQ205" i="3"/>
  <c r="AX205" i="3" s="1"/>
  <c r="AO205" i="3"/>
  <c r="AN205" i="3"/>
  <c r="AM205" i="3"/>
  <c r="AL205" i="3"/>
  <c r="AK205" i="3"/>
  <c r="AJ205" i="3"/>
  <c r="AI205" i="3"/>
  <c r="AP205" i="3" s="1"/>
  <c r="AE205" i="3"/>
  <c r="AD205" i="3"/>
  <c r="AC205" i="3"/>
  <c r="AB205" i="3"/>
  <c r="AA205" i="3"/>
  <c r="BQ204" i="3"/>
  <c r="BP204" i="3"/>
  <c r="BO204" i="3"/>
  <c r="BN204" i="3"/>
  <c r="BM204" i="3"/>
  <c r="BL204" i="3"/>
  <c r="BK204" i="3"/>
  <c r="BJ204" i="3"/>
  <c r="BI204" i="3"/>
  <c r="BH204" i="3"/>
  <c r="BG204" i="3"/>
  <c r="BE204" i="3"/>
  <c r="BD204" i="3"/>
  <c r="BC204" i="3"/>
  <c r="BB204" i="3"/>
  <c r="BA204" i="3"/>
  <c r="AZ204" i="3"/>
  <c r="AY204" i="3"/>
  <c r="BF204" i="3" s="1"/>
  <c r="AW204" i="3"/>
  <c r="AV204" i="3"/>
  <c r="AU204" i="3"/>
  <c r="AT204" i="3"/>
  <c r="AS204" i="3"/>
  <c r="AR204" i="3"/>
  <c r="AQ204" i="3"/>
  <c r="AX204" i="3" s="1"/>
  <c r="AO204" i="3"/>
  <c r="AN204" i="3"/>
  <c r="AM204" i="3"/>
  <c r="AL204" i="3"/>
  <c r="AK204" i="3"/>
  <c r="AJ204" i="3"/>
  <c r="AI204" i="3"/>
  <c r="AP204" i="3" s="1"/>
  <c r="AE204" i="3"/>
  <c r="AD204" i="3"/>
  <c r="AC204" i="3"/>
  <c r="AB204" i="3"/>
  <c r="AA204" i="3"/>
  <c r="BQ203" i="3"/>
  <c r="BP203" i="3"/>
  <c r="BO203" i="3"/>
  <c r="BN203" i="3"/>
  <c r="BM203" i="3"/>
  <c r="BL203" i="3"/>
  <c r="BK203" i="3"/>
  <c r="BJ203" i="3"/>
  <c r="BI203" i="3"/>
  <c r="BH203" i="3"/>
  <c r="BG203" i="3"/>
  <c r="BE203" i="3"/>
  <c r="BD203" i="3"/>
  <c r="BC203" i="3"/>
  <c r="BB203" i="3"/>
  <c r="BA203" i="3"/>
  <c r="AZ203" i="3"/>
  <c r="AY203" i="3"/>
  <c r="BF203" i="3" s="1"/>
  <c r="AW203" i="3"/>
  <c r="AV203" i="3"/>
  <c r="AU203" i="3"/>
  <c r="AT203" i="3"/>
  <c r="AS203" i="3"/>
  <c r="AR203" i="3"/>
  <c r="AQ203" i="3"/>
  <c r="AX203" i="3" s="1"/>
  <c r="AO203" i="3"/>
  <c r="AN203" i="3"/>
  <c r="AM203" i="3"/>
  <c r="AL203" i="3"/>
  <c r="AK203" i="3"/>
  <c r="AJ203" i="3"/>
  <c r="AI203" i="3"/>
  <c r="AP203" i="3" s="1"/>
  <c r="AE203" i="3"/>
  <c r="AD203" i="3"/>
  <c r="AC203" i="3"/>
  <c r="AA203" i="3" s="1"/>
  <c r="AB203" i="3"/>
  <c r="BQ202" i="3"/>
  <c r="BP202" i="3"/>
  <c r="BO202" i="3"/>
  <c r="BN202" i="3"/>
  <c r="BM202" i="3"/>
  <c r="BL202" i="3"/>
  <c r="BK202" i="3"/>
  <c r="BJ202" i="3"/>
  <c r="BI202" i="3"/>
  <c r="BH202" i="3"/>
  <c r="BG202" i="3"/>
  <c r="BE202" i="3"/>
  <c r="BD202" i="3"/>
  <c r="BC202" i="3"/>
  <c r="BB202" i="3"/>
  <c r="BA202" i="3"/>
  <c r="AZ202" i="3"/>
  <c r="AY202" i="3"/>
  <c r="BF202" i="3" s="1"/>
  <c r="AW202" i="3"/>
  <c r="AV202" i="3"/>
  <c r="AU202" i="3"/>
  <c r="AT202" i="3"/>
  <c r="AS202" i="3"/>
  <c r="AR202" i="3"/>
  <c r="AQ202" i="3"/>
  <c r="AX202" i="3" s="1"/>
  <c r="AO202" i="3"/>
  <c r="AN202" i="3"/>
  <c r="AM202" i="3"/>
  <c r="AL202" i="3"/>
  <c r="AK202" i="3"/>
  <c r="AJ202" i="3"/>
  <c r="AI202" i="3"/>
  <c r="AP202" i="3" s="1"/>
  <c r="AE202" i="3"/>
  <c r="AD202" i="3"/>
  <c r="AC202" i="3"/>
  <c r="AA202" i="3" s="1"/>
  <c r="AB202" i="3"/>
  <c r="BQ201" i="3"/>
  <c r="BP201" i="3"/>
  <c r="BO201" i="3"/>
  <c r="BN201" i="3"/>
  <c r="BM201" i="3"/>
  <c r="BL201" i="3"/>
  <c r="BK201" i="3"/>
  <c r="BJ201" i="3"/>
  <c r="BI201" i="3"/>
  <c r="BH201" i="3"/>
  <c r="BG201" i="3"/>
  <c r="BE201" i="3"/>
  <c r="BD201" i="3"/>
  <c r="BC201" i="3"/>
  <c r="BB201" i="3"/>
  <c r="BA201" i="3"/>
  <c r="AZ201" i="3"/>
  <c r="AY201" i="3"/>
  <c r="BF201" i="3" s="1"/>
  <c r="AW201" i="3"/>
  <c r="AV201" i="3"/>
  <c r="AU201" i="3"/>
  <c r="AT201" i="3"/>
  <c r="AS201" i="3"/>
  <c r="AR201" i="3"/>
  <c r="AQ201" i="3"/>
  <c r="AX201" i="3" s="1"/>
  <c r="AO201" i="3"/>
  <c r="AN201" i="3"/>
  <c r="AM201" i="3"/>
  <c r="AL201" i="3"/>
  <c r="AK201" i="3"/>
  <c r="AJ201" i="3"/>
  <c r="AI201" i="3"/>
  <c r="AP201" i="3" s="1"/>
  <c r="AE201" i="3"/>
  <c r="AD201" i="3"/>
  <c r="AC201" i="3"/>
  <c r="AB201" i="3"/>
  <c r="AA201" i="3"/>
  <c r="BQ200" i="3"/>
  <c r="BP200" i="3"/>
  <c r="BO200" i="3"/>
  <c r="BN200" i="3"/>
  <c r="BM200" i="3"/>
  <c r="BL200" i="3"/>
  <c r="BK200" i="3"/>
  <c r="BJ200" i="3"/>
  <c r="BI200" i="3"/>
  <c r="BH200" i="3"/>
  <c r="BG200" i="3"/>
  <c r="BE200" i="3"/>
  <c r="BD200" i="3"/>
  <c r="BC200" i="3"/>
  <c r="BB200" i="3"/>
  <c r="BA200" i="3"/>
  <c r="AZ200" i="3"/>
  <c r="AY200" i="3"/>
  <c r="BF200" i="3" s="1"/>
  <c r="AW200" i="3"/>
  <c r="AV200" i="3"/>
  <c r="AU200" i="3"/>
  <c r="AT200" i="3"/>
  <c r="AS200" i="3"/>
  <c r="AR200" i="3"/>
  <c r="AQ200" i="3"/>
  <c r="AX200" i="3" s="1"/>
  <c r="AO200" i="3"/>
  <c r="AN200" i="3"/>
  <c r="AM200" i="3"/>
  <c r="AL200" i="3"/>
  <c r="AK200" i="3"/>
  <c r="AJ200" i="3"/>
  <c r="AI200" i="3"/>
  <c r="AP200" i="3" s="1"/>
  <c r="AE200" i="3"/>
  <c r="AD200" i="3"/>
  <c r="AC200" i="3"/>
  <c r="AB200" i="3"/>
  <c r="AA200" i="3"/>
  <c r="BQ199" i="3"/>
  <c r="BP199" i="3"/>
  <c r="BO199" i="3"/>
  <c r="BN199" i="3"/>
  <c r="BM199" i="3"/>
  <c r="BL199" i="3"/>
  <c r="BK199" i="3"/>
  <c r="BJ199" i="3"/>
  <c r="BI199" i="3"/>
  <c r="BH199" i="3"/>
  <c r="BG199" i="3"/>
  <c r="BE199" i="3"/>
  <c r="BD199" i="3"/>
  <c r="BC199" i="3"/>
  <c r="BB199" i="3"/>
  <c r="BA199" i="3"/>
  <c r="AZ199" i="3"/>
  <c r="AY199" i="3"/>
  <c r="BF199" i="3" s="1"/>
  <c r="AW199" i="3"/>
  <c r="AV199" i="3"/>
  <c r="AU199" i="3"/>
  <c r="AT199" i="3"/>
  <c r="AS199" i="3"/>
  <c r="AR199" i="3"/>
  <c r="AQ199" i="3"/>
  <c r="AX199" i="3" s="1"/>
  <c r="AO199" i="3"/>
  <c r="AN199" i="3"/>
  <c r="AM199" i="3"/>
  <c r="AL199" i="3"/>
  <c r="AK199" i="3"/>
  <c r="AJ199" i="3"/>
  <c r="AI199" i="3"/>
  <c r="AP199" i="3" s="1"/>
  <c r="AE199" i="3"/>
  <c r="AD199" i="3"/>
  <c r="AC199" i="3"/>
  <c r="AB199" i="3"/>
  <c r="AA199" i="3"/>
  <c r="BQ198" i="3"/>
  <c r="BP198" i="3"/>
  <c r="BO198" i="3"/>
  <c r="BN198" i="3"/>
  <c r="BM198" i="3"/>
  <c r="BL198" i="3"/>
  <c r="BK198" i="3"/>
  <c r="BJ198" i="3"/>
  <c r="BI198" i="3"/>
  <c r="BH198" i="3"/>
  <c r="BG198" i="3"/>
  <c r="BE198" i="3"/>
  <c r="BD198" i="3"/>
  <c r="BC198" i="3"/>
  <c r="BB198" i="3"/>
  <c r="BA198" i="3"/>
  <c r="AZ198" i="3"/>
  <c r="AY198" i="3"/>
  <c r="BF198" i="3" s="1"/>
  <c r="AW198" i="3"/>
  <c r="AV198" i="3"/>
  <c r="AU198" i="3"/>
  <c r="AT198" i="3"/>
  <c r="AS198" i="3"/>
  <c r="AR198" i="3"/>
  <c r="AQ198" i="3"/>
  <c r="AX198" i="3" s="1"/>
  <c r="AO198" i="3"/>
  <c r="AN198" i="3"/>
  <c r="AM198" i="3"/>
  <c r="AL198" i="3"/>
  <c r="AK198" i="3"/>
  <c r="AJ198" i="3"/>
  <c r="AI198" i="3"/>
  <c r="AP198" i="3" s="1"/>
  <c r="AE198" i="3"/>
  <c r="AD198" i="3"/>
  <c r="AC198" i="3"/>
  <c r="AA198" i="3" s="1"/>
  <c r="AB198" i="3"/>
  <c r="BQ197" i="3"/>
  <c r="BP197" i="3"/>
  <c r="BO197" i="3"/>
  <c r="BN197" i="3"/>
  <c r="BM197" i="3"/>
  <c r="BL197" i="3"/>
  <c r="BK197" i="3"/>
  <c r="BJ197" i="3"/>
  <c r="BI197" i="3"/>
  <c r="BH197" i="3"/>
  <c r="BG197" i="3"/>
  <c r="BE197" i="3"/>
  <c r="BD197" i="3"/>
  <c r="BC197" i="3"/>
  <c r="BB197" i="3"/>
  <c r="BA197" i="3"/>
  <c r="AZ197" i="3"/>
  <c r="AY197" i="3"/>
  <c r="BF197" i="3" s="1"/>
  <c r="AW197" i="3"/>
  <c r="AV197" i="3"/>
  <c r="AU197" i="3"/>
  <c r="AT197" i="3"/>
  <c r="AS197" i="3"/>
  <c r="AR197" i="3"/>
  <c r="AQ197" i="3"/>
  <c r="AX197" i="3" s="1"/>
  <c r="AO197" i="3"/>
  <c r="AN197" i="3"/>
  <c r="AM197" i="3"/>
  <c r="AL197" i="3"/>
  <c r="AK197" i="3"/>
  <c r="AJ197" i="3"/>
  <c r="AI197" i="3"/>
  <c r="AP197" i="3" s="1"/>
  <c r="AE197" i="3"/>
  <c r="AD197" i="3"/>
  <c r="AC197" i="3"/>
  <c r="AA197" i="3" s="1"/>
  <c r="AB197" i="3"/>
  <c r="BQ196" i="3"/>
  <c r="BP196" i="3"/>
  <c r="BO196" i="3"/>
  <c r="BN196" i="3"/>
  <c r="BM196" i="3"/>
  <c r="BL196" i="3"/>
  <c r="BK196" i="3"/>
  <c r="BJ196" i="3"/>
  <c r="BI196" i="3"/>
  <c r="BH196" i="3"/>
  <c r="BG196" i="3"/>
  <c r="BE196" i="3"/>
  <c r="BD196" i="3"/>
  <c r="BC196" i="3"/>
  <c r="BB196" i="3"/>
  <c r="BA196" i="3"/>
  <c r="AZ196" i="3"/>
  <c r="AY196" i="3"/>
  <c r="BF196" i="3" s="1"/>
  <c r="AW196" i="3"/>
  <c r="AV196" i="3"/>
  <c r="AU196" i="3"/>
  <c r="AT196" i="3"/>
  <c r="AS196" i="3"/>
  <c r="AR196" i="3"/>
  <c r="AQ196" i="3"/>
  <c r="AX196" i="3" s="1"/>
  <c r="AO196" i="3"/>
  <c r="AN196" i="3"/>
  <c r="AM196" i="3"/>
  <c r="AL196" i="3"/>
  <c r="AK196" i="3"/>
  <c r="AJ196" i="3"/>
  <c r="AI196" i="3"/>
  <c r="AP196" i="3" s="1"/>
  <c r="AE196" i="3"/>
  <c r="AD196" i="3"/>
  <c r="AC196" i="3"/>
  <c r="AB196" i="3"/>
  <c r="AA196" i="3"/>
  <c r="BQ195" i="3"/>
  <c r="BP195" i="3"/>
  <c r="BO195" i="3"/>
  <c r="BN195" i="3"/>
  <c r="BM195" i="3"/>
  <c r="BL195" i="3"/>
  <c r="BK195" i="3"/>
  <c r="BJ195" i="3"/>
  <c r="BI195" i="3"/>
  <c r="BH195" i="3"/>
  <c r="BG195" i="3"/>
  <c r="BE195" i="3"/>
  <c r="BD195" i="3"/>
  <c r="BC195" i="3"/>
  <c r="BB195" i="3"/>
  <c r="BA195" i="3"/>
  <c r="AZ195" i="3"/>
  <c r="AY195" i="3"/>
  <c r="BF195" i="3" s="1"/>
  <c r="AW195" i="3"/>
  <c r="AV195" i="3"/>
  <c r="AU195" i="3"/>
  <c r="AT195" i="3"/>
  <c r="AS195" i="3"/>
  <c r="AR195" i="3"/>
  <c r="AQ195" i="3"/>
  <c r="AX195" i="3" s="1"/>
  <c r="AO195" i="3"/>
  <c r="AN195" i="3"/>
  <c r="AM195" i="3"/>
  <c r="AL195" i="3"/>
  <c r="AK195" i="3"/>
  <c r="AJ195" i="3"/>
  <c r="AI195" i="3"/>
  <c r="AP195" i="3" s="1"/>
  <c r="AE195" i="3"/>
  <c r="AD195" i="3"/>
  <c r="AC195" i="3"/>
  <c r="AB195" i="3"/>
  <c r="AA195" i="3"/>
  <c r="BQ194" i="3"/>
  <c r="BP194" i="3"/>
  <c r="BO194" i="3"/>
  <c r="BN194" i="3"/>
  <c r="BM194" i="3"/>
  <c r="BL194" i="3"/>
  <c r="BK194" i="3"/>
  <c r="BJ194" i="3"/>
  <c r="BI194" i="3"/>
  <c r="BH194" i="3"/>
  <c r="BG194" i="3"/>
  <c r="BE194" i="3"/>
  <c r="BD194" i="3"/>
  <c r="BC194" i="3"/>
  <c r="BB194" i="3"/>
  <c r="BA194" i="3"/>
  <c r="AZ194" i="3"/>
  <c r="AY194" i="3"/>
  <c r="BF194" i="3" s="1"/>
  <c r="AW194" i="3"/>
  <c r="AV194" i="3"/>
  <c r="AU194" i="3"/>
  <c r="AT194" i="3"/>
  <c r="AS194" i="3"/>
  <c r="AR194" i="3"/>
  <c r="AQ194" i="3"/>
  <c r="AX194" i="3" s="1"/>
  <c r="AO194" i="3"/>
  <c r="AN194" i="3"/>
  <c r="AM194" i="3"/>
  <c r="AL194" i="3"/>
  <c r="AK194" i="3"/>
  <c r="AJ194" i="3"/>
  <c r="AI194" i="3"/>
  <c r="AP194" i="3" s="1"/>
  <c r="AE194" i="3"/>
  <c r="AD194" i="3"/>
  <c r="AC194" i="3"/>
  <c r="AB194" i="3"/>
  <c r="AA194" i="3"/>
  <c r="BQ193" i="3"/>
  <c r="BP193" i="3"/>
  <c r="BO193" i="3"/>
  <c r="BN193" i="3"/>
  <c r="BM193" i="3"/>
  <c r="BL193" i="3"/>
  <c r="BK193" i="3"/>
  <c r="BJ193" i="3"/>
  <c r="BI193" i="3"/>
  <c r="BH193" i="3"/>
  <c r="BG193" i="3"/>
  <c r="BE193" i="3"/>
  <c r="BD193" i="3"/>
  <c r="BC193" i="3"/>
  <c r="BB193" i="3"/>
  <c r="BA193" i="3"/>
  <c r="AZ193" i="3"/>
  <c r="AY193" i="3"/>
  <c r="BF193" i="3" s="1"/>
  <c r="AW193" i="3"/>
  <c r="AV193" i="3"/>
  <c r="AU193" i="3"/>
  <c r="AT193" i="3"/>
  <c r="AS193" i="3"/>
  <c r="AR193" i="3"/>
  <c r="AQ193" i="3"/>
  <c r="AX193" i="3" s="1"/>
  <c r="AO193" i="3"/>
  <c r="AN193" i="3"/>
  <c r="AM193" i="3"/>
  <c r="AL193" i="3"/>
  <c r="AK193" i="3"/>
  <c r="AJ193" i="3"/>
  <c r="AI193" i="3"/>
  <c r="AP193" i="3" s="1"/>
  <c r="AE193" i="3"/>
  <c r="AD193" i="3"/>
  <c r="AC193" i="3"/>
  <c r="AA193" i="3" s="1"/>
  <c r="AB193" i="3"/>
  <c r="BQ192" i="3"/>
  <c r="BP192" i="3"/>
  <c r="BO192" i="3"/>
  <c r="BN192" i="3"/>
  <c r="BM192" i="3"/>
  <c r="BL192" i="3"/>
  <c r="BK192" i="3"/>
  <c r="BJ192" i="3"/>
  <c r="BI192" i="3"/>
  <c r="BH192" i="3"/>
  <c r="BG192" i="3"/>
  <c r="BE192" i="3"/>
  <c r="BD192" i="3"/>
  <c r="BC192" i="3"/>
  <c r="BB192" i="3"/>
  <c r="BA192" i="3"/>
  <c r="AZ192" i="3"/>
  <c r="AY192" i="3"/>
  <c r="BF192" i="3" s="1"/>
  <c r="AW192" i="3"/>
  <c r="AV192" i="3"/>
  <c r="AU192" i="3"/>
  <c r="AT192" i="3"/>
  <c r="AS192" i="3"/>
  <c r="AR192" i="3"/>
  <c r="AQ192" i="3"/>
  <c r="AX192" i="3" s="1"/>
  <c r="AO192" i="3"/>
  <c r="AN192" i="3"/>
  <c r="AM192" i="3"/>
  <c r="AL192" i="3"/>
  <c r="AK192" i="3"/>
  <c r="AJ192" i="3"/>
  <c r="AI192" i="3"/>
  <c r="AP192" i="3" s="1"/>
  <c r="AE192" i="3"/>
  <c r="AD192" i="3"/>
  <c r="AC192" i="3"/>
  <c r="AB192" i="3"/>
  <c r="AA192" i="3"/>
  <c r="BQ191" i="3"/>
  <c r="BP191" i="3"/>
  <c r="BO191" i="3"/>
  <c r="BN191" i="3"/>
  <c r="BM191" i="3"/>
  <c r="BL191" i="3"/>
  <c r="BK191" i="3"/>
  <c r="BJ191" i="3"/>
  <c r="BI191" i="3"/>
  <c r="BH191" i="3"/>
  <c r="BG191" i="3"/>
  <c r="BE191" i="3"/>
  <c r="BD191" i="3"/>
  <c r="BC191" i="3"/>
  <c r="BB191" i="3"/>
  <c r="BA191" i="3"/>
  <c r="AZ191" i="3"/>
  <c r="AY191" i="3"/>
  <c r="BF191" i="3" s="1"/>
  <c r="AW191" i="3"/>
  <c r="AV191" i="3"/>
  <c r="AU191" i="3"/>
  <c r="AT191" i="3"/>
  <c r="AS191" i="3"/>
  <c r="AR191" i="3"/>
  <c r="AQ191" i="3"/>
  <c r="AX191" i="3" s="1"/>
  <c r="AO191" i="3"/>
  <c r="AN191" i="3"/>
  <c r="AM191" i="3"/>
  <c r="AL191" i="3"/>
  <c r="AK191" i="3"/>
  <c r="AJ191" i="3"/>
  <c r="AI191" i="3"/>
  <c r="AP191" i="3" s="1"/>
  <c r="AE191" i="3"/>
  <c r="AD191" i="3"/>
  <c r="AC191" i="3"/>
  <c r="AB191" i="3"/>
  <c r="AA191" i="3"/>
  <c r="BQ190" i="3"/>
  <c r="BP190" i="3"/>
  <c r="BO190" i="3"/>
  <c r="BN190" i="3"/>
  <c r="BM190" i="3"/>
  <c r="BL190" i="3"/>
  <c r="BK190" i="3"/>
  <c r="BJ190" i="3"/>
  <c r="BI190" i="3"/>
  <c r="BH190" i="3"/>
  <c r="BG190" i="3"/>
  <c r="BE190" i="3"/>
  <c r="BD190" i="3"/>
  <c r="BC190" i="3"/>
  <c r="BB190" i="3"/>
  <c r="BA190" i="3"/>
  <c r="AZ190" i="3"/>
  <c r="AY190" i="3"/>
  <c r="BF190" i="3" s="1"/>
  <c r="AW190" i="3"/>
  <c r="AV190" i="3"/>
  <c r="AU190" i="3"/>
  <c r="AT190" i="3"/>
  <c r="AS190" i="3"/>
  <c r="AR190" i="3"/>
  <c r="AQ190" i="3"/>
  <c r="AX190" i="3" s="1"/>
  <c r="AO190" i="3"/>
  <c r="AN190" i="3"/>
  <c r="AM190" i="3"/>
  <c r="AL190" i="3"/>
  <c r="AK190" i="3"/>
  <c r="AJ190" i="3"/>
  <c r="AI190" i="3"/>
  <c r="AP190" i="3" s="1"/>
  <c r="AE190" i="3"/>
  <c r="AD190" i="3"/>
  <c r="AC190" i="3"/>
  <c r="AB190" i="3"/>
  <c r="AA190" i="3"/>
  <c r="BQ189" i="3"/>
  <c r="BP189" i="3"/>
  <c r="BO189" i="3"/>
  <c r="BN189" i="3"/>
  <c r="BM189" i="3"/>
  <c r="BL189" i="3"/>
  <c r="BK189" i="3"/>
  <c r="BJ189" i="3"/>
  <c r="BI189" i="3"/>
  <c r="BH189" i="3"/>
  <c r="BG189" i="3"/>
  <c r="BE189" i="3"/>
  <c r="BD189" i="3"/>
  <c r="BC189" i="3"/>
  <c r="BB189" i="3"/>
  <c r="BA189" i="3"/>
  <c r="AZ189" i="3"/>
  <c r="AY189" i="3"/>
  <c r="BF189" i="3" s="1"/>
  <c r="AW189" i="3"/>
  <c r="AV189" i="3"/>
  <c r="AU189" i="3"/>
  <c r="AT189" i="3"/>
  <c r="AS189" i="3"/>
  <c r="AR189" i="3"/>
  <c r="AQ189" i="3"/>
  <c r="AX189" i="3" s="1"/>
  <c r="AO189" i="3"/>
  <c r="AN189" i="3"/>
  <c r="AM189" i="3"/>
  <c r="AL189" i="3"/>
  <c r="AK189" i="3"/>
  <c r="AJ189" i="3"/>
  <c r="AI189" i="3"/>
  <c r="AP189" i="3" s="1"/>
  <c r="AE189" i="3"/>
  <c r="AD189" i="3"/>
  <c r="AC189" i="3"/>
  <c r="AB189" i="3"/>
  <c r="AA189" i="3"/>
  <c r="BQ188" i="3"/>
  <c r="BP188" i="3"/>
  <c r="BO188" i="3"/>
  <c r="BN188" i="3"/>
  <c r="BM188" i="3"/>
  <c r="BL188" i="3"/>
  <c r="BK188" i="3"/>
  <c r="BJ188" i="3"/>
  <c r="BI188" i="3"/>
  <c r="BH188" i="3"/>
  <c r="BG188" i="3"/>
  <c r="BE188" i="3"/>
  <c r="BD188" i="3"/>
  <c r="BC188" i="3"/>
  <c r="BB188" i="3"/>
  <c r="BA188" i="3"/>
  <c r="AZ188" i="3"/>
  <c r="AY188" i="3"/>
  <c r="BF188" i="3" s="1"/>
  <c r="AW188" i="3"/>
  <c r="AV188" i="3"/>
  <c r="AU188" i="3"/>
  <c r="AT188" i="3"/>
  <c r="AS188" i="3"/>
  <c r="AR188" i="3"/>
  <c r="AQ188" i="3"/>
  <c r="AX188" i="3" s="1"/>
  <c r="AO188" i="3"/>
  <c r="AN188" i="3"/>
  <c r="AM188" i="3"/>
  <c r="AL188" i="3"/>
  <c r="AK188" i="3"/>
  <c r="AJ188" i="3"/>
  <c r="AI188" i="3"/>
  <c r="AP188" i="3" s="1"/>
  <c r="AE188" i="3"/>
  <c r="AD188" i="3"/>
  <c r="AC188" i="3"/>
  <c r="AA188" i="3" s="1"/>
  <c r="AB188" i="3"/>
  <c r="BQ187" i="3"/>
  <c r="BP187" i="3"/>
  <c r="BO187" i="3"/>
  <c r="BN187" i="3"/>
  <c r="BM187" i="3"/>
  <c r="BL187" i="3"/>
  <c r="BK187" i="3"/>
  <c r="BJ187" i="3"/>
  <c r="BI187" i="3"/>
  <c r="BH187" i="3"/>
  <c r="BG187" i="3"/>
  <c r="BE187" i="3"/>
  <c r="BD187" i="3"/>
  <c r="BC187" i="3"/>
  <c r="BB187" i="3"/>
  <c r="BA187" i="3"/>
  <c r="AZ187" i="3"/>
  <c r="AY187" i="3"/>
  <c r="BF187" i="3" s="1"/>
  <c r="AW187" i="3"/>
  <c r="AV187" i="3"/>
  <c r="AU187" i="3"/>
  <c r="AT187" i="3"/>
  <c r="AS187" i="3"/>
  <c r="AR187" i="3"/>
  <c r="AQ187" i="3"/>
  <c r="AX187" i="3" s="1"/>
  <c r="AO187" i="3"/>
  <c r="AN187" i="3"/>
  <c r="AM187" i="3"/>
  <c r="AL187" i="3"/>
  <c r="AK187" i="3"/>
  <c r="AJ187" i="3"/>
  <c r="AI187" i="3"/>
  <c r="AP187" i="3" s="1"/>
  <c r="AE187" i="3"/>
  <c r="AD187" i="3"/>
  <c r="AC187" i="3"/>
  <c r="AB187" i="3"/>
  <c r="AA187" i="3"/>
  <c r="BQ186" i="3"/>
  <c r="BP186" i="3"/>
  <c r="BO186" i="3"/>
  <c r="BN186" i="3"/>
  <c r="BM186" i="3"/>
  <c r="BL186" i="3"/>
  <c r="BK186" i="3"/>
  <c r="BJ186" i="3"/>
  <c r="BI186" i="3"/>
  <c r="BH186" i="3"/>
  <c r="BG186" i="3"/>
  <c r="BE186" i="3"/>
  <c r="BD186" i="3"/>
  <c r="BC186" i="3"/>
  <c r="BB186" i="3"/>
  <c r="BA186" i="3"/>
  <c r="AZ186" i="3"/>
  <c r="AY186" i="3"/>
  <c r="BF186" i="3" s="1"/>
  <c r="AW186" i="3"/>
  <c r="AV186" i="3"/>
  <c r="AU186" i="3"/>
  <c r="AT186" i="3"/>
  <c r="AS186" i="3"/>
  <c r="AR186" i="3"/>
  <c r="AQ186" i="3"/>
  <c r="AX186" i="3" s="1"/>
  <c r="AO186" i="3"/>
  <c r="AN186" i="3"/>
  <c r="AM186" i="3"/>
  <c r="AL186" i="3"/>
  <c r="AK186" i="3"/>
  <c r="AJ186" i="3"/>
  <c r="AI186" i="3"/>
  <c r="AP186" i="3" s="1"/>
  <c r="AE186" i="3"/>
  <c r="AD186" i="3"/>
  <c r="AC186" i="3"/>
  <c r="AB186" i="3"/>
  <c r="AA186" i="3"/>
  <c r="BQ185" i="3"/>
  <c r="BP185" i="3"/>
  <c r="BO185" i="3"/>
  <c r="BN185" i="3"/>
  <c r="BM185" i="3"/>
  <c r="BL185" i="3"/>
  <c r="BK185" i="3"/>
  <c r="BJ185" i="3"/>
  <c r="BI185" i="3"/>
  <c r="BH185" i="3"/>
  <c r="BG185" i="3"/>
  <c r="BE185" i="3"/>
  <c r="BD185" i="3"/>
  <c r="BC185" i="3"/>
  <c r="BB185" i="3"/>
  <c r="BA185" i="3"/>
  <c r="AZ185" i="3"/>
  <c r="AY185" i="3"/>
  <c r="BF185" i="3" s="1"/>
  <c r="AW185" i="3"/>
  <c r="AV185" i="3"/>
  <c r="AU185" i="3"/>
  <c r="AT185" i="3"/>
  <c r="AS185" i="3"/>
  <c r="AR185" i="3"/>
  <c r="AQ185" i="3"/>
  <c r="AX185" i="3" s="1"/>
  <c r="AO185" i="3"/>
  <c r="AN185" i="3"/>
  <c r="AM185" i="3"/>
  <c r="AL185" i="3"/>
  <c r="AK185" i="3"/>
  <c r="AJ185" i="3"/>
  <c r="AI185" i="3"/>
  <c r="AP185" i="3" s="1"/>
  <c r="AE185" i="3"/>
  <c r="AD185" i="3"/>
  <c r="AC185" i="3"/>
  <c r="AB185" i="3"/>
  <c r="AA185" i="3"/>
  <c r="BQ184" i="3"/>
  <c r="BP184" i="3"/>
  <c r="BO184" i="3"/>
  <c r="BN184" i="3"/>
  <c r="BM184" i="3"/>
  <c r="BL184" i="3"/>
  <c r="BK184" i="3"/>
  <c r="BJ184" i="3"/>
  <c r="BI184" i="3"/>
  <c r="BH184" i="3"/>
  <c r="BG184" i="3"/>
  <c r="BE184" i="3"/>
  <c r="BD184" i="3"/>
  <c r="BC184" i="3"/>
  <c r="BB184" i="3"/>
  <c r="BA184" i="3"/>
  <c r="AZ184" i="3"/>
  <c r="AY184" i="3"/>
  <c r="BF184" i="3" s="1"/>
  <c r="AW184" i="3"/>
  <c r="AV184" i="3"/>
  <c r="AU184" i="3"/>
  <c r="AT184" i="3"/>
  <c r="AS184" i="3"/>
  <c r="AR184" i="3"/>
  <c r="AQ184" i="3"/>
  <c r="AX184" i="3" s="1"/>
  <c r="AO184" i="3"/>
  <c r="AN184" i="3"/>
  <c r="AM184" i="3"/>
  <c r="AL184" i="3"/>
  <c r="AK184" i="3"/>
  <c r="AJ184" i="3"/>
  <c r="AI184" i="3"/>
  <c r="AP184" i="3" s="1"/>
  <c r="AE184" i="3"/>
  <c r="AD184" i="3"/>
  <c r="AC184" i="3"/>
  <c r="AB184" i="3"/>
  <c r="AA184" i="3"/>
  <c r="BQ183" i="3"/>
  <c r="BP183" i="3"/>
  <c r="BO183" i="3"/>
  <c r="BN183" i="3"/>
  <c r="BM183" i="3"/>
  <c r="BL183" i="3"/>
  <c r="BK183" i="3"/>
  <c r="BJ183" i="3"/>
  <c r="BI183" i="3"/>
  <c r="BH183" i="3"/>
  <c r="BG183" i="3"/>
  <c r="BE183" i="3"/>
  <c r="BD183" i="3"/>
  <c r="BC183" i="3"/>
  <c r="BB183" i="3"/>
  <c r="BA183" i="3"/>
  <c r="AZ183" i="3"/>
  <c r="AY183" i="3"/>
  <c r="BF183" i="3" s="1"/>
  <c r="AW183" i="3"/>
  <c r="AV183" i="3"/>
  <c r="AU183" i="3"/>
  <c r="AT183" i="3"/>
  <c r="AS183" i="3"/>
  <c r="AR183" i="3"/>
  <c r="AQ183" i="3"/>
  <c r="AX183" i="3" s="1"/>
  <c r="AO183" i="3"/>
  <c r="AN183" i="3"/>
  <c r="AM183" i="3"/>
  <c r="AL183" i="3"/>
  <c r="AK183" i="3"/>
  <c r="AJ183" i="3"/>
  <c r="AI183" i="3"/>
  <c r="AP183" i="3" s="1"/>
  <c r="AE183" i="3"/>
  <c r="AD183" i="3"/>
  <c r="AC183" i="3"/>
  <c r="AB183" i="3"/>
  <c r="AA183" i="3"/>
  <c r="BQ182" i="3"/>
  <c r="BP182" i="3"/>
  <c r="BO182" i="3"/>
  <c r="BN182" i="3"/>
  <c r="BM182" i="3"/>
  <c r="BL182" i="3"/>
  <c r="BK182" i="3"/>
  <c r="BJ182" i="3"/>
  <c r="BI182" i="3"/>
  <c r="BH182" i="3"/>
  <c r="BG182" i="3"/>
  <c r="BE182" i="3"/>
  <c r="BD182" i="3"/>
  <c r="BC182" i="3"/>
  <c r="BB182" i="3"/>
  <c r="BA182" i="3"/>
  <c r="AZ182" i="3"/>
  <c r="AY182" i="3"/>
  <c r="BF182" i="3" s="1"/>
  <c r="AW182" i="3"/>
  <c r="AV182" i="3"/>
  <c r="AU182" i="3"/>
  <c r="AT182" i="3"/>
  <c r="AS182" i="3"/>
  <c r="AR182" i="3"/>
  <c r="AQ182" i="3"/>
  <c r="AX182" i="3" s="1"/>
  <c r="AO182" i="3"/>
  <c r="AN182" i="3"/>
  <c r="AM182" i="3"/>
  <c r="AL182" i="3"/>
  <c r="AK182" i="3"/>
  <c r="AJ182" i="3"/>
  <c r="AI182" i="3"/>
  <c r="AP182" i="3" s="1"/>
  <c r="AE182" i="3"/>
  <c r="AD182" i="3"/>
  <c r="AC182" i="3"/>
  <c r="AB182" i="3"/>
  <c r="AA182" i="3"/>
  <c r="BQ181" i="3"/>
  <c r="BP181" i="3"/>
  <c r="BO181" i="3"/>
  <c r="BN181" i="3"/>
  <c r="BM181" i="3"/>
  <c r="BL181" i="3"/>
  <c r="BK181" i="3"/>
  <c r="BJ181" i="3"/>
  <c r="BI181" i="3"/>
  <c r="BH181" i="3"/>
  <c r="BG181" i="3"/>
  <c r="BE181" i="3"/>
  <c r="BD181" i="3"/>
  <c r="BC181" i="3"/>
  <c r="BB181" i="3"/>
  <c r="BA181" i="3"/>
  <c r="AZ181" i="3"/>
  <c r="AY181" i="3"/>
  <c r="BF181" i="3" s="1"/>
  <c r="AW181" i="3"/>
  <c r="AV181" i="3"/>
  <c r="AU181" i="3"/>
  <c r="AT181" i="3"/>
  <c r="AS181" i="3"/>
  <c r="AR181" i="3"/>
  <c r="AQ181" i="3"/>
  <c r="AX181" i="3" s="1"/>
  <c r="AO181" i="3"/>
  <c r="AN181" i="3"/>
  <c r="AM181" i="3"/>
  <c r="AL181" i="3"/>
  <c r="AK181" i="3"/>
  <c r="AJ181" i="3"/>
  <c r="AI181" i="3"/>
  <c r="AP181" i="3" s="1"/>
  <c r="AE181" i="3"/>
  <c r="AD181" i="3"/>
  <c r="AC181" i="3"/>
  <c r="AB181" i="3"/>
  <c r="AA181" i="3"/>
  <c r="BQ180" i="3"/>
  <c r="BP180" i="3"/>
  <c r="BO180" i="3"/>
  <c r="BN180" i="3"/>
  <c r="BM180" i="3"/>
  <c r="BL180" i="3"/>
  <c r="BK180" i="3"/>
  <c r="BJ180" i="3"/>
  <c r="BI180" i="3"/>
  <c r="BH180" i="3"/>
  <c r="BG180" i="3"/>
  <c r="BE180" i="3"/>
  <c r="BD180" i="3"/>
  <c r="BC180" i="3"/>
  <c r="BB180" i="3"/>
  <c r="BA180" i="3"/>
  <c r="AZ180" i="3"/>
  <c r="AY180" i="3"/>
  <c r="BF180" i="3" s="1"/>
  <c r="AW180" i="3"/>
  <c r="AV180" i="3"/>
  <c r="AU180" i="3"/>
  <c r="AT180" i="3"/>
  <c r="AS180" i="3"/>
  <c r="AR180" i="3"/>
  <c r="AQ180" i="3"/>
  <c r="AX180" i="3" s="1"/>
  <c r="AO180" i="3"/>
  <c r="AN180" i="3"/>
  <c r="AM180" i="3"/>
  <c r="AL180" i="3"/>
  <c r="AK180" i="3"/>
  <c r="AJ180" i="3"/>
  <c r="AI180" i="3"/>
  <c r="AP180" i="3" s="1"/>
  <c r="AE180" i="3"/>
  <c r="AD180" i="3"/>
  <c r="AC180" i="3"/>
  <c r="AA180" i="3" s="1"/>
  <c r="AB180" i="3"/>
  <c r="BQ179" i="3"/>
  <c r="BP179" i="3"/>
  <c r="BO179" i="3"/>
  <c r="BN179" i="3"/>
  <c r="BM179" i="3"/>
  <c r="BL179" i="3"/>
  <c r="BK179" i="3"/>
  <c r="BJ179" i="3"/>
  <c r="BI179" i="3"/>
  <c r="BH179" i="3"/>
  <c r="BG179" i="3"/>
  <c r="BE179" i="3"/>
  <c r="BD179" i="3"/>
  <c r="BC179" i="3"/>
  <c r="BB179" i="3"/>
  <c r="BA179" i="3"/>
  <c r="AZ179" i="3"/>
  <c r="AY179" i="3"/>
  <c r="BF179" i="3" s="1"/>
  <c r="AW179" i="3"/>
  <c r="AV179" i="3"/>
  <c r="AU179" i="3"/>
  <c r="AT179" i="3"/>
  <c r="AS179" i="3"/>
  <c r="AR179" i="3"/>
  <c r="AQ179" i="3"/>
  <c r="AX179" i="3" s="1"/>
  <c r="AO179" i="3"/>
  <c r="AN179" i="3"/>
  <c r="AM179" i="3"/>
  <c r="AL179" i="3"/>
  <c r="AK179" i="3"/>
  <c r="AJ179" i="3"/>
  <c r="AI179" i="3"/>
  <c r="AP179" i="3" s="1"/>
  <c r="AE179" i="3"/>
  <c r="AD179" i="3"/>
  <c r="AC179" i="3"/>
  <c r="AA179" i="3" s="1"/>
  <c r="AB179" i="3"/>
  <c r="BQ178" i="3"/>
  <c r="BP178" i="3"/>
  <c r="BO178" i="3"/>
  <c r="BN178" i="3"/>
  <c r="BM178" i="3"/>
  <c r="BL178" i="3"/>
  <c r="BK178" i="3"/>
  <c r="BJ178" i="3"/>
  <c r="BI178" i="3"/>
  <c r="BH178" i="3"/>
  <c r="BG178" i="3"/>
  <c r="BE178" i="3"/>
  <c r="BD178" i="3"/>
  <c r="BC178" i="3"/>
  <c r="BB178" i="3"/>
  <c r="BA178" i="3"/>
  <c r="AZ178" i="3"/>
  <c r="AY178" i="3"/>
  <c r="BF178" i="3" s="1"/>
  <c r="AW178" i="3"/>
  <c r="AV178" i="3"/>
  <c r="AU178" i="3"/>
  <c r="AT178" i="3"/>
  <c r="AS178" i="3"/>
  <c r="AR178" i="3"/>
  <c r="AQ178" i="3"/>
  <c r="AX178" i="3" s="1"/>
  <c r="AO178" i="3"/>
  <c r="AN178" i="3"/>
  <c r="AM178" i="3"/>
  <c r="AL178" i="3"/>
  <c r="AK178" i="3"/>
  <c r="AJ178" i="3"/>
  <c r="AI178" i="3"/>
  <c r="AP178" i="3" s="1"/>
  <c r="AE178" i="3"/>
  <c r="AD178" i="3"/>
  <c r="AC178" i="3"/>
  <c r="AB178" i="3"/>
  <c r="AA178" i="3"/>
  <c r="BQ177" i="3"/>
  <c r="BP177" i="3"/>
  <c r="BO177" i="3"/>
  <c r="BN177" i="3"/>
  <c r="BM177" i="3"/>
  <c r="BL177" i="3"/>
  <c r="BK177" i="3"/>
  <c r="BJ177" i="3"/>
  <c r="BI177" i="3"/>
  <c r="BH177" i="3"/>
  <c r="BG177" i="3"/>
  <c r="BE177" i="3"/>
  <c r="BD177" i="3"/>
  <c r="BC177" i="3"/>
  <c r="BB177" i="3"/>
  <c r="BA177" i="3"/>
  <c r="AZ177" i="3"/>
  <c r="AY177" i="3"/>
  <c r="BF177" i="3" s="1"/>
  <c r="AW177" i="3"/>
  <c r="AV177" i="3"/>
  <c r="AU177" i="3"/>
  <c r="AT177" i="3"/>
  <c r="AS177" i="3"/>
  <c r="AR177" i="3"/>
  <c r="AQ177" i="3"/>
  <c r="AX177" i="3" s="1"/>
  <c r="AO177" i="3"/>
  <c r="AN177" i="3"/>
  <c r="AM177" i="3"/>
  <c r="AL177" i="3"/>
  <c r="AK177" i="3"/>
  <c r="AJ177" i="3"/>
  <c r="AI177" i="3"/>
  <c r="AP177" i="3" s="1"/>
  <c r="AE177" i="3"/>
  <c r="AD177" i="3"/>
  <c r="AC177" i="3"/>
  <c r="AB177" i="3"/>
  <c r="AA177" i="3"/>
  <c r="BQ176" i="3"/>
  <c r="BP176" i="3"/>
  <c r="BO176" i="3"/>
  <c r="BN176" i="3"/>
  <c r="BM176" i="3"/>
  <c r="BL176" i="3"/>
  <c r="BK176" i="3"/>
  <c r="BJ176" i="3"/>
  <c r="BI176" i="3"/>
  <c r="BH176" i="3"/>
  <c r="BG176" i="3"/>
  <c r="BE176" i="3"/>
  <c r="BD176" i="3"/>
  <c r="BC176" i="3"/>
  <c r="BB176" i="3"/>
  <c r="BA176" i="3"/>
  <c r="AZ176" i="3"/>
  <c r="AY176" i="3"/>
  <c r="BF176" i="3" s="1"/>
  <c r="AW176" i="3"/>
  <c r="AV176" i="3"/>
  <c r="AU176" i="3"/>
  <c r="AT176" i="3"/>
  <c r="AS176" i="3"/>
  <c r="AR176" i="3"/>
  <c r="AQ176" i="3"/>
  <c r="AX176" i="3" s="1"/>
  <c r="AO176" i="3"/>
  <c r="AN176" i="3"/>
  <c r="AM176" i="3"/>
  <c r="AL176" i="3"/>
  <c r="AK176" i="3"/>
  <c r="AJ176" i="3"/>
  <c r="AI176" i="3"/>
  <c r="AP176" i="3" s="1"/>
  <c r="AE176" i="3"/>
  <c r="AD176" i="3"/>
  <c r="AC176" i="3"/>
  <c r="AB176" i="3"/>
  <c r="AA176" i="3"/>
  <c r="BQ175" i="3"/>
  <c r="BP175" i="3"/>
  <c r="BO175" i="3"/>
  <c r="BN175" i="3"/>
  <c r="BM175" i="3"/>
  <c r="BL175" i="3"/>
  <c r="BK175" i="3"/>
  <c r="BJ175" i="3"/>
  <c r="BI175" i="3"/>
  <c r="BH175" i="3"/>
  <c r="BG175" i="3"/>
  <c r="BE175" i="3"/>
  <c r="BD175" i="3"/>
  <c r="BC175" i="3"/>
  <c r="BB175" i="3"/>
  <c r="BA175" i="3"/>
  <c r="AZ175" i="3"/>
  <c r="AY175" i="3"/>
  <c r="BF175" i="3" s="1"/>
  <c r="AW175" i="3"/>
  <c r="AV175" i="3"/>
  <c r="AU175" i="3"/>
  <c r="AT175" i="3"/>
  <c r="AS175" i="3"/>
  <c r="AR175" i="3"/>
  <c r="AQ175" i="3"/>
  <c r="AX175" i="3" s="1"/>
  <c r="AO175" i="3"/>
  <c r="AN175" i="3"/>
  <c r="AM175" i="3"/>
  <c r="AL175" i="3"/>
  <c r="AK175" i="3"/>
  <c r="AJ175" i="3"/>
  <c r="AI175" i="3"/>
  <c r="AP175" i="3" s="1"/>
  <c r="AE175" i="3"/>
  <c r="AD175" i="3"/>
  <c r="AC175" i="3"/>
  <c r="AB175" i="3"/>
  <c r="AA175" i="3"/>
  <c r="BQ174" i="3"/>
  <c r="BP174" i="3"/>
  <c r="BO174" i="3"/>
  <c r="BN174" i="3"/>
  <c r="BM174" i="3"/>
  <c r="BL174" i="3"/>
  <c r="BK174" i="3"/>
  <c r="BJ174" i="3"/>
  <c r="BI174" i="3"/>
  <c r="BH174" i="3"/>
  <c r="BG174" i="3"/>
  <c r="BE174" i="3"/>
  <c r="BD174" i="3"/>
  <c r="BC174" i="3"/>
  <c r="BB174" i="3"/>
  <c r="BA174" i="3"/>
  <c r="AZ174" i="3"/>
  <c r="AY174" i="3"/>
  <c r="BF174" i="3" s="1"/>
  <c r="AW174" i="3"/>
  <c r="AV174" i="3"/>
  <c r="AU174" i="3"/>
  <c r="AT174" i="3"/>
  <c r="AS174" i="3"/>
  <c r="AR174" i="3"/>
  <c r="AQ174" i="3"/>
  <c r="AX174" i="3" s="1"/>
  <c r="AO174" i="3"/>
  <c r="AN174" i="3"/>
  <c r="AM174" i="3"/>
  <c r="AL174" i="3"/>
  <c r="AK174" i="3"/>
  <c r="AJ174" i="3"/>
  <c r="AI174" i="3"/>
  <c r="AP174" i="3" s="1"/>
  <c r="AE174" i="3"/>
  <c r="AD174" i="3"/>
  <c r="AC174" i="3"/>
  <c r="AB174" i="3"/>
  <c r="AA174" i="3"/>
  <c r="BQ173" i="3"/>
  <c r="BP173" i="3"/>
  <c r="BO173" i="3"/>
  <c r="BN173" i="3"/>
  <c r="BM173" i="3"/>
  <c r="BL173" i="3"/>
  <c r="BK173" i="3"/>
  <c r="BJ173" i="3"/>
  <c r="BI173" i="3"/>
  <c r="BH173" i="3"/>
  <c r="BG173" i="3"/>
  <c r="BE173" i="3"/>
  <c r="BD173" i="3"/>
  <c r="BC173" i="3"/>
  <c r="BB173" i="3"/>
  <c r="BA173" i="3"/>
  <c r="AZ173" i="3"/>
  <c r="AY173" i="3"/>
  <c r="BF173" i="3" s="1"/>
  <c r="AW173" i="3"/>
  <c r="AV173" i="3"/>
  <c r="AU173" i="3"/>
  <c r="AT173" i="3"/>
  <c r="AS173" i="3"/>
  <c r="AR173" i="3"/>
  <c r="AQ173" i="3"/>
  <c r="AX173" i="3" s="1"/>
  <c r="AO173" i="3"/>
  <c r="AN173" i="3"/>
  <c r="AM173" i="3"/>
  <c r="AL173" i="3"/>
  <c r="AK173" i="3"/>
  <c r="AJ173" i="3"/>
  <c r="AI173" i="3"/>
  <c r="AP173" i="3" s="1"/>
  <c r="AE173" i="3"/>
  <c r="AD173" i="3"/>
  <c r="AC173" i="3"/>
  <c r="AB173" i="3"/>
  <c r="AA173" i="3"/>
  <c r="BQ172" i="3"/>
  <c r="BP172" i="3"/>
  <c r="BO172" i="3"/>
  <c r="BN172" i="3"/>
  <c r="BM172" i="3"/>
  <c r="BL172" i="3"/>
  <c r="BK172" i="3"/>
  <c r="BJ172" i="3"/>
  <c r="BI172" i="3"/>
  <c r="BH172" i="3"/>
  <c r="BG172" i="3"/>
  <c r="BE172" i="3"/>
  <c r="BD172" i="3"/>
  <c r="BC172" i="3"/>
  <c r="BB172" i="3"/>
  <c r="BA172" i="3"/>
  <c r="AZ172" i="3"/>
  <c r="AY172" i="3"/>
  <c r="BF172" i="3" s="1"/>
  <c r="AW172" i="3"/>
  <c r="AV172" i="3"/>
  <c r="AU172" i="3"/>
  <c r="AT172" i="3"/>
  <c r="AS172" i="3"/>
  <c r="AR172" i="3"/>
  <c r="AQ172" i="3"/>
  <c r="AX172" i="3" s="1"/>
  <c r="AO172" i="3"/>
  <c r="AN172" i="3"/>
  <c r="AM172" i="3"/>
  <c r="AL172" i="3"/>
  <c r="AK172" i="3"/>
  <c r="AJ172" i="3"/>
  <c r="AI172" i="3"/>
  <c r="AP172" i="3" s="1"/>
  <c r="AE172" i="3"/>
  <c r="AD172" i="3"/>
  <c r="AC172" i="3"/>
  <c r="AB172" i="3"/>
  <c r="AA172" i="3"/>
  <c r="BQ171" i="3"/>
  <c r="BP171" i="3"/>
  <c r="BO171" i="3"/>
  <c r="BN171" i="3"/>
  <c r="BM171" i="3"/>
  <c r="BL171" i="3"/>
  <c r="BK171" i="3"/>
  <c r="BJ171" i="3"/>
  <c r="BI171" i="3"/>
  <c r="BH171" i="3"/>
  <c r="BG171" i="3"/>
  <c r="BE171" i="3"/>
  <c r="BD171" i="3"/>
  <c r="BC171" i="3"/>
  <c r="BB171" i="3"/>
  <c r="BA171" i="3"/>
  <c r="AZ171" i="3"/>
  <c r="AY171" i="3"/>
  <c r="BF171" i="3" s="1"/>
  <c r="AW171" i="3"/>
  <c r="AV171" i="3"/>
  <c r="AU171" i="3"/>
  <c r="AT171" i="3"/>
  <c r="AS171" i="3"/>
  <c r="AR171" i="3"/>
  <c r="AQ171" i="3"/>
  <c r="AX171" i="3" s="1"/>
  <c r="AO171" i="3"/>
  <c r="AN171" i="3"/>
  <c r="AM171" i="3"/>
  <c r="AL171" i="3"/>
  <c r="AK171" i="3"/>
  <c r="AJ171" i="3"/>
  <c r="AI171" i="3"/>
  <c r="AP171" i="3" s="1"/>
  <c r="AE171" i="3"/>
  <c r="AD171" i="3"/>
  <c r="AC171" i="3"/>
  <c r="AA171" i="3" s="1"/>
  <c r="AB171" i="3"/>
  <c r="BQ170" i="3"/>
  <c r="BP170" i="3"/>
  <c r="BO170" i="3"/>
  <c r="BN170" i="3"/>
  <c r="BM170" i="3"/>
  <c r="BL170" i="3"/>
  <c r="BK170" i="3"/>
  <c r="BJ170" i="3"/>
  <c r="BI170" i="3"/>
  <c r="BH170" i="3"/>
  <c r="BG170" i="3"/>
  <c r="BE170" i="3"/>
  <c r="BD170" i="3"/>
  <c r="BC170" i="3"/>
  <c r="BB170" i="3"/>
  <c r="BA170" i="3"/>
  <c r="AZ170" i="3"/>
  <c r="AY170" i="3"/>
  <c r="BF170" i="3" s="1"/>
  <c r="AW170" i="3"/>
  <c r="AV170" i="3"/>
  <c r="AU170" i="3"/>
  <c r="AT170" i="3"/>
  <c r="AS170" i="3"/>
  <c r="AR170" i="3"/>
  <c r="AQ170" i="3"/>
  <c r="AX170" i="3" s="1"/>
  <c r="AO170" i="3"/>
  <c r="AN170" i="3"/>
  <c r="AM170" i="3"/>
  <c r="AL170" i="3"/>
  <c r="AK170" i="3"/>
  <c r="AJ170" i="3"/>
  <c r="AI170" i="3"/>
  <c r="AP170" i="3" s="1"/>
  <c r="AE170" i="3"/>
  <c r="AD170" i="3"/>
  <c r="AC170" i="3"/>
  <c r="AB170" i="3"/>
  <c r="AA170" i="3"/>
  <c r="BQ169" i="3"/>
  <c r="BP169" i="3"/>
  <c r="BO169" i="3"/>
  <c r="BN169" i="3"/>
  <c r="BM169" i="3"/>
  <c r="BL169" i="3"/>
  <c r="BK169" i="3"/>
  <c r="BJ169" i="3"/>
  <c r="BI169" i="3"/>
  <c r="BH169" i="3"/>
  <c r="BG169" i="3"/>
  <c r="BE169" i="3"/>
  <c r="BD169" i="3"/>
  <c r="BC169" i="3"/>
  <c r="BB169" i="3"/>
  <c r="BA169" i="3"/>
  <c r="AZ169" i="3"/>
  <c r="AY169" i="3"/>
  <c r="BF169" i="3" s="1"/>
  <c r="AW169" i="3"/>
  <c r="AV169" i="3"/>
  <c r="AU169" i="3"/>
  <c r="AT169" i="3"/>
  <c r="AS169" i="3"/>
  <c r="AR169" i="3"/>
  <c r="AQ169" i="3"/>
  <c r="AX169" i="3" s="1"/>
  <c r="AO169" i="3"/>
  <c r="AN169" i="3"/>
  <c r="AM169" i="3"/>
  <c r="AL169" i="3"/>
  <c r="AK169" i="3"/>
  <c r="AJ169" i="3"/>
  <c r="AI169" i="3"/>
  <c r="AP169" i="3" s="1"/>
  <c r="AE169" i="3"/>
  <c r="AD169" i="3"/>
  <c r="AC169" i="3"/>
  <c r="AB169" i="3"/>
  <c r="AA169" i="3"/>
  <c r="BQ168" i="3"/>
  <c r="BP168" i="3"/>
  <c r="BO168" i="3"/>
  <c r="BN168" i="3"/>
  <c r="BM168" i="3"/>
  <c r="BL168" i="3"/>
  <c r="BK168" i="3"/>
  <c r="BJ168" i="3"/>
  <c r="BI168" i="3"/>
  <c r="BH168" i="3"/>
  <c r="BG168" i="3"/>
  <c r="BE168" i="3"/>
  <c r="BD168" i="3"/>
  <c r="BC168" i="3"/>
  <c r="BB168" i="3"/>
  <c r="BA168" i="3"/>
  <c r="AZ168" i="3"/>
  <c r="AY168" i="3"/>
  <c r="BF168" i="3" s="1"/>
  <c r="AW168" i="3"/>
  <c r="AV168" i="3"/>
  <c r="AU168" i="3"/>
  <c r="AT168" i="3"/>
  <c r="AS168" i="3"/>
  <c r="AR168" i="3"/>
  <c r="AQ168" i="3"/>
  <c r="AX168" i="3" s="1"/>
  <c r="AO168" i="3"/>
  <c r="AN168" i="3"/>
  <c r="AM168" i="3"/>
  <c r="AL168" i="3"/>
  <c r="AK168" i="3"/>
  <c r="AJ168" i="3"/>
  <c r="AI168" i="3"/>
  <c r="AP168" i="3" s="1"/>
  <c r="AE168" i="3"/>
  <c r="AD168" i="3"/>
  <c r="AC168" i="3"/>
  <c r="AB168" i="3"/>
  <c r="AA168" i="3"/>
  <c r="BQ167" i="3"/>
  <c r="BP167" i="3"/>
  <c r="BO167" i="3"/>
  <c r="BN167" i="3"/>
  <c r="BM167" i="3"/>
  <c r="BL167" i="3"/>
  <c r="BK167" i="3"/>
  <c r="BJ167" i="3"/>
  <c r="BI167" i="3"/>
  <c r="BH167" i="3"/>
  <c r="BG167" i="3"/>
  <c r="BE167" i="3"/>
  <c r="BD167" i="3"/>
  <c r="BC167" i="3"/>
  <c r="BB167" i="3"/>
  <c r="BA167" i="3"/>
  <c r="AZ167" i="3"/>
  <c r="AY167" i="3"/>
  <c r="BF167" i="3" s="1"/>
  <c r="AW167" i="3"/>
  <c r="AV167" i="3"/>
  <c r="AU167" i="3"/>
  <c r="AT167" i="3"/>
  <c r="AS167" i="3"/>
  <c r="AR167" i="3"/>
  <c r="AQ167" i="3"/>
  <c r="AX167" i="3" s="1"/>
  <c r="AO167" i="3"/>
  <c r="AN167" i="3"/>
  <c r="AM167" i="3"/>
  <c r="AL167" i="3"/>
  <c r="AK167" i="3"/>
  <c r="AJ167" i="3"/>
  <c r="AI167" i="3"/>
  <c r="AP167" i="3" s="1"/>
  <c r="AE167" i="3"/>
  <c r="AD167" i="3"/>
  <c r="AC167" i="3"/>
  <c r="AB167" i="3"/>
  <c r="AA167" i="3"/>
  <c r="BQ166" i="3"/>
  <c r="BP166" i="3"/>
  <c r="BO166" i="3"/>
  <c r="BN166" i="3"/>
  <c r="BM166" i="3"/>
  <c r="BL166" i="3"/>
  <c r="BK166" i="3"/>
  <c r="BJ166" i="3"/>
  <c r="BI166" i="3"/>
  <c r="BH166" i="3"/>
  <c r="BG166" i="3"/>
  <c r="BE166" i="3"/>
  <c r="BD166" i="3"/>
  <c r="BC166" i="3"/>
  <c r="BB166" i="3"/>
  <c r="BA166" i="3"/>
  <c r="AZ166" i="3"/>
  <c r="AY166" i="3"/>
  <c r="BF166" i="3" s="1"/>
  <c r="AW166" i="3"/>
  <c r="AV166" i="3"/>
  <c r="AU166" i="3"/>
  <c r="AT166" i="3"/>
  <c r="AS166" i="3"/>
  <c r="AR166" i="3"/>
  <c r="AQ166" i="3"/>
  <c r="AX166" i="3" s="1"/>
  <c r="AO166" i="3"/>
  <c r="AN166" i="3"/>
  <c r="AM166" i="3"/>
  <c r="AL166" i="3"/>
  <c r="AK166" i="3"/>
  <c r="AJ166" i="3"/>
  <c r="AI166" i="3"/>
  <c r="AP166" i="3" s="1"/>
  <c r="AE166" i="3"/>
  <c r="AD166" i="3"/>
  <c r="AC166" i="3"/>
  <c r="AB166" i="3"/>
  <c r="AA166" i="3"/>
  <c r="BQ165" i="3"/>
  <c r="BP165" i="3"/>
  <c r="BO165" i="3"/>
  <c r="BN165" i="3"/>
  <c r="BM165" i="3"/>
  <c r="BL165" i="3"/>
  <c r="BK165" i="3"/>
  <c r="BJ165" i="3"/>
  <c r="BI165" i="3"/>
  <c r="BH165" i="3"/>
  <c r="BG165" i="3"/>
  <c r="BE165" i="3"/>
  <c r="BD165" i="3"/>
  <c r="BC165" i="3"/>
  <c r="BB165" i="3"/>
  <c r="BA165" i="3"/>
  <c r="AZ165" i="3"/>
  <c r="AY165" i="3"/>
  <c r="BF165" i="3" s="1"/>
  <c r="AW165" i="3"/>
  <c r="AV165" i="3"/>
  <c r="AU165" i="3"/>
  <c r="AT165" i="3"/>
  <c r="AS165" i="3"/>
  <c r="AR165" i="3"/>
  <c r="AQ165" i="3"/>
  <c r="AX165" i="3" s="1"/>
  <c r="AO165" i="3"/>
  <c r="AN165" i="3"/>
  <c r="AM165" i="3"/>
  <c r="AL165" i="3"/>
  <c r="AK165" i="3"/>
  <c r="AJ165" i="3"/>
  <c r="AI165" i="3"/>
  <c r="AP165" i="3" s="1"/>
  <c r="AE165" i="3"/>
  <c r="AD165" i="3"/>
  <c r="AC165" i="3"/>
  <c r="AB165" i="3"/>
  <c r="AA165" i="3"/>
  <c r="BQ164" i="3"/>
  <c r="BP164" i="3"/>
  <c r="BO164" i="3"/>
  <c r="BN164" i="3"/>
  <c r="BM164" i="3"/>
  <c r="BL164" i="3"/>
  <c r="BK164" i="3"/>
  <c r="BJ164" i="3"/>
  <c r="BI164" i="3"/>
  <c r="BH164" i="3"/>
  <c r="BG164" i="3"/>
  <c r="BE164" i="3"/>
  <c r="BD164" i="3"/>
  <c r="BC164" i="3"/>
  <c r="BB164" i="3"/>
  <c r="BA164" i="3"/>
  <c r="AZ164" i="3"/>
  <c r="AY164" i="3"/>
  <c r="BF164" i="3" s="1"/>
  <c r="AW164" i="3"/>
  <c r="AV164" i="3"/>
  <c r="AU164" i="3"/>
  <c r="AT164" i="3"/>
  <c r="AS164" i="3"/>
  <c r="AR164" i="3"/>
  <c r="AQ164" i="3"/>
  <c r="AX164" i="3" s="1"/>
  <c r="AO164" i="3"/>
  <c r="AN164" i="3"/>
  <c r="AM164" i="3"/>
  <c r="AL164" i="3"/>
  <c r="AK164" i="3"/>
  <c r="AJ164" i="3"/>
  <c r="AI164" i="3"/>
  <c r="AP164" i="3" s="1"/>
  <c r="AE164" i="3"/>
  <c r="AD164" i="3"/>
  <c r="AC164" i="3"/>
  <c r="AB164" i="3"/>
  <c r="AA164" i="3"/>
  <c r="BQ163" i="3"/>
  <c r="BP163" i="3"/>
  <c r="BO163" i="3"/>
  <c r="BN163" i="3"/>
  <c r="BM163" i="3"/>
  <c r="BL163" i="3"/>
  <c r="BK163" i="3"/>
  <c r="BJ163" i="3"/>
  <c r="BI163" i="3"/>
  <c r="BH163" i="3"/>
  <c r="BG163" i="3"/>
  <c r="BE163" i="3"/>
  <c r="BD163" i="3"/>
  <c r="BC163" i="3"/>
  <c r="BB163" i="3"/>
  <c r="BA163" i="3"/>
  <c r="AZ163" i="3"/>
  <c r="AY163" i="3"/>
  <c r="BF163" i="3" s="1"/>
  <c r="AW163" i="3"/>
  <c r="AV163" i="3"/>
  <c r="AU163" i="3"/>
  <c r="AT163" i="3"/>
  <c r="AS163" i="3"/>
  <c r="AR163" i="3"/>
  <c r="AQ163" i="3"/>
  <c r="AX163" i="3" s="1"/>
  <c r="AO163" i="3"/>
  <c r="AN163" i="3"/>
  <c r="AM163" i="3"/>
  <c r="AL163" i="3"/>
  <c r="AK163" i="3"/>
  <c r="AJ163" i="3"/>
  <c r="AI163" i="3"/>
  <c r="AP163" i="3" s="1"/>
  <c r="AE163" i="3"/>
  <c r="AD163" i="3"/>
  <c r="AC163" i="3"/>
  <c r="AB163" i="3"/>
  <c r="AA163" i="3"/>
  <c r="BQ162" i="3"/>
  <c r="BP162" i="3"/>
  <c r="BO162" i="3"/>
  <c r="BN162" i="3"/>
  <c r="BM162" i="3"/>
  <c r="BL162" i="3"/>
  <c r="BK162" i="3"/>
  <c r="BJ162" i="3"/>
  <c r="BI162" i="3"/>
  <c r="BH162" i="3"/>
  <c r="BG162" i="3"/>
  <c r="BE162" i="3"/>
  <c r="BD162" i="3"/>
  <c r="BC162" i="3"/>
  <c r="BB162" i="3"/>
  <c r="BA162" i="3"/>
  <c r="AZ162" i="3"/>
  <c r="AY162" i="3"/>
  <c r="BF162" i="3" s="1"/>
  <c r="AW162" i="3"/>
  <c r="AV162" i="3"/>
  <c r="AU162" i="3"/>
  <c r="AT162" i="3"/>
  <c r="AS162" i="3"/>
  <c r="AR162" i="3"/>
  <c r="AQ162" i="3"/>
  <c r="AX162" i="3" s="1"/>
  <c r="AO162" i="3"/>
  <c r="AN162" i="3"/>
  <c r="AM162" i="3"/>
  <c r="AL162" i="3"/>
  <c r="AK162" i="3"/>
  <c r="AJ162" i="3"/>
  <c r="AI162" i="3"/>
  <c r="AP162" i="3" s="1"/>
  <c r="AE162" i="3"/>
  <c r="AD162" i="3"/>
  <c r="AC162" i="3"/>
  <c r="AB162" i="3"/>
  <c r="AA162" i="3"/>
  <c r="BQ161" i="3"/>
  <c r="BP161" i="3"/>
  <c r="BO161" i="3"/>
  <c r="BN161" i="3"/>
  <c r="BM161" i="3"/>
  <c r="BL161" i="3"/>
  <c r="BK161" i="3"/>
  <c r="BJ161" i="3"/>
  <c r="BI161" i="3"/>
  <c r="BH161" i="3"/>
  <c r="BG161" i="3"/>
  <c r="BE161" i="3"/>
  <c r="BD161" i="3"/>
  <c r="BC161" i="3"/>
  <c r="BB161" i="3"/>
  <c r="BA161" i="3"/>
  <c r="AZ161" i="3"/>
  <c r="AY161" i="3"/>
  <c r="BF161" i="3" s="1"/>
  <c r="AW161" i="3"/>
  <c r="AV161" i="3"/>
  <c r="AU161" i="3"/>
  <c r="AT161" i="3"/>
  <c r="AS161" i="3"/>
  <c r="AR161" i="3"/>
  <c r="AQ161" i="3"/>
  <c r="AX161" i="3" s="1"/>
  <c r="AO161" i="3"/>
  <c r="AN161" i="3"/>
  <c r="AM161" i="3"/>
  <c r="AL161" i="3"/>
  <c r="AK161" i="3"/>
  <c r="AJ161" i="3"/>
  <c r="AI161" i="3"/>
  <c r="AP161" i="3" s="1"/>
  <c r="AE161" i="3"/>
  <c r="AD161" i="3"/>
  <c r="AC161" i="3"/>
  <c r="AB161" i="3"/>
  <c r="AA161" i="3"/>
  <c r="BQ160" i="3"/>
  <c r="BP160" i="3"/>
  <c r="BO160" i="3"/>
  <c r="BN160" i="3"/>
  <c r="BM160" i="3"/>
  <c r="BL160" i="3"/>
  <c r="BK160" i="3"/>
  <c r="BJ160" i="3"/>
  <c r="BI160" i="3"/>
  <c r="BH160" i="3"/>
  <c r="BG160" i="3"/>
  <c r="BE160" i="3"/>
  <c r="BD160" i="3"/>
  <c r="BC160" i="3"/>
  <c r="BB160" i="3"/>
  <c r="BA160" i="3"/>
  <c r="AZ160" i="3"/>
  <c r="AY160" i="3"/>
  <c r="BF160" i="3" s="1"/>
  <c r="AW160" i="3"/>
  <c r="AV160" i="3"/>
  <c r="AU160" i="3"/>
  <c r="AT160" i="3"/>
  <c r="AS160" i="3"/>
  <c r="AR160" i="3"/>
  <c r="AQ160" i="3"/>
  <c r="AX160" i="3" s="1"/>
  <c r="AO160" i="3"/>
  <c r="AN160" i="3"/>
  <c r="AM160" i="3"/>
  <c r="AL160" i="3"/>
  <c r="AK160" i="3"/>
  <c r="AJ160" i="3"/>
  <c r="AI160" i="3"/>
  <c r="AP160" i="3" s="1"/>
  <c r="AE160" i="3"/>
  <c r="AD160" i="3"/>
  <c r="AC160" i="3"/>
  <c r="AB160" i="3"/>
  <c r="AA160" i="3"/>
  <c r="BQ159" i="3"/>
  <c r="BP159" i="3"/>
  <c r="BO159" i="3"/>
  <c r="BN159" i="3"/>
  <c r="BM159" i="3"/>
  <c r="BL159" i="3"/>
  <c r="BK159" i="3"/>
  <c r="BJ159" i="3"/>
  <c r="BI159" i="3"/>
  <c r="BH159" i="3"/>
  <c r="BG159" i="3"/>
  <c r="BE159" i="3"/>
  <c r="BD159" i="3"/>
  <c r="BC159" i="3"/>
  <c r="BB159" i="3"/>
  <c r="BA159" i="3"/>
  <c r="AZ159" i="3"/>
  <c r="AY159" i="3"/>
  <c r="BF159" i="3" s="1"/>
  <c r="AW159" i="3"/>
  <c r="AV159" i="3"/>
  <c r="AU159" i="3"/>
  <c r="AT159" i="3"/>
  <c r="AS159" i="3"/>
  <c r="AR159" i="3"/>
  <c r="AQ159" i="3"/>
  <c r="AX159" i="3" s="1"/>
  <c r="AO159" i="3"/>
  <c r="AN159" i="3"/>
  <c r="AM159" i="3"/>
  <c r="AL159" i="3"/>
  <c r="AK159" i="3"/>
  <c r="AJ159" i="3"/>
  <c r="AI159" i="3"/>
  <c r="AP159" i="3" s="1"/>
  <c r="AE159" i="3"/>
  <c r="AD159" i="3"/>
  <c r="AC159" i="3"/>
  <c r="AA159" i="3" s="1"/>
  <c r="AB159" i="3"/>
  <c r="BQ158" i="3"/>
  <c r="BP158" i="3"/>
  <c r="BO158" i="3"/>
  <c r="BN158" i="3"/>
  <c r="BM158" i="3"/>
  <c r="BL158" i="3"/>
  <c r="BK158" i="3"/>
  <c r="BJ158" i="3"/>
  <c r="BI158" i="3"/>
  <c r="BH158" i="3"/>
  <c r="BG158" i="3"/>
  <c r="BE158" i="3"/>
  <c r="BD158" i="3"/>
  <c r="BC158" i="3"/>
  <c r="BB158" i="3"/>
  <c r="BA158" i="3"/>
  <c r="AZ158" i="3"/>
  <c r="AY158" i="3"/>
  <c r="BF158" i="3" s="1"/>
  <c r="AW158" i="3"/>
  <c r="AV158" i="3"/>
  <c r="AU158" i="3"/>
  <c r="AT158" i="3"/>
  <c r="AS158" i="3"/>
  <c r="AR158" i="3"/>
  <c r="AQ158" i="3"/>
  <c r="AX158" i="3" s="1"/>
  <c r="AO158" i="3"/>
  <c r="AN158" i="3"/>
  <c r="AM158" i="3"/>
  <c r="AL158" i="3"/>
  <c r="AK158" i="3"/>
  <c r="AJ158" i="3"/>
  <c r="AI158" i="3"/>
  <c r="AP158" i="3" s="1"/>
  <c r="AE158" i="3"/>
  <c r="AD158" i="3"/>
  <c r="AC158" i="3"/>
  <c r="AB158" i="3"/>
  <c r="AA158" i="3"/>
  <c r="BQ157" i="3"/>
  <c r="BP157" i="3"/>
  <c r="BO157" i="3"/>
  <c r="BN157" i="3"/>
  <c r="BM157" i="3"/>
  <c r="BL157" i="3"/>
  <c r="BK157" i="3"/>
  <c r="BJ157" i="3"/>
  <c r="BI157" i="3"/>
  <c r="BH157" i="3"/>
  <c r="BG157" i="3"/>
  <c r="BE157" i="3"/>
  <c r="BD157" i="3"/>
  <c r="BC157" i="3"/>
  <c r="BB157" i="3"/>
  <c r="BA157" i="3"/>
  <c r="AZ157" i="3"/>
  <c r="AY157" i="3"/>
  <c r="BF157" i="3" s="1"/>
  <c r="AW157" i="3"/>
  <c r="AV157" i="3"/>
  <c r="AU157" i="3"/>
  <c r="AT157" i="3"/>
  <c r="AS157" i="3"/>
  <c r="AR157" i="3"/>
  <c r="AQ157" i="3"/>
  <c r="AX157" i="3" s="1"/>
  <c r="AO157" i="3"/>
  <c r="AN157" i="3"/>
  <c r="AM157" i="3"/>
  <c r="AL157" i="3"/>
  <c r="AK157" i="3"/>
  <c r="AJ157" i="3"/>
  <c r="AI157" i="3"/>
  <c r="AP157" i="3" s="1"/>
  <c r="AE157" i="3"/>
  <c r="AD157" i="3"/>
  <c r="AC157" i="3"/>
  <c r="AB157" i="3"/>
  <c r="AA157" i="3"/>
  <c r="BQ156" i="3"/>
  <c r="BP156" i="3"/>
  <c r="BO156" i="3"/>
  <c r="BN156" i="3"/>
  <c r="BM156" i="3"/>
  <c r="BL156" i="3"/>
  <c r="BK156" i="3"/>
  <c r="BJ156" i="3"/>
  <c r="BI156" i="3"/>
  <c r="BH156" i="3"/>
  <c r="BG156" i="3"/>
  <c r="BE156" i="3"/>
  <c r="BD156" i="3"/>
  <c r="BC156" i="3"/>
  <c r="BB156" i="3"/>
  <c r="BA156" i="3"/>
  <c r="AZ156" i="3"/>
  <c r="AY156" i="3"/>
  <c r="BF156" i="3" s="1"/>
  <c r="AW156" i="3"/>
  <c r="AV156" i="3"/>
  <c r="AU156" i="3"/>
  <c r="AT156" i="3"/>
  <c r="AS156" i="3"/>
  <c r="AR156" i="3"/>
  <c r="AQ156" i="3"/>
  <c r="AX156" i="3" s="1"/>
  <c r="AO156" i="3"/>
  <c r="AN156" i="3"/>
  <c r="AM156" i="3"/>
  <c r="AL156" i="3"/>
  <c r="AK156" i="3"/>
  <c r="AJ156" i="3"/>
  <c r="AI156" i="3"/>
  <c r="AP156" i="3" s="1"/>
  <c r="AE156" i="3"/>
  <c r="AD156" i="3"/>
  <c r="AC156" i="3"/>
  <c r="AA156" i="3" s="1"/>
  <c r="AB156" i="3"/>
  <c r="BQ155" i="3"/>
  <c r="BP155" i="3"/>
  <c r="BO155" i="3"/>
  <c r="BN155" i="3"/>
  <c r="BM155" i="3"/>
  <c r="BL155" i="3"/>
  <c r="BK155" i="3"/>
  <c r="BJ155" i="3"/>
  <c r="BI155" i="3"/>
  <c r="BH155" i="3"/>
  <c r="BG155" i="3"/>
  <c r="BE155" i="3"/>
  <c r="BD155" i="3"/>
  <c r="BC155" i="3"/>
  <c r="BB155" i="3"/>
  <c r="BA155" i="3"/>
  <c r="AZ155" i="3"/>
  <c r="AY155" i="3"/>
  <c r="BF155" i="3" s="1"/>
  <c r="AW155" i="3"/>
  <c r="AV155" i="3"/>
  <c r="AU155" i="3"/>
  <c r="AT155" i="3"/>
  <c r="AS155" i="3"/>
  <c r="AR155" i="3"/>
  <c r="AQ155" i="3"/>
  <c r="AX155" i="3" s="1"/>
  <c r="AO155" i="3"/>
  <c r="AN155" i="3"/>
  <c r="AM155" i="3"/>
  <c r="AL155" i="3"/>
  <c r="AK155" i="3"/>
  <c r="AJ155" i="3"/>
  <c r="AI155" i="3"/>
  <c r="AP155" i="3" s="1"/>
  <c r="AE155" i="3"/>
  <c r="AD155" i="3"/>
  <c r="AC155" i="3"/>
  <c r="AB155" i="3"/>
  <c r="AA155" i="3"/>
  <c r="BQ154" i="3"/>
  <c r="BP154" i="3"/>
  <c r="BO154" i="3"/>
  <c r="BN154" i="3"/>
  <c r="BM154" i="3"/>
  <c r="BL154" i="3"/>
  <c r="BK154" i="3"/>
  <c r="BJ154" i="3"/>
  <c r="BI154" i="3"/>
  <c r="BH154" i="3"/>
  <c r="BG154" i="3"/>
  <c r="BE154" i="3"/>
  <c r="BD154" i="3"/>
  <c r="BC154" i="3"/>
  <c r="BB154" i="3"/>
  <c r="BA154" i="3"/>
  <c r="AZ154" i="3"/>
  <c r="AY154" i="3"/>
  <c r="BF154" i="3" s="1"/>
  <c r="AW154" i="3"/>
  <c r="AV154" i="3"/>
  <c r="AU154" i="3"/>
  <c r="AT154" i="3"/>
  <c r="AS154" i="3"/>
  <c r="AR154" i="3"/>
  <c r="AQ154" i="3"/>
  <c r="AX154" i="3" s="1"/>
  <c r="AO154" i="3"/>
  <c r="AN154" i="3"/>
  <c r="AM154" i="3"/>
  <c r="AL154" i="3"/>
  <c r="AK154" i="3"/>
  <c r="AJ154" i="3"/>
  <c r="AI154" i="3"/>
  <c r="AP154" i="3" s="1"/>
  <c r="AE154" i="3"/>
  <c r="AD154" i="3"/>
  <c r="AC154" i="3"/>
  <c r="AB154" i="3"/>
  <c r="AA154" i="3"/>
  <c r="BQ153" i="3"/>
  <c r="BP153" i="3"/>
  <c r="BO153" i="3"/>
  <c r="BN153" i="3"/>
  <c r="BM153" i="3"/>
  <c r="BL153" i="3"/>
  <c r="BK153" i="3"/>
  <c r="BJ153" i="3"/>
  <c r="BI153" i="3"/>
  <c r="BH153" i="3"/>
  <c r="BG153" i="3"/>
  <c r="BE153" i="3"/>
  <c r="BD153" i="3"/>
  <c r="BC153" i="3"/>
  <c r="BB153" i="3"/>
  <c r="BA153" i="3"/>
  <c r="AZ153" i="3"/>
  <c r="AY153" i="3"/>
  <c r="BF153" i="3" s="1"/>
  <c r="AW153" i="3"/>
  <c r="AV153" i="3"/>
  <c r="AU153" i="3"/>
  <c r="AT153" i="3"/>
  <c r="AS153" i="3"/>
  <c r="AR153" i="3"/>
  <c r="AQ153" i="3"/>
  <c r="AX153" i="3" s="1"/>
  <c r="AO153" i="3"/>
  <c r="AN153" i="3"/>
  <c r="AM153" i="3"/>
  <c r="AL153" i="3"/>
  <c r="AK153" i="3"/>
  <c r="AJ153" i="3"/>
  <c r="AI153" i="3"/>
  <c r="AP153" i="3" s="1"/>
  <c r="AE153" i="3"/>
  <c r="AD153" i="3"/>
  <c r="AC153" i="3"/>
  <c r="AA153" i="3" s="1"/>
  <c r="AB153" i="3"/>
  <c r="BQ152" i="3"/>
  <c r="BP152" i="3"/>
  <c r="BO152" i="3"/>
  <c r="BN152" i="3"/>
  <c r="BM152" i="3"/>
  <c r="BL152" i="3"/>
  <c r="BK152" i="3"/>
  <c r="BJ152" i="3"/>
  <c r="BI152" i="3"/>
  <c r="BH152" i="3"/>
  <c r="BG152" i="3"/>
  <c r="BE152" i="3"/>
  <c r="BD152" i="3"/>
  <c r="BC152" i="3"/>
  <c r="BB152" i="3"/>
  <c r="BA152" i="3"/>
  <c r="AZ152" i="3"/>
  <c r="AY152" i="3"/>
  <c r="BF152" i="3" s="1"/>
  <c r="AW152" i="3"/>
  <c r="AV152" i="3"/>
  <c r="AU152" i="3"/>
  <c r="AT152" i="3"/>
  <c r="AS152" i="3"/>
  <c r="AR152" i="3"/>
  <c r="AQ152" i="3"/>
  <c r="AX152" i="3" s="1"/>
  <c r="AO152" i="3"/>
  <c r="AN152" i="3"/>
  <c r="AM152" i="3"/>
  <c r="AL152" i="3"/>
  <c r="AK152" i="3"/>
  <c r="AJ152" i="3"/>
  <c r="AI152" i="3"/>
  <c r="AP152" i="3" s="1"/>
  <c r="AE152" i="3"/>
  <c r="AD152" i="3"/>
  <c r="AC152" i="3"/>
  <c r="AB152" i="3"/>
  <c r="AA152" i="3"/>
  <c r="BQ151" i="3"/>
  <c r="BP151" i="3"/>
  <c r="BO151" i="3"/>
  <c r="BN151" i="3"/>
  <c r="BM151" i="3"/>
  <c r="BL151" i="3"/>
  <c r="BK151" i="3"/>
  <c r="BJ151" i="3"/>
  <c r="BI151" i="3"/>
  <c r="BH151" i="3"/>
  <c r="BG151" i="3"/>
  <c r="BE151" i="3"/>
  <c r="BD151" i="3"/>
  <c r="BC151" i="3"/>
  <c r="BB151" i="3"/>
  <c r="BA151" i="3"/>
  <c r="AZ151" i="3"/>
  <c r="AY151" i="3"/>
  <c r="BF151" i="3" s="1"/>
  <c r="AW151" i="3"/>
  <c r="AV151" i="3"/>
  <c r="AU151" i="3"/>
  <c r="AT151" i="3"/>
  <c r="AS151" i="3"/>
  <c r="AR151" i="3"/>
  <c r="AQ151" i="3"/>
  <c r="AX151" i="3" s="1"/>
  <c r="AO151" i="3"/>
  <c r="AN151" i="3"/>
  <c r="AM151" i="3"/>
  <c r="AL151" i="3"/>
  <c r="AK151" i="3"/>
  <c r="AJ151" i="3"/>
  <c r="AI151" i="3"/>
  <c r="AP151" i="3" s="1"/>
  <c r="AE151" i="3"/>
  <c r="AD151" i="3"/>
  <c r="AC151" i="3"/>
  <c r="AB151" i="3"/>
  <c r="AA151" i="3"/>
  <c r="BQ150" i="3"/>
  <c r="BP150" i="3"/>
  <c r="BO150" i="3"/>
  <c r="BN150" i="3"/>
  <c r="BM150" i="3"/>
  <c r="BL150" i="3"/>
  <c r="BK150" i="3"/>
  <c r="BJ150" i="3"/>
  <c r="BI150" i="3"/>
  <c r="BH150" i="3"/>
  <c r="BG150" i="3"/>
  <c r="BE150" i="3"/>
  <c r="BD150" i="3"/>
  <c r="BC150" i="3"/>
  <c r="BB150" i="3"/>
  <c r="BA150" i="3"/>
  <c r="AZ150" i="3"/>
  <c r="AY150" i="3"/>
  <c r="BF150" i="3" s="1"/>
  <c r="AW150" i="3"/>
  <c r="AV150" i="3"/>
  <c r="AU150" i="3"/>
  <c r="AT150" i="3"/>
  <c r="AS150" i="3"/>
  <c r="AR150" i="3"/>
  <c r="AQ150" i="3"/>
  <c r="AX150" i="3" s="1"/>
  <c r="AO150" i="3"/>
  <c r="AN150" i="3"/>
  <c r="AM150" i="3"/>
  <c r="AL150" i="3"/>
  <c r="AK150" i="3"/>
  <c r="AJ150" i="3"/>
  <c r="AI150" i="3"/>
  <c r="AP150" i="3" s="1"/>
  <c r="AE150" i="3"/>
  <c r="AD150" i="3"/>
  <c r="AC150" i="3"/>
  <c r="AB150" i="3"/>
  <c r="AA150" i="3"/>
  <c r="BQ149" i="3"/>
  <c r="BP149" i="3"/>
  <c r="BO149" i="3"/>
  <c r="BN149" i="3"/>
  <c r="BM149" i="3"/>
  <c r="BL149" i="3"/>
  <c r="BK149" i="3"/>
  <c r="BJ149" i="3"/>
  <c r="BI149" i="3"/>
  <c r="BH149" i="3"/>
  <c r="BG149" i="3"/>
  <c r="BE149" i="3"/>
  <c r="BD149" i="3"/>
  <c r="BC149" i="3"/>
  <c r="BB149" i="3"/>
  <c r="BA149" i="3"/>
  <c r="AZ149" i="3"/>
  <c r="AY149" i="3"/>
  <c r="BF149" i="3" s="1"/>
  <c r="AW149" i="3"/>
  <c r="AV149" i="3"/>
  <c r="AU149" i="3"/>
  <c r="AT149" i="3"/>
  <c r="AS149" i="3"/>
  <c r="AR149" i="3"/>
  <c r="AQ149" i="3"/>
  <c r="AX149" i="3" s="1"/>
  <c r="AO149" i="3"/>
  <c r="AN149" i="3"/>
  <c r="AM149" i="3"/>
  <c r="AL149" i="3"/>
  <c r="AK149" i="3"/>
  <c r="AJ149" i="3"/>
  <c r="AI149" i="3"/>
  <c r="AP149" i="3" s="1"/>
  <c r="AE149" i="3"/>
  <c r="AD149" i="3"/>
  <c r="AC149" i="3"/>
  <c r="AA149" i="3" s="1"/>
  <c r="AB149" i="3"/>
  <c r="BQ148" i="3"/>
  <c r="BP148" i="3"/>
  <c r="BO148" i="3"/>
  <c r="BN148" i="3"/>
  <c r="BM148" i="3"/>
  <c r="BL148" i="3"/>
  <c r="BK148" i="3"/>
  <c r="BJ148" i="3"/>
  <c r="BI148" i="3"/>
  <c r="BH148" i="3"/>
  <c r="BG148" i="3"/>
  <c r="BE148" i="3"/>
  <c r="BD148" i="3"/>
  <c r="BC148" i="3"/>
  <c r="BB148" i="3"/>
  <c r="BA148" i="3"/>
  <c r="AZ148" i="3"/>
  <c r="AY148" i="3"/>
  <c r="BF148" i="3" s="1"/>
  <c r="AW148" i="3"/>
  <c r="AV148" i="3"/>
  <c r="AU148" i="3"/>
  <c r="AT148" i="3"/>
  <c r="AS148" i="3"/>
  <c r="AR148" i="3"/>
  <c r="AQ148" i="3"/>
  <c r="AX148" i="3" s="1"/>
  <c r="AO148" i="3"/>
  <c r="AN148" i="3"/>
  <c r="AM148" i="3"/>
  <c r="AL148" i="3"/>
  <c r="AK148" i="3"/>
  <c r="AJ148" i="3"/>
  <c r="AI148" i="3"/>
  <c r="AP148" i="3" s="1"/>
  <c r="AE148" i="3"/>
  <c r="AD148" i="3"/>
  <c r="AC148" i="3"/>
  <c r="AB148" i="3"/>
  <c r="AA148" i="3"/>
  <c r="BQ147" i="3"/>
  <c r="BP147" i="3"/>
  <c r="BO147" i="3"/>
  <c r="BN147" i="3"/>
  <c r="BM147" i="3"/>
  <c r="BL147" i="3"/>
  <c r="BK147" i="3"/>
  <c r="BJ147" i="3"/>
  <c r="BI147" i="3"/>
  <c r="BH147" i="3"/>
  <c r="BG147" i="3"/>
  <c r="BE147" i="3"/>
  <c r="BD147" i="3"/>
  <c r="BC147" i="3"/>
  <c r="BB147" i="3"/>
  <c r="BA147" i="3"/>
  <c r="AZ147" i="3"/>
  <c r="AY147" i="3"/>
  <c r="BF147" i="3" s="1"/>
  <c r="AW147" i="3"/>
  <c r="AV147" i="3"/>
  <c r="AU147" i="3"/>
  <c r="AT147" i="3"/>
  <c r="AS147" i="3"/>
  <c r="AR147" i="3"/>
  <c r="AQ147" i="3"/>
  <c r="AX147" i="3" s="1"/>
  <c r="AO147" i="3"/>
  <c r="AN147" i="3"/>
  <c r="AM147" i="3"/>
  <c r="AL147" i="3"/>
  <c r="AK147" i="3"/>
  <c r="AJ147" i="3"/>
  <c r="AI147" i="3"/>
  <c r="AP147" i="3" s="1"/>
  <c r="AE147" i="3"/>
  <c r="AD147" i="3"/>
  <c r="AC147" i="3"/>
  <c r="AB147" i="3"/>
  <c r="AA147" i="3"/>
  <c r="BQ146" i="3"/>
  <c r="BP146" i="3"/>
  <c r="BO146" i="3"/>
  <c r="BN146" i="3"/>
  <c r="BM146" i="3"/>
  <c r="BL146" i="3"/>
  <c r="BK146" i="3"/>
  <c r="BJ146" i="3"/>
  <c r="BI146" i="3"/>
  <c r="BH146" i="3"/>
  <c r="BG146" i="3"/>
  <c r="BE146" i="3"/>
  <c r="BD146" i="3"/>
  <c r="BC146" i="3"/>
  <c r="BB146" i="3"/>
  <c r="BA146" i="3"/>
  <c r="AZ146" i="3"/>
  <c r="AY146" i="3"/>
  <c r="BF146" i="3" s="1"/>
  <c r="AW146" i="3"/>
  <c r="AV146" i="3"/>
  <c r="AU146" i="3"/>
  <c r="AT146" i="3"/>
  <c r="AS146" i="3"/>
  <c r="AR146" i="3"/>
  <c r="AQ146" i="3"/>
  <c r="AX146" i="3" s="1"/>
  <c r="AO146" i="3"/>
  <c r="AN146" i="3"/>
  <c r="AM146" i="3"/>
  <c r="AL146" i="3"/>
  <c r="AK146" i="3"/>
  <c r="AJ146" i="3"/>
  <c r="AI146" i="3"/>
  <c r="AP146" i="3" s="1"/>
  <c r="AE146" i="3"/>
  <c r="AD146" i="3"/>
  <c r="AC146" i="3"/>
  <c r="AB146" i="3"/>
  <c r="AA146" i="3"/>
  <c r="BQ145" i="3"/>
  <c r="BP145" i="3"/>
  <c r="BO145" i="3"/>
  <c r="BN145" i="3"/>
  <c r="BM145" i="3"/>
  <c r="BL145" i="3"/>
  <c r="BK145" i="3"/>
  <c r="BJ145" i="3"/>
  <c r="BI145" i="3"/>
  <c r="BH145" i="3"/>
  <c r="BG145" i="3"/>
  <c r="BE145" i="3"/>
  <c r="BD145" i="3"/>
  <c r="BC145" i="3"/>
  <c r="BB145" i="3"/>
  <c r="BA145" i="3"/>
  <c r="AZ145" i="3"/>
  <c r="AY145" i="3"/>
  <c r="BF145" i="3" s="1"/>
  <c r="AW145" i="3"/>
  <c r="AV145" i="3"/>
  <c r="AU145" i="3"/>
  <c r="AT145" i="3"/>
  <c r="AS145" i="3"/>
  <c r="AR145" i="3"/>
  <c r="AQ145" i="3"/>
  <c r="AX145" i="3" s="1"/>
  <c r="AO145" i="3"/>
  <c r="AN145" i="3"/>
  <c r="AM145" i="3"/>
  <c r="AL145" i="3"/>
  <c r="AK145" i="3"/>
  <c r="AJ145" i="3"/>
  <c r="AI145" i="3"/>
  <c r="AP145" i="3" s="1"/>
  <c r="AE145" i="3"/>
  <c r="AD145" i="3"/>
  <c r="AC145" i="3"/>
  <c r="AB145" i="3"/>
  <c r="AA145" i="3"/>
  <c r="BQ144" i="3"/>
  <c r="BP144" i="3"/>
  <c r="BO144" i="3"/>
  <c r="BN144" i="3"/>
  <c r="BM144" i="3"/>
  <c r="BL144" i="3"/>
  <c r="BK144" i="3"/>
  <c r="BJ144" i="3"/>
  <c r="BI144" i="3"/>
  <c r="BH144" i="3"/>
  <c r="BG144" i="3"/>
  <c r="BE144" i="3"/>
  <c r="BD144" i="3"/>
  <c r="BC144" i="3"/>
  <c r="BB144" i="3"/>
  <c r="BA144" i="3"/>
  <c r="AZ144" i="3"/>
  <c r="AY144" i="3"/>
  <c r="BF144" i="3" s="1"/>
  <c r="AW144" i="3"/>
  <c r="AV144" i="3"/>
  <c r="AU144" i="3"/>
  <c r="AT144" i="3"/>
  <c r="AS144" i="3"/>
  <c r="AR144" i="3"/>
  <c r="AQ144" i="3"/>
  <c r="AX144" i="3" s="1"/>
  <c r="AO144" i="3"/>
  <c r="AN144" i="3"/>
  <c r="AM144" i="3"/>
  <c r="AL144" i="3"/>
  <c r="AK144" i="3"/>
  <c r="AJ144" i="3"/>
  <c r="AI144" i="3"/>
  <c r="AP144" i="3" s="1"/>
  <c r="AE144" i="3"/>
  <c r="AD144" i="3"/>
  <c r="AC144" i="3"/>
  <c r="AB144" i="3"/>
  <c r="AA144" i="3"/>
  <c r="BQ143" i="3"/>
  <c r="BP143" i="3"/>
  <c r="BO143" i="3"/>
  <c r="BN143" i="3"/>
  <c r="BM143" i="3"/>
  <c r="BL143" i="3"/>
  <c r="BK143" i="3"/>
  <c r="BJ143" i="3"/>
  <c r="BI143" i="3"/>
  <c r="BH143" i="3"/>
  <c r="BG143" i="3"/>
  <c r="BE143" i="3"/>
  <c r="BD143" i="3"/>
  <c r="BC143" i="3"/>
  <c r="BB143" i="3"/>
  <c r="BA143" i="3"/>
  <c r="AZ143" i="3"/>
  <c r="AY143" i="3"/>
  <c r="BF143" i="3" s="1"/>
  <c r="AW143" i="3"/>
  <c r="AV143" i="3"/>
  <c r="AU143" i="3"/>
  <c r="AT143" i="3"/>
  <c r="AS143" i="3"/>
  <c r="AR143" i="3"/>
  <c r="AQ143" i="3"/>
  <c r="AX143" i="3" s="1"/>
  <c r="AO143" i="3"/>
  <c r="AN143" i="3"/>
  <c r="AM143" i="3"/>
  <c r="AL143" i="3"/>
  <c r="AK143" i="3"/>
  <c r="AJ143" i="3"/>
  <c r="AI143" i="3"/>
  <c r="AP143" i="3" s="1"/>
  <c r="AE143" i="3"/>
  <c r="AD143" i="3"/>
  <c r="AC143" i="3"/>
  <c r="AB143" i="3"/>
  <c r="AA143" i="3"/>
  <c r="BQ142" i="3"/>
  <c r="BP142" i="3"/>
  <c r="BO142" i="3"/>
  <c r="BN142" i="3"/>
  <c r="BM142" i="3"/>
  <c r="BL142" i="3"/>
  <c r="BK142" i="3"/>
  <c r="BJ142" i="3"/>
  <c r="BI142" i="3"/>
  <c r="BH142" i="3"/>
  <c r="BG142" i="3"/>
  <c r="BE142" i="3"/>
  <c r="BD142" i="3"/>
  <c r="BC142" i="3"/>
  <c r="BB142" i="3"/>
  <c r="BA142" i="3"/>
  <c r="AZ142" i="3"/>
  <c r="AY142" i="3"/>
  <c r="BF142" i="3" s="1"/>
  <c r="AW142" i="3"/>
  <c r="AV142" i="3"/>
  <c r="AU142" i="3"/>
  <c r="AT142" i="3"/>
  <c r="AS142" i="3"/>
  <c r="AR142" i="3"/>
  <c r="AQ142" i="3"/>
  <c r="AX142" i="3" s="1"/>
  <c r="AO142" i="3"/>
  <c r="AN142" i="3"/>
  <c r="AM142" i="3"/>
  <c r="AL142" i="3"/>
  <c r="AK142" i="3"/>
  <c r="AJ142" i="3"/>
  <c r="AI142" i="3"/>
  <c r="AP142" i="3" s="1"/>
  <c r="AE142" i="3"/>
  <c r="AD142" i="3"/>
  <c r="AC142" i="3"/>
  <c r="AB142" i="3"/>
  <c r="AA142" i="3"/>
  <c r="BQ141" i="3"/>
  <c r="BP141" i="3"/>
  <c r="BO141" i="3"/>
  <c r="BN141" i="3"/>
  <c r="BM141" i="3"/>
  <c r="BL141" i="3"/>
  <c r="BK141" i="3"/>
  <c r="BJ141" i="3"/>
  <c r="BI141" i="3"/>
  <c r="BH141" i="3"/>
  <c r="BG141" i="3"/>
  <c r="BE141" i="3"/>
  <c r="BD141" i="3"/>
  <c r="BC141" i="3"/>
  <c r="BB141" i="3"/>
  <c r="BA141" i="3"/>
  <c r="AZ141" i="3"/>
  <c r="AY141" i="3"/>
  <c r="BF141" i="3" s="1"/>
  <c r="AW141" i="3"/>
  <c r="AV141" i="3"/>
  <c r="AU141" i="3"/>
  <c r="AT141" i="3"/>
  <c r="AS141" i="3"/>
  <c r="AR141" i="3"/>
  <c r="AQ141" i="3"/>
  <c r="AX141" i="3" s="1"/>
  <c r="AO141" i="3"/>
  <c r="AN141" i="3"/>
  <c r="AM141" i="3"/>
  <c r="AL141" i="3"/>
  <c r="AK141" i="3"/>
  <c r="AJ141" i="3"/>
  <c r="AI141" i="3"/>
  <c r="AP141" i="3" s="1"/>
  <c r="AE141" i="3"/>
  <c r="AD141" i="3"/>
  <c r="AC141" i="3"/>
  <c r="AB141" i="3"/>
  <c r="AA141" i="3"/>
  <c r="BQ140" i="3"/>
  <c r="BP140" i="3"/>
  <c r="BO140" i="3"/>
  <c r="BN140" i="3"/>
  <c r="BM140" i="3"/>
  <c r="BL140" i="3"/>
  <c r="BK140" i="3"/>
  <c r="BJ140" i="3"/>
  <c r="BI140" i="3"/>
  <c r="BH140" i="3"/>
  <c r="BG140" i="3"/>
  <c r="BE140" i="3"/>
  <c r="BD140" i="3"/>
  <c r="BC140" i="3"/>
  <c r="BB140" i="3"/>
  <c r="BA140" i="3"/>
  <c r="AZ140" i="3"/>
  <c r="AY140" i="3"/>
  <c r="BF140" i="3" s="1"/>
  <c r="AW140" i="3"/>
  <c r="AV140" i="3"/>
  <c r="AU140" i="3"/>
  <c r="AT140" i="3"/>
  <c r="AS140" i="3"/>
  <c r="AR140" i="3"/>
  <c r="AQ140" i="3"/>
  <c r="AX140" i="3" s="1"/>
  <c r="AO140" i="3"/>
  <c r="AN140" i="3"/>
  <c r="AM140" i="3"/>
  <c r="AL140" i="3"/>
  <c r="AK140" i="3"/>
  <c r="AJ140" i="3"/>
  <c r="AI140" i="3"/>
  <c r="AP140" i="3" s="1"/>
  <c r="AE140" i="3"/>
  <c r="AD140" i="3"/>
  <c r="AC140" i="3"/>
  <c r="AB140" i="3"/>
  <c r="AA140" i="3"/>
  <c r="BQ139" i="3"/>
  <c r="BP139" i="3"/>
  <c r="BO139" i="3"/>
  <c r="BN139" i="3"/>
  <c r="BM139" i="3"/>
  <c r="BL139" i="3"/>
  <c r="BK139" i="3"/>
  <c r="BJ139" i="3"/>
  <c r="BI139" i="3"/>
  <c r="BH139" i="3"/>
  <c r="BG139" i="3"/>
  <c r="BE139" i="3"/>
  <c r="BD139" i="3"/>
  <c r="BC139" i="3"/>
  <c r="BB139" i="3"/>
  <c r="BA139" i="3"/>
  <c r="AZ139" i="3"/>
  <c r="AY139" i="3"/>
  <c r="BF139" i="3" s="1"/>
  <c r="AW139" i="3"/>
  <c r="AV139" i="3"/>
  <c r="AU139" i="3"/>
  <c r="AT139" i="3"/>
  <c r="AS139" i="3"/>
  <c r="AR139" i="3"/>
  <c r="AQ139" i="3"/>
  <c r="AX139" i="3" s="1"/>
  <c r="AO139" i="3"/>
  <c r="AN139" i="3"/>
  <c r="AM139" i="3"/>
  <c r="AL139" i="3"/>
  <c r="AK139" i="3"/>
  <c r="AJ139" i="3"/>
  <c r="AI139" i="3"/>
  <c r="AP139" i="3" s="1"/>
  <c r="AE139" i="3"/>
  <c r="AD139" i="3"/>
  <c r="AC139" i="3"/>
  <c r="AA139" i="3" s="1"/>
  <c r="AB139" i="3"/>
  <c r="BQ138" i="3"/>
  <c r="BP138" i="3"/>
  <c r="BO138" i="3"/>
  <c r="BN138" i="3"/>
  <c r="BM138" i="3"/>
  <c r="BL138" i="3"/>
  <c r="BK138" i="3"/>
  <c r="BJ138" i="3"/>
  <c r="BI138" i="3"/>
  <c r="BH138" i="3"/>
  <c r="BG138" i="3"/>
  <c r="BE138" i="3"/>
  <c r="BD138" i="3"/>
  <c r="BC138" i="3"/>
  <c r="BB138" i="3"/>
  <c r="BA138" i="3"/>
  <c r="AZ138" i="3"/>
  <c r="AY138" i="3"/>
  <c r="BF138" i="3" s="1"/>
  <c r="AW138" i="3"/>
  <c r="AV138" i="3"/>
  <c r="AU138" i="3"/>
  <c r="AT138" i="3"/>
  <c r="AS138" i="3"/>
  <c r="AR138" i="3"/>
  <c r="AQ138" i="3"/>
  <c r="AX138" i="3" s="1"/>
  <c r="AO138" i="3"/>
  <c r="AN138" i="3"/>
  <c r="AM138" i="3"/>
  <c r="AL138" i="3"/>
  <c r="AK138" i="3"/>
  <c r="AJ138" i="3"/>
  <c r="AI138" i="3"/>
  <c r="AP138" i="3" s="1"/>
  <c r="AE138" i="3"/>
  <c r="AD138" i="3"/>
  <c r="AC138" i="3"/>
  <c r="AA138" i="3" s="1"/>
  <c r="AB138" i="3"/>
  <c r="BQ137" i="3"/>
  <c r="BP137" i="3"/>
  <c r="BO137" i="3"/>
  <c r="BN137" i="3"/>
  <c r="BM137" i="3"/>
  <c r="BL137" i="3"/>
  <c r="BK137" i="3"/>
  <c r="BJ137" i="3"/>
  <c r="BI137" i="3"/>
  <c r="BH137" i="3"/>
  <c r="BG137" i="3"/>
  <c r="BE137" i="3"/>
  <c r="BD137" i="3"/>
  <c r="BC137" i="3"/>
  <c r="BB137" i="3"/>
  <c r="BA137" i="3"/>
  <c r="AZ137" i="3"/>
  <c r="AY137" i="3"/>
  <c r="BF137" i="3" s="1"/>
  <c r="AW137" i="3"/>
  <c r="AV137" i="3"/>
  <c r="AU137" i="3"/>
  <c r="AT137" i="3"/>
  <c r="AS137" i="3"/>
  <c r="AR137" i="3"/>
  <c r="AQ137" i="3"/>
  <c r="AX137" i="3" s="1"/>
  <c r="AO137" i="3"/>
  <c r="AN137" i="3"/>
  <c r="AM137" i="3"/>
  <c r="AL137" i="3"/>
  <c r="AK137" i="3"/>
  <c r="AJ137" i="3"/>
  <c r="AI137" i="3"/>
  <c r="AP137" i="3" s="1"/>
  <c r="AE137" i="3"/>
  <c r="AD137" i="3"/>
  <c r="AC137" i="3"/>
  <c r="AB137" i="3"/>
  <c r="AA137" i="3"/>
  <c r="BQ136" i="3"/>
  <c r="BP136" i="3"/>
  <c r="BO136" i="3"/>
  <c r="BN136" i="3"/>
  <c r="BM136" i="3"/>
  <c r="BL136" i="3"/>
  <c r="BK136" i="3"/>
  <c r="BJ136" i="3"/>
  <c r="BI136" i="3"/>
  <c r="BH136" i="3"/>
  <c r="BG136" i="3"/>
  <c r="BE136" i="3"/>
  <c r="BD136" i="3"/>
  <c r="BC136" i="3"/>
  <c r="BB136" i="3"/>
  <c r="BA136" i="3"/>
  <c r="AZ136" i="3"/>
  <c r="AY136" i="3"/>
  <c r="BF136" i="3" s="1"/>
  <c r="AW136" i="3"/>
  <c r="AV136" i="3"/>
  <c r="AU136" i="3"/>
  <c r="AT136" i="3"/>
  <c r="AS136" i="3"/>
  <c r="AR136" i="3"/>
  <c r="AQ136" i="3"/>
  <c r="AX136" i="3" s="1"/>
  <c r="AO136" i="3"/>
  <c r="AN136" i="3"/>
  <c r="AM136" i="3"/>
  <c r="AL136" i="3"/>
  <c r="AK136" i="3"/>
  <c r="AJ136" i="3"/>
  <c r="AI136" i="3"/>
  <c r="AP136" i="3" s="1"/>
  <c r="AE136" i="3"/>
  <c r="AD136" i="3"/>
  <c r="AC136" i="3"/>
  <c r="AB136" i="3"/>
  <c r="AA136" i="3"/>
  <c r="BQ135" i="3"/>
  <c r="BP135" i="3"/>
  <c r="BO135" i="3"/>
  <c r="BN135" i="3"/>
  <c r="BM135" i="3"/>
  <c r="BL135" i="3"/>
  <c r="BK135" i="3"/>
  <c r="BJ135" i="3"/>
  <c r="BI135" i="3"/>
  <c r="BH135" i="3"/>
  <c r="BG135" i="3"/>
  <c r="BE135" i="3"/>
  <c r="BD135" i="3"/>
  <c r="BC135" i="3"/>
  <c r="BB135" i="3"/>
  <c r="BA135" i="3"/>
  <c r="AZ135" i="3"/>
  <c r="AY135" i="3"/>
  <c r="BF135" i="3" s="1"/>
  <c r="AW135" i="3"/>
  <c r="AV135" i="3"/>
  <c r="AU135" i="3"/>
  <c r="AT135" i="3"/>
  <c r="AS135" i="3"/>
  <c r="AR135" i="3"/>
  <c r="AQ135" i="3"/>
  <c r="AX135" i="3" s="1"/>
  <c r="AO135" i="3"/>
  <c r="AN135" i="3"/>
  <c r="AM135" i="3"/>
  <c r="AL135" i="3"/>
  <c r="AK135" i="3"/>
  <c r="AJ135" i="3"/>
  <c r="AI135" i="3"/>
  <c r="AP135" i="3" s="1"/>
  <c r="AE135" i="3"/>
  <c r="AD135" i="3"/>
  <c r="AC135" i="3"/>
  <c r="AB135" i="3"/>
  <c r="AA135" i="3"/>
  <c r="BQ134" i="3"/>
  <c r="BP134" i="3"/>
  <c r="BO134" i="3"/>
  <c r="BN134" i="3"/>
  <c r="BM134" i="3"/>
  <c r="BL134" i="3"/>
  <c r="BK134" i="3"/>
  <c r="BJ134" i="3"/>
  <c r="BI134" i="3"/>
  <c r="BH134" i="3"/>
  <c r="BG134" i="3"/>
  <c r="BE134" i="3"/>
  <c r="BD134" i="3"/>
  <c r="BC134" i="3"/>
  <c r="BB134" i="3"/>
  <c r="BA134" i="3"/>
  <c r="AZ134" i="3"/>
  <c r="AY134" i="3"/>
  <c r="BF134" i="3" s="1"/>
  <c r="AW134" i="3"/>
  <c r="AV134" i="3"/>
  <c r="AU134" i="3"/>
  <c r="AT134" i="3"/>
  <c r="AS134" i="3"/>
  <c r="AR134" i="3"/>
  <c r="AQ134" i="3"/>
  <c r="AX134" i="3" s="1"/>
  <c r="AO134" i="3"/>
  <c r="AN134" i="3"/>
  <c r="AM134" i="3"/>
  <c r="AL134" i="3"/>
  <c r="AK134" i="3"/>
  <c r="AJ134" i="3"/>
  <c r="AI134" i="3"/>
  <c r="AP134" i="3" s="1"/>
  <c r="AE134" i="3"/>
  <c r="AD134" i="3"/>
  <c r="AC134" i="3"/>
  <c r="AA134" i="3" s="1"/>
  <c r="AB134" i="3"/>
  <c r="BQ133" i="3"/>
  <c r="BP133" i="3"/>
  <c r="BO133" i="3"/>
  <c r="BN133" i="3"/>
  <c r="BM133" i="3"/>
  <c r="BL133" i="3"/>
  <c r="BK133" i="3"/>
  <c r="BJ133" i="3"/>
  <c r="BI133" i="3"/>
  <c r="BH133" i="3"/>
  <c r="BG133" i="3"/>
  <c r="BE133" i="3"/>
  <c r="BD133" i="3"/>
  <c r="BC133" i="3"/>
  <c r="BB133" i="3"/>
  <c r="BA133" i="3"/>
  <c r="AZ133" i="3"/>
  <c r="AY133" i="3"/>
  <c r="BF133" i="3" s="1"/>
  <c r="AW133" i="3"/>
  <c r="AV133" i="3"/>
  <c r="AU133" i="3"/>
  <c r="AT133" i="3"/>
  <c r="AS133" i="3"/>
  <c r="AR133" i="3"/>
  <c r="AQ133" i="3"/>
  <c r="AX133" i="3" s="1"/>
  <c r="AO133" i="3"/>
  <c r="AN133" i="3"/>
  <c r="AM133" i="3"/>
  <c r="AL133" i="3"/>
  <c r="AK133" i="3"/>
  <c r="AJ133" i="3"/>
  <c r="AI133" i="3"/>
  <c r="AP133" i="3" s="1"/>
  <c r="AE133" i="3"/>
  <c r="AD133" i="3"/>
  <c r="AC133" i="3"/>
  <c r="AA133" i="3" s="1"/>
  <c r="AB133" i="3"/>
  <c r="BQ132" i="3"/>
  <c r="BP132" i="3"/>
  <c r="BO132" i="3"/>
  <c r="BN132" i="3"/>
  <c r="BM132" i="3"/>
  <c r="BL132" i="3"/>
  <c r="BK132" i="3"/>
  <c r="BJ132" i="3"/>
  <c r="BI132" i="3"/>
  <c r="BH132" i="3"/>
  <c r="BG132" i="3"/>
  <c r="BE132" i="3"/>
  <c r="BD132" i="3"/>
  <c r="BC132" i="3"/>
  <c r="BB132" i="3"/>
  <c r="BA132" i="3"/>
  <c r="AZ132" i="3"/>
  <c r="AY132" i="3"/>
  <c r="BF132" i="3" s="1"/>
  <c r="AW132" i="3"/>
  <c r="AV132" i="3"/>
  <c r="AU132" i="3"/>
  <c r="AT132" i="3"/>
  <c r="AS132" i="3"/>
  <c r="AR132" i="3"/>
  <c r="AQ132" i="3"/>
  <c r="AX132" i="3" s="1"/>
  <c r="AO132" i="3"/>
  <c r="AN132" i="3"/>
  <c r="AM132" i="3"/>
  <c r="AL132" i="3"/>
  <c r="AK132" i="3"/>
  <c r="AJ132" i="3"/>
  <c r="AI132" i="3"/>
  <c r="AP132" i="3" s="1"/>
  <c r="AE132" i="3"/>
  <c r="AD132" i="3"/>
  <c r="AC132" i="3"/>
  <c r="AB132" i="3"/>
  <c r="AA132" i="3"/>
  <c r="BQ131" i="3"/>
  <c r="BP131" i="3"/>
  <c r="BO131" i="3"/>
  <c r="BN131" i="3"/>
  <c r="BM131" i="3"/>
  <c r="BL131" i="3"/>
  <c r="BK131" i="3"/>
  <c r="BJ131" i="3"/>
  <c r="BI131" i="3"/>
  <c r="BH131" i="3"/>
  <c r="BG131" i="3"/>
  <c r="BE131" i="3"/>
  <c r="BD131" i="3"/>
  <c r="BC131" i="3"/>
  <c r="BB131" i="3"/>
  <c r="BA131" i="3"/>
  <c r="AZ131" i="3"/>
  <c r="AY131" i="3"/>
  <c r="BF131" i="3" s="1"/>
  <c r="AW131" i="3"/>
  <c r="AV131" i="3"/>
  <c r="AU131" i="3"/>
  <c r="AT131" i="3"/>
  <c r="AS131" i="3"/>
  <c r="AR131" i="3"/>
  <c r="AQ131" i="3"/>
  <c r="AX131" i="3" s="1"/>
  <c r="AO131" i="3"/>
  <c r="AN131" i="3"/>
  <c r="AM131" i="3"/>
  <c r="AL131" i="3"/>
  <c r="AK131" i="3"/>
  <c r="AJ131" i="3"/>
  <c r="AI131" i="3"/>
  <c r="AP131" i="3" s="1"/>
  <c r="AE131" i="3"/>
  <c r="AD131" i="3"/>
  <c r="AC131" i="3"/>
  <c r="AB131" i="3"/>
  <c r="AA131" i="3"/>
  <c r="BQ130" i="3"/>
  <c r="BP130" i="3"/>
  <c r="BO130" i="3"/>
  <c r="BN130" i="3"/>
  <c r="BM130" i="3"/>
  <c r="BL130" i="3"/>
  <c r="BK130" i="3"/>
  <c r="BJ130" i="3"/>
  <c r="BI130" i="3"/>
  <c r="BH130" i="3"/>
  <c r="BG130" i="3"/>
  <c r="BE130" i="3"/>
  <c r="BD130" i="3"/>
  <c r="BC130" i="3"/>
  <c r="BB130" i="3"/>
  <c r="BA130" i="3"/>
  <c r="AZ130" i="3"/>
  <c r="AY130" i="3"/>
  <c r="BF130" i="3" s="1"/>
  <c r="AW130" i="3"/>
  <c r="AV130" i="3"/>
  <c r="AU130" i="3"/>
  <c r="AT130" i="3"/>
  <c r="AS130" i="3"/>
  <c r="AR130" i="3"/>
  <c r="AQ130" i="3"/>
  <c r="AX130" i="3" s="1"/>
  <c r="AO130" i="3"/>
  <c r="AN130" i="3"/>
  <c r="AM130" i="3"/>
  <c r="AL130" i="3"/>
  <c r="AK130" i="3"/>
  <c r="AJ130" i="3"/>
  <c r="AI130" i="3"/>
  <c r="AP130" i="3" s="1"/>
  <c r="AE130" i="3"/>
  <c r="AD130" i="3"/>
  <c r="AC130" i="3"/>
  <c r="AB130" i="3"/>
  <c r="AA130" i="3"/>
  <c r="BQ129" i="3"/>
  <c r="BP129" i="3"/>
  <c r="BO129" i="3"/>
  <c r="BN129" i="3"/>
  <c r="BM129" i="3"/>
  <c r="BL129" i="3"/>
  <c r="BK129" i="3"/>
  <c r="BJ129" i="3"/>
  <c r="BI129" i="3"/>
  <c r="BH129" i="3"/>
  <c r="BG129" i="3"/>
  <c r="BE129" i="3"/>
  <c r="BD129" i="3"/>
  <c r="BC129" i="3"/>
  <c r="BB129" i="3"/>
  <c r="BA129" i="3"/>
  <c r="AZ129" i="3"/>
  <c r="AY129" i="3"/>
  <c r="BF129" i="3" s="1"/>
  <c r="AW129" i="3"/>
  <c r="AV129" i="3"/>
  <c r="AU129" i="3"/>
  <c r="AT129" i="3"/>
  <c r="AS129" i="3"/>
  <c r="AR129" i="3"/>
  <c r="AQ129" i="3"/>
  <c r="AX129" i="3" s="1"/>
  <c r="AO129" i="3"/>
  <c r="AN129" i="3"/>
  <c r="AM129" i="3"/>
  <c r="AL129" i="3"/>
  <c r="AK129" i="3"/>
  <c r="AJ129" i="3"/>
  <c r="AI129" i="3"/>
  <c r="AP129" i="3" s="1"/>
  <c r="AE129" i="3"/>
  <c r="AD129" i="3"/>
  <c r="AC129" i="3"/>
  <c r="AA129" i="3" s="1"/>
  <c r="AB129" i="3"/>
  <c r="BQ128" i="3"/>
  <c r="BP128" i="3"/>
  <c r="BO128" i="3"/>
  <c r="BN128" i="3"/>
  <c r="BM128" i="3"/>
  <c r="BL128" i="3"/>
  <c r="BK128" i="3"/>
  <c r="BJ128" i="3"/>
  <c r="BI128" i="3"/>
  <c r="BH128" i="3"/>
  <c r="BG128" i="3"/>
  <c r="BE128" i="3"/>
  <c r="BD128" i="3"/>
  <c r="BC128" i="3"/>
  <c r="BB128" i="3"/>
  <c r="BA128" i="3"/>
  <c r="AZ128" i="3"/>
  <c r="AY128" i="3"/>
  <c r="BF128" i="3" s="1"/>
  <c r="AW128" i="3"/>
  <c r="AV128" i="3"/>
  <c r="AU128" i="3"/>
  <c r="AT128" i="3"/>
  <c r="AS128" i="3"/>
  <c r="AR128" i="3"/>
  <c r="AQ128" i="3"/>
  <c r="AX128" i="3" s="1"/>
  <c r="AO128" i="3"/>
  <c r="AN128" i="3"/>
  <c r="AM128" i="3"/>
  <c r="AL128" i="3"/>
  <c r="AK128" i="3"/>
  <c r="AJ128" i="3"/>
  <c r="AI128" i="3"/>
  <c r="AP128" i="3" s="1"/>
  <c r="AE128" i="3"/>
  <c r="AD128" i="3"/>
  <c r="AC128" i="3"/>
  <c r="AB128" i="3"/>
  <c r="AA128" i="3"/>
  <c r="BQ127" i="3"/>
  <c r="BP127" i="3"/>
  <c r="BO127" i="3"/>
  <c r="BN127" i="3"/>
  <c r="BM127" i="3"/>
  <c r="BL127" i="3"/>
  <c r="BK127" i="3"/>
  <c r="BJ127" i="3"/>
  <c r="BI127" i="3"/>
  <c r="BH127" i="3"/>
  <c r="BG127" i="3"/>
  <c r="BE127" i="3"/>
  <c r="BD127" i="3"/>
  <c r="BC127" i="3"/>
  <c r="BB127" i="3"/>
  <c r="BA127" i="3"/>
  <c r="AZ127" i="3"/>
  <c r="AY127" i="3"/>
  <c r="BF127" i="3" s="1"/>
  <c r="AW127" i="3"/>
  <c r="AV127" i="3"/>
  <c r="AU127" i="3"/>
  <c r="AT127" i="3"/>
  <c r="AS127" i="3"/>
  <c r="AR127" i="3"/>
  <c r="AQ127" i="3"/>
  <c r="AX127" i="3" s="1"/>
  <c r="AO127" i="3"/>
  <c r="AN127" i="3"/>
  <c r="AM127" i="3"/>
  <c r="AL127" i="3"/>
  <c r="AK127" i="3"/>
  <c r="AJ127" i="3"/>
  <c r="AI127" i="3"/>
  <c r="AP127" i="3" s="1"/>
  <c r="AE127" i="3"/>
  <c r="AD127" i="3"/>
  <c r="AC127" i="3"/>
  <c r="AA127" i="3" s="1"/>
  <c r="AB127" i="3"/>
  <c r="BQ126" i="3"/>
  <c r="BP126" i="3"/>
  <c r="BO126" i="3"/>
  <c r="BN126" i="3"/>
  <c r="BM126" i="3"/>
  <c r="BL126" i="3"/>
  <c r="BK126" i="3"/>
  <c r="BJ126" i="3"/>
  <c r="BI126" i="3"/>
  <c r="BH126" i="3"/>
  <c r="BG126" i="3"/>
  <c r="BE126" i="3"/>
  <c r="BD126" i="3"/>
  <c r="BC126" i="3"/>
  <c r="BB126" i="3"/>
  <c r="BA126" i="3"/>
  <c r="AZ126" i="3"/>
  <c r="AY126" i="3"/>
  <c r="BF126" i="3" s="1"/>
  <c r="AW126" i="3"/>
  <c r="AV126" i="3"/>
  <c r="AU126" i="3"/>
  <c r="AT126" i="3"/>
  <c r="AS126" i="3"/>
  <c r="AR126" i="3"/>
  <c r="AQ126" i="3"/>
  <c r="AX126" i="3" s="1"/>
  <c r="AO126" i="3"/>
  <c r="AN126" i="3"/>
  <c r="AM126" i="3"/>
  <c r="AL126" i="3"/>
  <c r="AK126" i="3"/>
  <c r="AJ126" i="3"/>
  <c r="AI126" i="3"/>
  <c r="AP126" i="3" s="1"/>
  <c r="AE126" i="3"/>
  <c r="AD126" i="3"/>
  <c r="AC126" i="3"/>
  <c r="AB126" i="3"/>
  <c r="AA126" i="3"/>
  <c r="BQ125" i="3"/>
  <c r="BP125" i="3"/>
  <c r="BO125" i="3"/>
  <c r="BN125" i="3"/>
  <c r="BM125" i="3"/>
  <c r="BL125" i="3"/>
  <c r="BK125" i="3"/>
  <c r="BJ125" i="3"/>
  <c r="BI125" i="3"/>
  <c r="BH125" i="3"/>
  <c r="BG125" i="3"/>
  <c r="BE125" i="3"/>
  <c r="BD125" i="3"/>
  <c r="BC125" i="3"/>
  <c r="BB125" i="3"/>
  <c r="BA125" i="3"/>
  <c r="AZ125" i="3"/>
  <c r="AY125" i="3"/>
  <c r="BF125" i="3" s="1"/>
  <c r="AW125" i="3"/>
  <c r="AV125" i="3"/>
  <c r="AU125" i="3"/>
  <c r="AT125" i="3"/>
  <c r="AS125" i="3"/>
  <c r="AR125" i="3"/>
  <c r="AQ125" i="3"/>
  <c r="AX125" i="3" s="1"/>
  <c r="AO125" i="3"/>
  <c r="AN125" i="3"/>
  <c r="AM125" i="3"/>
  <c r="AL125" i="3"/>
  <c r="AK125" i="3"/>
  <c r="AJ125" i="3"/>
  <c r="AI125" i="3"/>
  <c r="AP125" i="3" s="1"/>
  <c r="AE125" i="3"/>
  <c r="AD125" i="3"/>
  <c r="AC125" i="3"/>
  <c r="AB125" i="3"/>
  <c r="AA125" i="3"/>
  <c r="BQ124" i="3"/>
  <c r="BP124" i="3"/>
  <c r="BO124" i="3"/>
  <c r="BN124" i="3"/>
  <c r="BM124" i="3"/>
  <c r="BL124" i="3"/>
  <c r="BK124" i="3"/>
  <c r="BJ124" i="3"/>
  <c r="BI124" i="3"/>
  <c r="BH124" i="3"/>
  <c r="BG124" i="3"/>
  <c r="BE124" i="3"/>
  <c r="BD124" i="3"/>
  <c r="BC124" i="3"/>
  <c r="BB124" i="3"/>
  <c r="BA124" i="3"/>
  <c r="AZ124" i="3"/>
  <c r="AY124" i="3"/>
  <c r="BF124" i="3" s="1"/>
  <c r="AW124" i="3"/>
  <c r="AV124" i="3"/>
  <c r="AU124" i="3"/>
  <c r="AT124" i="3"/>
  <c r="AS124" i="3"/>
  <c r="AR124" i="3"/>
  <c r="AQ124" i="3"/>
  <c r="AX124" i="3" s="1"/>
  <c r="AO124" i="3"/>
  <c r="AN124" i="3"/>
  <c r="AM124" i="3"/>
  <c r="AL124" i="3"/>
  <c r="AK124" i="3"/>
  <c r="AJ124" i="3"/>
  <c r="AI124" i="3"/>
  <c r="AP124" i="3" s="1"/>
  <c r="AE124" i="3"/>
  <c r="AD124" i="3"/>
  <c r="AC124" i="3"/>
  <c r="AA124" i="3" s="1"/>
  <c r="AB124" i="3"/>
  <c r="BQ123" i="3"/>
  <c r="BP123" i="3"/>
  <c r="BO123" i="3"/>
  <c r="BN123" i="3"/>
  <c r="BM123" i="3"/>
  <c r="BL123" i="3"/>
  <c r="BK123" i="3"/>
  <c r="BJ123" i="3"/>
  <c r="BI123" i="3"/>
  <c r="BH123" i="3"/>
  <c r="BG123" i="3"/>
  <c r="BE123" i="3"/>
  <c r="BD123" i="3"/>
  <c r="BC123" i="3"/>
  <c r="BB123" i="3"/>
  <c r="BA123" i="3"/>
  <c r="AZ123" i="3"/>
  <c r="AY123" i="3"/>
  <c r="BF123" i="3" s="1"/>
  <c r="AW123" i="3"/>
  <c r="AV123" i="3"/>
  <c r="AU123" i="3"/>
  <c r="AT123" i="3"/>
  <c r="AS123" i="3"/>
  <c r="AR123" i="3"/>
  <c r="AQ123" i="3"/>
  <c r="AX123" i="3" s="1"/>
  <c r="AO123" i="3"/>
  <c r="AN123" i="3"/>
  <c r="AM123" i="3"/>
  <c r="AL123" i="3"/>
  <c r="AK123" i="3"/>
  <c r="AJ123" i="3"/>
  <c r="AI123" i="3"/>
  <c r="AP123" i="3" s="1"/>
  <c r="AE123" i="3"/>
  <c r="AD123" i="3"/>
  <c r="AC123" i="3"/>
  <c r="AB123" i="3"/>
  <c r="AA123" i="3"/>
  <c r="BQ122" i="3"/>
  <c r="BP122" i="3"/>
  <c r="BO122" i="3"/>
  <c r="BN122" i="3"/>
  <c r="BM122" i="3"/>
  <c r="BL122" i="3"/>
  <c r="BK122" i="3"/>
  <c r="BJ122" i="3"/>
  <c r="BI122" i="3"/>
  <c r="BH122" i="3"/>
  <c r="BG122" i="3"/>
  <c r="BE122" i="3"/>
  <c r="BD122" i="3"/>
  <c r="BC122" i="3"/>
  <c r="BB122" i="3"/>
  <c r="BA122" i="3"/>
  <c r="AZ122" i="3"/>
  <c r="AY122" i="3"/>
  <c r="BF122" i="3" s="1"/>
  <c r="AW122" i="3"/>
  <c r="AV122" i="3"/>
  <c r="AU122" i="3"/>
  <c r="AT122" i="3"/>
  <c r="AS122" i="3"/>
  <c r="AR122" i="3"/>
  <c r="AQ122" i="3"/>
  <c r="AX122" i="3" s="1"/>
  <c r="AO122" i="3"/>
  <c r="AN122" i="3"/>
  <c r="AM122" i="3"/>
  <c r="AL122" i="3"/>
  <c r="AK122" i="3"/>
  <c r="AJ122" i="3"/>
  <c r="AI122" i="3"/>
  <c r="AP122" i="3" s="1"/>
  <c r="AE122" i="3"/>
  <c r="AD122" i="3"/>
  <c r="AC122" i="3"/>
  <c r="AA122" i="3" s="1"/>
  <c r="AB122" i="3"/>
  <c r="BQ121" i="3"/>
  <c r="BP121" i="3"/>
  <c r="BO121" i="3"/>
  <c r="BN121" i="3"/>
  <c r="BM121" i="3"/>
  <c r="BL121" i="3"/>
  <c r="BK121" i="3"/>
  <c r="BJ121" i="3"/>
  <c r="BI121" i="3"/>
  <c r="BH121" i="3"/>
  <c r="BG121" i="3"/>
  <c r="BE121" i="3"/>
  <c r="BD121" i="3"/>
  <c r="BC121" i="3"/>
  <c r="BB121" i="3"/>
  <c r="BA121" i="3"/>
  <c r="AZ121" i="3"/>
  <c r="AY121" i="3"/>
  <c r="BF121" i="3" s="1"/>
  <c r="AW121" i="3"/>
  <c r="AV121" i="3"/>
  <c r="AU121" i="3"/>
  <c r="AT121" i="3"/>
  <c r="AS121" i="3"/>
  <c r="AR121" i="3"/>
  <c r="AQ121" i="3"/>
  <c r="AX121" i="3" s="1"/>
  <c r="AO121" i="3"/>
  <c r="AN121" i="3"/>
  <c r="AM121" i="3"/>
  <c r="AL121" i="3"/>
  <c r="AK121" i="3"/>
  <c r="AJ121" i="3"/>
  <c r="AI121" i="3"/>
  <c r="AP121" i="3" s="1"/>
  <c r="AE121" i="3"/>
  <c r="AD121" i="3"/>
  <c r="AC121" i="3"/>
  <c r="AB121" i="3"/>
  <c r="AA121" i="3"/>
  <c r="BQ120" i="3"/>
  <c r="BP120" i="3"/>
  <c r="BO120" i="3"/>
  <c r="BN120" i="3"/>
  <c r="BM120" i="3"/>
  <c r="BL120" i="3"/>
  <c r="BK120" i="3"/>
  <c r="BJ120" i="3"/>
  <c r="BI120" i="3"/>
  <c r="BH120" i="3"/>
  <c r="BG120" i="3"/>
  <c r="BE120" i="3"/>
  <c r="BD120" i="3"/>
  <c r="BC120" i="3"/>
  <c r="BB120" i="3"/>
  <c r="BA120" i="3"/>
  <c r="AZ120" i="3"/>
  <c r="AY120" i="3"/>
  <c r="BF120" i="3" s="1"/>
  <c r="AW120" i="3"/>
  <c r="AV120" i="3"/>
  <c r="AU120" i="3"/>
  <c r="AT120" i="3"/>
  <c r="AS120" i="3"/>
  <c r="AR120" i="3"/>
  <c r="AQ120" i="3"/>
  <c r="AX120" i="3" s="1"/>
  <c r="AO120" i="3"/>
  <c r="AN120" i="3"/>
  <c r="AM120" i="3"/>
  <c r="AL120" i="3"/>
  <c r="AK120" i="3"/>
  <c r="AJ120" i="3"/>
  <c r="AI120" i="3"/>
  <c r="AP120" i="3" s="1"/>
  <c r="AE120" i="3"/>
  <c r="AD120" i="3"/>
  <c r="AC120" i="3"/>
  <c r="AB120" i="3"/>
  <c r="AA120" i="3"/>
  <c r="BQ119" i="3"/>
  <c r="BP119" i="3"/>
  <c r="BO119" i="3"/>
  <c r="BN119" i="3"/>
  <c r="BM119" i="3"/>
  <c r="BL119" i="3"/>
  <c r="BK119" i="3"/>
  <c r="BJ119" i="3"/>
  <c r="BI119" i="3"/>
  <c r="BH119" i="3"/>
  <c r="BG119" i="3"/>
  <c r="BE119" i="3"/>
  <c r="BD119" i="3"/>
  <c r="BC119" i="3"/>
  <c r="BB119" i="3"/>
  <c r="BA119" i="3"/>
  <c r="AZ119" i="3"/>
  <c r="AY119" i="3"/>
  <c r="BF119" i="3" s="1"/>
  <c r="AW119" i="3"/>
  <c r="AV119" i="3"/>
  <c r="AU119" i="3"/>
  <c r="AT119" i="3"/>
  <c r="AS119" i="3"/>
  <c r="AR119" i="3"/>
  <c r="AQ119" i="3"/>
  <c r="AX119" i="3" s="1"/>
  <c r="AO119" i="3"/>
  <c r="AN119" i="3"/>
  <c r="AM119" i="3"/>
  <c r="AL119" i="3"/>
  <c r="AK119" i="3"/>
  <c r="AJ119" i="3"/>
  <c r="AI119" i="3"/>
  <c r="AP119" i="3" s="1"/>
  <c r="AE119" i="3"/>
  <c r="AD119" i="3"/>
  <c r="AC119" i="3"/>
  <c r="AB119" i="3"/>
  <c r="AA119" i="3"/>
  <c r="BQ118" i="3"/>
  <c r="BP118" i="3"/>
  <c r="BO118" i="3"/>
  <c r="BN118" i="3"/>
  <c r="BM118" i="3"/>
  <c r="BL118" i="3"/>
  <c r="BK118" i="3"/>
  <c r="BJ118" i="3"/>
  <c r="BI118" i="3"/>
  <c r="BH118" i="3"/>
  <c r="BG118" i="3"/>
  <c r="BE118" i="3"/>
  <c r="BD118" i="3"/>
  <c r="BC118" i="3"/>
  <c r="BB118" i="3"/>
  <c r="BA118" i="3"/>
  <c r="AZ118" i="3"/>
  <c r="AY118" i="3"/>
  <c r="BF118" i="3" s="1"/>
  <c r="AW118" i="3"/>
  <c r="AV118" i="3"/>
  <c r="AU118" i="3"/>
  <c r="AT118" i="3"/>
  <c r="AS118" i="3"/>
  <c r="AR118" i="3"/>
  <c r="AQ118" i="3"/>
  <c r="AX118" i="3" s="1"/>
  <c r="AO118" i="3"/>
  <c r="AN118" i="3"/>
  <c r="AM118" i="3"/>
  <c r="AL118" i="3"/>
  <c r="AK118" i="3"/>
  <c r="AJ118" i="3"/>
  <c r="AI118" i="3"/>
  <c r="AP118" i="3" s="1"/>
  <c r="AE118" i="3"/>
  <c r="AD118" i="3"/>
  <c r="AC118" i="3"/>
  <c r="AB118" i="3"/>
  <c r="AA118" i="3"/>
  <c r="BQ117" i="3"/>
  <c r="BP117" i="3"/>
  <c r="BO117" i="3"/>
  <c r="BN117" i="3"/>
  <c r="BM117" i="3"/>
  <c r="BL117" i="3"/>
  <c r="BK117" i="3"/>
  <c r="BJ117" i="3"/>
  <c r="BI117" i="3"/>
  <c r="BH117" i="3"/>
  <c r="BG117" i="3"/>
  <c r="BE117" i="3"/>
  <c r="BD117" i="3"/>
  <c r="BC117" i="3"/>
  <c r="BB117" i="3"/>
  <c r="BA117" i="3"/>
  <c r="AZ117" i="3"/>
  <c r="AY117" i="3"/>
  <c r="BF117" i="3" s="1"/>
  <c r="AW117" i="3"/>
  <c r="AV117" i="3"/>
  <c r="AU117" i="3"/>
  <c r="AT117" i="3"/>
  <c r="AS117" i="3"/>
  <c r="AR117" i="3"/>
  <c r="AQ117" i="3"/>
  <c r="AX117" i="3" s="1"/>
  <c r="AO117" i="3"/>
  <c r="AN117" i="3"/>
  <c r="AM117" i="3"/>
  <c r="AL117" i="3"/>
  <c r="AK117" i="3"/>
  <c r="AJ117" i="3"/>
  <c r="AI117" i="3"/>
  <c r="AP117" i="3" s="1"/>
  <c r="AE117" i="3"/>
  <c r="AD117" i="3"/>
  <c r="AC117" i="3"/>
  <c r="AB117" i="3"/>
  <c r="AA117" i="3"/>
  <c r="BQ116" i="3"/>
  <c r="BP116" i="3"/>
  <c r="BO116" i="3"/>
  <c r="BN116" i="3"/>
  <c r="BM116" i="3"/>
  <c r="BL116" i="3"/>
  <c r="BK116" i="3"/>
  <c r="BJ116" i="3"/>
  <c r="BI116" i="3"/>
  <c r="BH116" i="3"/>
  <c r="BG116" i="3"/>
  <c r="BE116" i="3"/>
  <c r="BD116" i="3"/>
  <c r="BC116" i="3"/>
  <c r="BB116" i="3"/>
  <c r="BA116" i="3"/>
  <c r="AZ116" i="3"/>
  <c r="AY116" i="3"/>
  <c r="BF116" i="3" s="1"/>
  <c r="AW116" i="3"/>
  <c r="AV116" i="3"/>
  <c r="AU116" i="3"/>
  <c r="AT116" i="3"/>
  <c r="AS116" i="3"/>
  <c r="AR116" i="3"/>
  <c r="AQ116" i="3"/>
  <c r="AX116" i="3" s="1"/>
  <c r="AO116" i="3"/>
  <c r="AN116" i="3"/>
  <c r="AM116" i="3"/>
  <c r="AL116" i="3"/>
  <c r="AK116" i="3"/>
  <c r="AJ116" i="3"/>
  <c r="AI116" i="3"/>
  <c r="AP116" i="3" s="1"/>
  <c r="AE116" i="3"/>
  <c r="AD116" i="3"/>
  <c r="AC116" i="3"/>
  <c r="AB116" i="3"/>
  <c r="AA116" i="3"/>
  <c r="BQ115" i="3"/>
  <c r="BP115" i="3"/>
  <c r="BO115" i="3"/>
  <c r="BN115" i="3"/>
  <c r="BM115" i="3"/>
  <c r="BL115" i="3"/>
  <c r="BK115" i="3"/>
  <c r="BJ115" i="3"/>
  <c r="BI115" i="3"/>
  <c r="BH115" i="3"/>
  <c r="BG115" i="3"/>
  <c r="BE115" i="3"/>
  <c r="BD115" i="3"/>
  <c r="BC115" i="3"/>
  <c r="BB115" i="3"/>
  <c r="BA115" i="3"/>
  <c r="AZ115" i="3"/>
  <c r="AY115" i="3"/>
  <c r="BF115" i="3" s="1"/>
  <c r="AW115" i="3"/>
  <c r="AV115" i="3"/>
  <c r="AU115" i="3"/>
  <c r="AT115" i="3"/>
  <c r="AS115" i="3"/>
  <c r="AR115" i="3"/>
  <c r="AQ115" i="3"/>
  <c r="AX115" i="3" s="1"/>
  <c r="AO115" i="3"/>
  <c r="AN115" i="3"/>
  <c r="AM115" i="3"/>
  <c r="AL115" i="3"/>
  <c r="AK115" i="3"/>
  <c r="AJ115" i="3"/>
  <c r="AI115" i="3"/>
  <c r="AP115" i="3" s="1"/>
  <c r="AE115" i="3"/>
  <c r="AD115" i="3"/>
  <c r="AC115" i="3"/>
  <c r="AB115" i="3"/>
  <c r="AA115" i="3"/>
  <c r="BQ114" i="3"/>
  <c r="BP114" i="3"/>
  <c r="BO114" i="3"/>
  <c r="BN114" i="3"/>
  <c r="BM114" i="3"/>
  <c r="BL114" i="3"/>
  <c r="BK114" i="3"/>
  <c r="BJ114" i="3"/>
  <c r="BI114" i="3"/>
  <c r="BH114" i="3"/>
  <c r="BG114" i="3"/>
  <c r="BE114" i="3"/>
  <c r="BD114" i="3"/>
  <c r="BC114" i="3"/>
  <c r="BB114" i="3"/>
  <c r="BA114" i="3"/>
  <c r="AZ114" i="3"/>
  <c r="AY114" i="3"/>
  <c r="BF114" i="3" s="1"/>
  <c r="AW114" i="3"/>
  <c r="AV114" i="3"/>
  <c r="AU114" i="3"/>
  <c r="AT114" i="3"/>
  <c r="AS114" i="3"/>
  <c r="AR114" i="3"/>
  <c r="AQ114" i="3"/>
  <c r="AX114" i="3" s="1"/>
  <c r="AO114" i="3"/>
  <c r="AN114" i="3"/>
  <c r="AM114" i="3"/>
  <c r="AL114" i="3"/>
  <c r="AK114" i="3"/>
  <c r="AJ114" i="3"/>
  <c r="AI114" i="3"/>
  <c r="AP114" i="3" s="1"/>
  <c r="AE114" i="3"/>
  <c r="AD114" i="3"/>
  <c r="AC114" i="3"/>
  <c r="AB114" i="3"/>
  <c r="AA114" i="3"/>
  <c r="BQ113" i="3"/>
  <c r="BP113" i="3"/>
  <c r="BO113" i="3"/>
  <c r="BN113" i="3"/>
  <c r="BM113" i="3"/>
  <c r="BL113" i="3"/>
  <c r="BK113" i="3"/>
  <c r="BJ113" i="3"/>
  <c r="BI113" i="3"/>
  <c r="BH113" i="3"/>
  <c r="BG113" i="3"/>
  <c r="BE113" i="3"/>
  <c r="BD113" i="3"/>
  <c r="BC113" i="3"/>
  <c r="BB113" i="3"/>
  <c r="BA113" i="3"/>
  <c r="AZ113" i="3"/>
  <c r="AY113" i="3"/>
  <c r="BF113" i="3" s="1"/>
  <c r="AW113" i="3"/>
  <c r="AV113" i="3"/>
  <c r="AU113" i="3"/>
  <c r="AT113" i="3"/>
  <c r="AS113" i="3"/>
  <c r="AR113" i="3"/>
  <c r="AQ113" i="3"/>
  <c r="AX113" i="3" s="1"/>
  <c r="AO113" i="3"/>
  <c r="AN113" i="3"/>
  <c r="AM113" i="3"/>
  <c r="AL113" i="3"/>
  <c r="AK113" i="3"/>
  <c r="AJ113" i="3"/>
  <c r="AI113" i="3"/>
  <c r="AP113" i="3" s="1"/>
  <c r="AE113" i="3"/>
  <c r="AD113" i="3"/>
  <c r="AC113" i="3"/>
  <c r="AB113" i="3"/>
  <c r="AA113" i="3"/>
  <c r="BQ112" i="3"/>
  <c r="BP112" i="3"/>
  <c r="BO112" i="3"/>
  <c r="BN112" i="3"/>
  <c r="BM112" i="3"/>
  <c r="BL112" i="3"/>
  <c r="BK112" i="3"/>
  <c r="BJ112" i="3"/>
  <c r="BI112" i="3"/>
  <c r="BH112" i="3"/>
  <c r="BG112" i="3"/>
  <c r="BE112" i="3"/>
  <c r="BD112" i="3"/>
  <c r="BC112" i="3"/>
  <c r="BB112" i="3"/>
  <c r="BA112" i="3"/>
  <c r="AZ112" i="3"/>
  <c r="AY112" i="3"/>
  <c r="BF112" i="3" s="1"/>
  <c r="AW112" i="3"/>
  <c r="AV112" i="3"/>
  <c r="AU112" i="3"/>
  <c r="AT112" i="3"/>
  <c r="AS112" i="3"/>
  <c r="AR112" i="3"/>
  <c r="AQ112" i="3"/>
  <c r="AX112" i="3" s="1"/>
  <c r="AO112" i="3"/>
  <c r="AN112" i="3"/>
  <c r="AM112" i="3"/>
  <c r="AL112" i="3"/>
  <c r="AK112" i="3"/>
  <c r="AJ112" i="3"/>
  <c r="AI112" i="3"/>
  <c r="AP112" i="3" s="1"/>
  <c r="AE112" i="3"/>
  <c r="AD112" i="3"/>
  <c r="AC112" i="3"/>
  <c r="AB112" i="3"/>
  <c r="AA112" i="3"/>
  <c r="BQ111" i="3"/>
  <c r="BP111" i="3"/>
  <c r="BO111" i="3"/>
  <c r="BN111" i="3"/>
  <c r="BM111" i="3"/>
  <c r="BL111" i="3"/>
  <c r="BK111" i="3"/>
  <c r="BJ111" i="3"/>
  <c r="BI111" i="3"/>
  <c r="BH111" i="3"/>
  <c r="BG111" i="3"/>
  <c r="BE111" i="3"/>
  <c r="BD111" i="3"/>
  <c r="BC111" i="3"/>
  <c r="BB111" i="3"/>
  <c r="BA111" i="3"/>
  <c r="AZ111" i="3"/>
  <c r="AY111" i="3"/>
  <c r="BF111" i="3" s="1"/>
  <c r="AW111" i="3"/>
  <c r="AV111" i="3"/>
  <c r="AU111" i="3"/>
  <c r="AT111" i="3"/>
  <c r="AS111" i="3"/>
  <c r="AR111" i="3"/>
  <c r="AQ111" i="3"/>
  <c r="AX111" i="3" s="1"/>
  <c r="AO111" i="3"/>
  <c r="AN111" i="3"/>
  <c r="AM111" i="3"/>
  <c r="AL111" i="3"/>
  <c r="AK111" i="3"/>
  <c r="AJ111" i="3"/>
  <c r="AI111" i="3"/>
  <c r="AP111" i="3" s="1"/>
  <c r="AE111" i="3"/>
  <c r="AD111" i="3"/>
  <c r="AC111" i="3"/>
  <c r="AB111" i="3"/>
  <c r="AA111" i="3"/>
  <c r="BQ110" i="3"/>
  <c r="BP110" i="3"/>
  <c r="BO110" i="3"/>
  <c r="BN110" i="3"/>
  <c r="BM110" i="3"/>
  <c r="BL110" i="3"/>
  <c r="BK110" i="3"/>
  <c r="BJ110" i="3"/>
  <c r="BI110" i="3"/>
  <c r="BH110" i="3"/>
  <c r="BG110" i="3"/>
  <c r="BE110" i="3"/>
  <c r="BD110" i="3"/>
  <c r="BC110" i="3"/>
  <c r="BB110" i="3"/>
  <c r="BA110" i="3"/>
  <c r="AZ110" i="3"/>
  <c r="AY110" i="3"/>
  <c r="BF110" i="3" s="1"/>
  <c r="AW110" i="3"/>
  <c r="AV110" i="3"/>
  <c r="AU110" i="3"/>
  <c r="AT110" i="3"/>
  <c r="AS110" i="3"/>
  <c r="AR110" i="3"/>
  <c r="AQ110" i="3"/>
  <c r="AX110" i="3" s="1"/>
  <c r="AO110" i="3"/>
  <c r="AN110" i="3"/>
  <c r="AM110" i="3"/>
  <c r="AL110" i="3"/>
  <c r="AK110" i="3"/>
  <c r="AJ110" i="3"/>
  <c r="AI110" i="3"/>
  <c r="AP110" i="3" s="1"/>
  <c r="AE110" i="3"/>
  <c r="AD110" i="3"/>
  <c r="AC110" i="3"/>
  <c r="AB110" i="3"/>
  <c r="AA110" i="3"/>
  <c r="BQ109" i="3"/>
  <c r="BP109" i="3"/>
  <c r="BO109" i="3"/>
  <c r="BN109" i="3"/>
  <c r="BM109" i="3"/>
  <c r="BL109" i="3"/>
  <c r="BK109" i="3"/>
  <c r="BJ109" i="3"/>
  <c r="BI109" i="3"/>
  <c r="BH109" i="3"/>
  <c r="BG109" i="3"/>
  <c r="BE109" i="3"/>
  <c r="BD109" i="3"/>
  <c r="BC109" i="3"/>
  <c r="BB109" i="3"/>
  <c r="BA109" i="3"/>
  <c r="AZ109" i="3"/>
  <c r="AY109" i="3"/>
  <c r="BF109" i="3" s="1"/>
  <c r="AW109" i="3"/>
  <c r="AV109" i="3"/>
  <c r="AU109" i="3"/>
  <c r="AT109" i="3"/>
  <c r="AS109" i="3"/>
  <c r="AR109" i="3"/>
  <c r="AQ109" i="3"/>
  <c r="AX109" i="3" s="1"/>
  <c r="AO109" i="3"/>
  <c r="AN109" i="3"/>
  <c r="AM109" i="3"/>
  <c r="AL109" i="3"/>
  <c r="AK109" i="3"/>
  <c r="AJ109" i="3"/>
  <c r="AI109" i="3"/>
  <c r="AP109" i="3" s="1"/>
  <c r="AE109" i="3"/>
  <c r="AD109" i="3"/>
  <c r="AC109" i="3"/>
  <c r="AB109" i="3"/>
  <c r="AA109" i="3"/>
  <c r="BQ108" i="3"/>
  <c r="BP108" i="3"/>
  <c r="BO108" i="3"/>
  <c r="BN108" i="3"/>
  <c r="BM108" i="3"/>
  <c r="BL108" i="3"/>
  <c r="BK108" i="3"/>
  <c r="BJ108" i="3"/>
  <c r="BI108" i="3"/>
  <c r="BH108" i="3"/>
  <c r="BG108" i="3"/>
  <c r="BE108" i="3"/>
  <c r="BD108" i="3"/>
  <c r="BC108" i="3"/>
  <c r="BB108" i="3"/>
  <c r="BA108" i="3"/>
  <c r="AZ108" i="3"/>
  <c r="AY108" i="3"/>
  <c r="BF108" i="3" s="1"/>
  <c r="AW108" i="3"/>
  <c r="AV108" i="3"/>
  <c r="AU108" i="3"/>
  <c r="AT108" i="3"/>
  <c r="AS108" i="3"/>
  <c r="AR108" i="3"/>
  <c r="AQ108" i="3"/>
  <c r="AX108" i="3" s="1"/>
  <c r="AO108" i="3"/>
  <c r="AN108" i="3"/>
  <c r="AM108" i="3"/>
  <c r="AL108" i="3"/>
  <c r="AK108" i="3"/>
  <c r="AJ108" i="3"/>
  <c r="AI108" i="3"/>
  <c r="AP108" i="3" s="1"/>
  <c r="AE108" i="3"/>
  <c r="AD108" i="3"/>
  <c r="AC108" i="3"/>
  <c r="AB108" i="3"/>
  <c r="AA108" i="3"/>
  <c r="BQ107" i="3"/>
  <c r="BP107" i="3"/>
  <c r="BO107" i="3"/>
  <c r="BN107" i="3"/>
  <c r="BM107" i="3"/>
  <c r="BL107" i="3"/>
  <c r="BK107" i="3"/>
  <c r="BJ107" i="3"/>
  <c r="BI107" i="3"/>
  <c r="BH107" i="3"/>
  <c r="BG107" i="3"/>
  <c r="BE107" i="3"/>
  <c r="BD107" i="3"/>
  <c r="BC107" i="3"/>
  <c r="BB107" i="3"/>
  <c r="BA107" i="3"/>
  <c r="AZ107" i="3"/>
  <c r="AY107" i="3"/>
  <c r="BF107" i="3" s="1"/>
  <c r="AW107" i="3"/>
  <c r="AV107" i="3"/>
  <c r="AU107" i="3"/>
  <c r="AT107" i="3"/>
  <c r="AS107" i="3"/>
  <c r="AR107" i="3"/>
  <c r="AQ107" i="3"/>
  <c r="AX107" i="3" s="1"/>
  <c r="AO107" i="3"/>
  <c r="AN107" i="3"/>
  <c r="AM107" i="3"/>
  <c r="AL107" i="3"/>
  <c r="AK107" i="3"/>
  <c r="AJ107" i="3"/>
  <c r="AI107" i="3"/>
  <c r="AP107" i="3" s="1"/>
  <c r="AE107" i="3"/>
  <c r="AD107" i="3"/>
  <c r="AC107" i="3"/>
  <c r="AB107" i="3"/>
  <c r="AA107" i="3"/>
  <c r="BQ106" i="3"/>
  <c r="BP106" i="3"/>
  <c r="BO106" i="3"/>
  <c r="BN106" i="3"/>
  <c r="BM106" i="3"/>
  <c r="BL106" i="3"/>
  <c r="BK106" i="3"/>
  <c r="BJ106" i="3"/>
  <c r="BI106" i="3"/>
  <c r="BH106" i="3"/>
  <c r="BG106" i="3"/>
  <c r="BE106" i="3"/>
  <c r="BD106" i="3"/>
  <c r="BC106" i="3"/>
  <c r="BB106" i="3"/>
  <c r="BA106" i="3"/>
  <c r="AZ106" i="3"/>
  <c r="AY106" i="3"/>
  <c r="BF106" i="3" s="1"/>
  <c r="AW106" i="3"/>
  <c r="AV106" i="3"/>
  <c r="AU106" i="3"/>
  <c r="AT106" i="3"/>
  <c r="AS106" i="3"/>
  <c r="AR106" i="3"/>
  <c r="AQ106" i="3"/>
  <c r="AX106" i="3" s="1"/>
  <c r="AO106" i="3"/>
  <c r="AN106" i="3"/>
  <c r="AM106" i="3"/>
  <c r="AL106" i="3"/>
  <c r="AK106" i="3"/>
  <c r="AJ106" i="3"/>
  <c r="AI106" i="3"/>
  <c r="AP106" i="3" s="1"/>
  <c r="AE106" i="3"/>
  <c r="AD106" i="3"/>
  <c r="AC106" i="3"/>
  <c r="AB106" i="3"/>
  <c r="AA106" i="3"/>
  <c r="BQ105" i="3"/>
  <c r="BP105" i="3"/>
  <c r="BO105" i="3"/>
  <c r="BN105" i="3"/>
  <c r="BM105" i="3"/>
  <c r="BL105" i="3"/>
  <c r="BK105" i="3"/>
  <c r="BJ105" i="3"/>
  <c r="BI105" i="3"/>
  <c r="BH105" i="3"/>
  <c r="BG105" i="3"/>
  <c r="BE105" i="3"/>
  <c r="BD105" i="3"/>
  <c r="BC105" i="3"/>
  <c r="BB105" i="3"/>
  <c r="BA105" i="3"/>
  <c r="AZ105" i="3"/>
  <c r="AY105" i="3"/>
  <c r="BF105" i="3" s="1"/>
  <c r="AW105" i="3"/>
  <c r="AV105" i="3"/>
  <c r="AU105" i="3"/>
  <c r="AT105" i="3"/>
  <c r="AS105" i="3"/>
  <c r="AR105" i="3"/>
  <c r="AQ105" i="3"/>
  <c r="AX105" i="3" s="1"/>
  <c r="AO105" i="3"/>
  <c r="AN105" i="3"/>
  <c r="AM105" i="3"/>
  <c r="AL105" i="3"/>
  <c r="AK105" i="3"/>
  <c r="AJ105" i="3"/>
  <c r="AI105" i="3"/>
  <c r="AP105" i="3" s="1"/>
  <c r="AE105" i="3"/>
  <c r="AD105" i="3"/>
  <c r="AC105" i="3"/>
  <c r="AB105" i="3"/>
  <c r="AA105" i="3"/>
  <c r="BQ104" i="3"/>
  <c r="BP104" i="3"/>
  <c r="BO104" i="3"/>
  <c r="BN104" i="3"/>
  <c r="BM104" i="3"/>
  <c r="BL104" i="3"/>
  <c r="BK104" i="3"/>
  <c r="BJ104" i="3"/>
  <c r="BI104" i="3"/>
  <c r="BH104" i="3"/>
  <c r="BG104" i="3"/>
  <c r="BE104" i="3"/>
  <c r="BD104" i="3"/>
  <c r="BC104" i="3"/>
  <c r="BB104" i="3"/>
  <c r="BA104" i="3"/>
  <c r="AZ104" i="3"/>
  <c r="AY104" i="3"/>
  <c r="BF104" i="3" s="1"/>
  <c r="AW104" i="3"/>
  <c r="AV104" i="3"/>
  <c r="AU104" i="3"/>
  <c r="AT104" i="3"/>
  <c r="AS104" i="3"/>
  <c r="AR104" i="3"/>
  <c r="AQ104" i="3"/>
  <c r="AX104" i="3" s="1"/>
  <c r="AO104" i="3"/>
  <c r="AN104" i="3"/>
  <c r="AM104" i="3"/>
  <c r="AL104" i="3"/>
  <c r="AK104" i="3"/>
  <c r="AJ104" i="3"/>
  <c r="AI104" i="3"/>
  <c r="AP104" i="3" s="1"/>
  <c r="AE104" i="3"/>
  <c r="AD104" i="3"/>
  <c r="AC104" i="3"/>
  <c r="AB104" i="3"/>
  <c r="AA104" i="3"/>
  <c r="BQ103" i="3"/>
  <c r="BP103" i="3"/>
  <c r="BO103" i="3"/>
  <c r="BN103" i="3"/>
  <c r="BM103" i="3"/>
  <c r="BL103" i="3"/>
  <c r="BK103" i="3"/>
  <c r="BJ103" i="3"/>
  <c r="BI103" i="3"/>
  <c r="BH103" i="3"/>
  <c r="BG103" i="3"/>
  <c r="BE103" i="3"/>
  <c r="BD103" i="3"/>
  <c r="BC103" i="3"/>
  <c r="BB103" i="3"/>
  <c r="BA103" i="3"/>
  <c r="AZ103" i="3"/>
  <c r="AY103" i="3"/>
  <c r="BF103" i="3" s="1"/>
  <c r="AW103" i="3"/>
  <c r="AV103" i="3"/>
  <c r="AU103" i="3"/>
  <c r="AT103" i="3"/>
  <c r="AS103" i="3"/>
  <c r="AR103" i="3"/>
  <c r="AQ103" i="3"/>
  <c r="AX103" i="3" s="1"/>
  <c r="AO103" i="3"/>
  <c r="AN103" i="3"/>
  <c r="AM103" i="3"/>
  <c r="AL103" i="3"/>
  <c r="AK103" i="3"/>
  <c r="AJ103" i="3"/>
  <c r="AI103" i="3"/>
  <c r="AP103" i="3" s="1"/>
  <c r="AE103" i="3"/>
  <c r="AD103" i="3"/>
  <c r="AC103" i="3"/>
  <c r="AA103" i="3" s="1"/>
  <c r="AB103" i="3"/>
  <c r="BQ102" i="3"/>
  <c r="BP102" i="3"/>
  <c r="BO102" i="3"/>
  <c r="BN102" i="3"/>
  <c r="BM102" i="3"/>
  <c r="BL102" i="3"/>
  <c r="BK102" i="3"/>
  <c r="BJ102" i="3"/>
  <c r="BI102" i="3"/>
  <c r="BH102" i="3"/>
  <c r="BG102" i="3"/>
  <c r="BE102" i="3"/>
  <c r="BD102" i="3"/>
  <c r="BC102" i="3"/>
  <c r="BB102" i="3"/>
  <c r="BA102" i="3"/>
  <c r="AZ102" i="3"/>
  <c r="AY102" i="3"/>
  <c r="BF102" i="3" s="1"/>
  <c r="AW102" i="3"/>
  <c r="AV102" i="3"/>
  <c r="AU102" i="3"/>
  <c r="AT102" i="3"/>
  <c r="AS102" i="3"/>
  <c r="AR102" i="3"/>
  <c r="AQ102" i="3"/>
  <c r="AX102" i="3" s="1"/>
  <c r="AO102" i="3"/>
  <c r="AN102" i="3"/>
  <c r="AM102" i="3"/>
  <c r="AL102" i="3"/>
  <c r="AK102" i="3"/>
  <c r="AJ102" i="3"/>
  <c r="AI102" i="3"/>
  <c r="AP102" i="3" s="1"/>
  <c r="AE102" i="3"/>
  <c r="AD102" i="3"/>
  <c r="AC102" i="3"/>
  <c r="AB102" i="3"/>
  <c r="AA102" i="3"/>
  <c r="BQ101" i="3"/>
  <c r="BP101" i="3"/>
  <c r="BO101" i="3"/>
  <c r="BN101" i="3"/>
  <c r="BM101" i="3"/>
  <c r="BL101" i="3"/>
  <c r="BK101" i="3"/>
  <c r="BJ101" i="3"/>
  <c r="BI101" i="3"/>
  <c r="BH101" i="3"/>
  <c r="BG101" i="3"/>
  <c r="BE101" i="3"/>
  <c r="BD101" i="3"/>
  <c r="BC101" i="3"/>
  <c r="BB101" i="3"/>
  <c r="BA101" i="3"/>
  <c r="AZ101" i="3"/>
  <c r="AY101" i="3"/>
  <c r="BF101" i="3" s="1"/>
  <c r="AW101" i="3"/>
  <c r="AV101" i="3"/>
  <c r="AU101" i="3"/>
  <c r="AT101" i="3"/>
  <c r="AS101" i="3"/>
  <c r="AR101" i="3"/>
  <c r="AQ101" i="3"/>
  <c r="AX101" i="3" s="1"/>
  <c r="AO101" i="3"/>
  <c r="AN101" i="3"/>
  <c r="AM101" i="3"/>
  <c r="AL101" i="3"/>
  <c r="AK101" i="3"/>
  <c r="AJ101" i="3"/>
  <c r="AI101" i="3"/>
  <c r="AP101" i="3" s="1"/>
  <c r="AE101" i="3"/>
  <c r="AD101" i="3"/>
  <c r="AC101" i="3"/>
  <c r="AA101" i="3" s="1"/>
  <c r="AB101" i="3"/>
  <c r="BQ100" i="3"/>
  <c r="BP100" i="3"/>
  <c r="BO100" i="3"/>
  <c r="BN100" i="3"/>
  <c r="BM100" i="3"/>
  <c r="BL100" i="3"/>
  <c r="BK100" i="3"/>
  <c r="BJ100" i="3"/>
  <c r="BI100" i="3"/>
  <c r="BH100" i="3"/>
  <c r="BG100" i="3"/>
  <c r="BE100" i="3"/>
  <c r="BD100" i="3"/>
  <c r="BC100" i="3"/>
  <c r="BB100" i="3"/>
  <c r="BA100" i="3"/>
  <c r="AZ100" i="3"/>
  <c r="AY100" i="3"/>
  <c r="BF100" i="3" s="1"/>
  <c r="AW100" i="3"/>
  <c r="AV100" i="3"/>
  <c r="AU100" i="3"/>
  <c r="AT100" i="3"/>
  <c r="AS100" i="3"/>
  <c r="AR100" i="3"/>
  <c r="AQ100" i="3"/>
  <c r="AX100" i="3" s="1"/>
  <c r="AO100" i="3"/>
  <c r="AN100" i="3"/>
  <c r="AM100" i="3"/>
  <c r="AL100" i="3"/>
  <c r="AK100" i="3"/>
  <c r="AJ100" i="3"/>
  <c r="AI100" i="3"/>
  <c r="AP100" i="3" s="1"/>
  <c r="AE100" i="3"/>
  <c r="AD100" i="3"/>
  <c r="AC100" i="3"/>
  <c r="AB100" i="3"/>
  <c r="AA100" i="3"/>
  <c r="BQ99" i="3"/>
  <c r="BP99" i="3"/>
  <c r="BO99" i="3"/>
  <c r="BN99" i="3"/>
  <c r="BM99" i="3"/>
  <c r="BL99" i="3"/>
  <c r="BK99" i="3"/>
  <c r="BJ99" i="3"/>
  <c r="BI99" i="3"/>
  <c r="BH99" i="3"/>
  <c r="BG99" i="3"/>
  <c r="BE99" i="3"/>
  <c r="BD99" i="3"/>
  <c r="BC99" i="3"/>
  <c r="BB99" i="3"/>
  <c r="BA99" i="3"/>
  <c r="AZ99" i="3"/>
  <c r="AY99" i="3"/>
  <c r="BF99" i="3" s="1"/>
  <c r="AW99" i="3"/>
  <c r="AV99" i="3"/>
  <c r="AU99" i="3"/>
  <c r="AT99" i="3"/>
  <c r="AS99" i="3"/>
  <c r="AR99" i="3"/>
  <c r="AQ99" i="3"/>
  <c r="AX99" i="3" s="1"/>
  <c r="AO99" i="3"/>
  <c r="AN99" i="3"/>
  <c r="AM99" i="3"/>
  <c r="AL99" i="3"/>
  <c r="AK99" i="3"/>
  <c r="AJ99" i="3"/>
  <c r="AI99" i="3"/>
  <c r="AP99" i="3" s="1"/>
  <c r="AE99" i="3"/>
  <c r="AD99" i="3"/>
  <c r="AC99" i="3"/>
  <c r="AB99" i="3"/>
  <c r="AA99" i="3"/>
  <c r="BQ98" i="3"/>
  <c r="BP98" i="3"/>
  <c r="BO98" i="3"/>
  <c r="BN98" i="3"/>
  <c r="BM98" i="3"/>
  <c r="BL98" i="3"/>
  <c r="BK98" i="3"/>
  <c r="BJ98" i="3"/>
  <c r="BI98" i="3"/>
  <c r="BH98" i="3"/>
  <c r="BG98" i="3"/>
  <c r="BE98" i="3"/>
  <c r="BD98" i="3"/>
  <c r="BC98" i="3"/>
  <c r="BB98" i="3"/>
  <c r="BA98" i="3"/>
  <c r="AZ98" i="3"/>
  <c r="AY98" i="3"/>
  <c r="BF98" i="3" s="1"/>
  <c r="AW98" i="3"/>
  <c r="AV98" i="3"/>
  <c r="AU98" i="3"/>
  <c r="AT98" i="3"/>
  <c r="AS98" i="3"/>
  <c r="AR98" i="3"/>
  <c r="AQ98" i="3"/>
  <c r="AX98" i="3" s="1"/>
  <c r="AO98" i="3"/>
  <c r="AN98" i="3"/>
  <c r="AM98" i="3"/>
  <c r="AL98" i="3"/>
  <c r="AK98" i="3"/>
  <c r="AJ98" i="3"/>
  <c r="AI98" i="3"/>
  <c r="AP98" i="3" s="1"/>
  <c r="AE98" i="3"/>
  <c r="AD98" i="3"/>
  <c r="AC98" i="3"/>
  <c r="AB98" i="3"/>
  <c r="AA98" i="3"/>
  <c r="BQ97" i="3"/>
  <c r="BP97" i="3"/>
  <c r="BO97" i="3"/>
  <c r="BN97" i="3"/>
  <c r="BM97" i="3"/>
  <c r="BL97" i="3"/>
  <c r="BK97" i="3"/>
  <c r="BJ97" i="3"/>
  <c r="BI97" i="3"/>
  <c r="BH97" i="3"/>
  <c r="BG97" i="3"/>
  <c r="BE97" i="3"/>
  <c r="BD97" i="3"/>
  <c r="BC97" i="3"/>
  <c r="BB97" i="3"/>
  <c r="BA97" i="3"/>
  <c r="AZ97" i="3"/>
  <c r="AY97" i="3"/>
  <c r="BF97" i="3" s="1"/>
  <c r="AW97" i="3"/>
  <c r="AV97" i="3"/>
  <c r="AU97" i="3"/>
  <c r="AT97" i="3"/>
  <c r="AS97" i="3"/>
  <c r="AR97" i="3"/>
  <c r="AQ97" i="3"/>
  <c r="AX97" i="3" s="1"/>
  <c r="AO97" i="3"/>
  <c r="AN97" i="3"/>
  <c r="AM97" i="3"/>
  <c r="AL97" i="3"/>
  <c r="AK97" i="3"/>
  <c r="AJ97" i="3"/>
  <c r="AI97" i="3"/>
  <c r="AP97" i="3" s="1"/>
  <c r="AE97" i="3"/>
  <c r="AD97" i="3"/>
  <c r="AC97" i="3"/>
  <c r="AB97" i="3"/>
  <c r="AA97" i="3"/>
  <c r="BQ96" i="3"/>
  <c r="BP96" i="3"/>
  <c r="BO96" i="3"/>
  <c r="BN96" i="3"/>
  <c r="BM96" i="3"/>
  <c r="BL96" i="3"/>
  <c r="BK96" i="3"/>
  <c r="BJ96" i="3"/>
  <c r="BI96" i="3"/>
  <c r="BH96" i="3"/>
  <c r="BG96" i="3"/>
  <c r="BE96" i="3"/>
  <c r="BD96" i="3"/>
  <c r="BC96" i="3"/>
  <c r="BB96" i="3"/>
  <c r="BA96" i="3"/>
  <c r="AZ96" i="3"/>
  <c r="AY96" i="3"/>
  <c r="BF96" i="3" s="1"/>
  <c r="AW96" i="3"/>
  <c r="AV96" i="3"/>
  <c r="AU96" i="3"/>
  <c r="AT96" i="3"/>
  <c r="AS96" i="3"/>
  <c r="AR96" i="3"/>
  <c r="AQ96" i="3"/>
  <c r="AX96" i="3" s="1"/>
  <c r="AO96" i="3"/>
  <c r="AN96" i="3"/>
  <c r="AM96" i="3"/>
  <c r="AL96" i="3"/>
  <c r="AK96" i="3"/>
  <c r="AJ96" i="3"/>
  <c r="AI96" i="3"/>
  <c r="AP96" i="3" s="1"/>
  <c r="AE96" i="3"/>
  <c r="AD96" i="3"/>
  <c r="AC96" i="3"/>
  <c r="AB96" i="3"/>
  <c r="AA96" i="3"/>
  <c r="BQ95" i="3"/>
  <c r="BP95" i="3"/>
  <c r="BO95" i="3"/>
  <c r="BN95" i="3"/>
  <c r="BM95" i="3"/>
  <c r="BL95" i="3"/>
  <c r="BK95" i="3"/>
  <c r="BJ95" i="3"/>
  <c r="BI95" i="3"/>
  <c r="BH95" i="3"/>
  <c r="BG95" i="3"/>
  <c r="BE95" i="3"/>
  <c r="BD95" i="3"/>
  <c r="BC95" i="3"/>
  <c r="BB95" i="3"/>
  <c r="BA95" i="3"/>
  <c r="AZ95" i="3"/>
  <c r="AY95" i="3"/>
  <c r="BF95" i="3" s="1"/>
  <c r="AW95" i="3"/>
  <c r="AV95" i="3"/>
  <c r="AU95" i="3"/>
  <c r="AT95" i="3"/>
  <c r="AS95" i="3"/>
  <c r="AR95" i="3"/>
  <c r="AQ95" i="3"/>
  <c r="AX95" i="3" s="1"/>
  <c r="AO95" i="3"/>
  <c r="AN95" i="3"/>
  <c r="AM95" i="3"/>
  <c r="AL95" i="3"/>
  <c r="AK95" i="3"/>
  <c r="AJ95" i="3"/>
  <c r="AI95" i="3"/>
  <c r="AP95" i="3" s="1"/>
  <c r="AE95" i="3"/>
  <c r="AD95" i="3"/>
  <c r="AC95" i="3"/>
  <c r="AB95" i="3"/>
  <c r="AA95" i="3"/>
  <c r="BQ94" i="3"/>
  <c r="BP94" i="3"/>
  <c r="BO94" i="3"/>
  <c r="BN94" i="3"/>
  <c r="BM94" i="3"/>
  <c r="BL94" i="3"/>
  <c r="BK94" i="3"/>
  <c r="BJ94" i="3"/>
  <c r="BI94" i="3"/>
  <c r="BH94" i="3"/>
  <c r="BG94" i="3"/>
  <c r="BE94" i="3"/>
  <c r="BD94" i="3"/>
  <c r="BC94" i="3"/>
  <c r="BB94" i="3"/>
  <c r="BA94" i="3"/>
  <c r="AZ94" i="3"/>
  <c r="AY94" i="3"/>
  <c r="BF94" i="3" s="1"/>
  <c r="AW94" i="3"/>
  <c r="AV94" i="3"/>
  <c r="AU94" i="3"/>
  <c r="AT94" i="3"/>
  <c r="AS94" i="3"/>
  <c r="AR94" i="3"/>
  <c r="AQ94" i="3"/>
  <c r="AX94" i="3" s="1"/>
  <c r="AO94" i="3"/>
  <c r="AN94" i="3"/>
  <c r="AM94" i="3"/>
  <c r="AL94" i="3"/>
  <c r="AK94" i="3"/>
  <c r="AJ94" i="3"/>
  <c r="AI94" i="3"/>
  <c r="AP94" i="3" s="1"/>
  <c r="AE94" i="3"/>
  <c r="AD94" i="3"/>
  <c r="AC94" i="3"/>
  <c r="AB94" i="3"/>
  <c r="AA94" i="3"/>
  <c r="BQ93" i="3"/>
  <c r="BP93" i="3"/>
  <c r="BO93" i="3"/>
  <c r="BN93" i="3"/>
  <c r="BM93" i="3"/>
  <c r="BL93" i="3"/>
  <c r="BK93" i="3"/>
  <c r="BJ93" i="3"/>
  <c r="BI93" i="3"/>
  <c r="BH93" i="3"/>
  <c r="BG93" i="3"/>
  <c r="BE93" i="3"/>
  <c r="BD93" i="3"/>
  <c r="BC93" i="3"/>
  <c r="BB93" i="3"/>
  <c r="BA93" i="3"/>
  <c r="AZ93" i="3"/>
  <c r="AY93" i="3"/>
  <c r="BF93" i="3" s="1"/>
  <c r="AW93" i="3"/>
  <c r="AV93" i="3"/>
  <c r="AU93" i="3"/>
  <c r="AT93" i="3"/>
  <c r="AS93" i="3"/>
  <c r="AR93" i="3"/>
  <c r="AQ93" i="3"/>
  <c r="AX93" i="3" s="1"/>
  <c r="AO93" i="3"/>
  <c r="AN93" i="3"/>
  <c r="AM93" i="3"/>
  <c r="AL93" i="3"/>
  <c r="AK93" i="3"/>
  <c r="AJ93" i="3"/>
  <c r="AI93" i="3"/>
  <c r="AP93" i="3" s="1"/>
  <c r="AE93" i="3"/>
  <c r="AD93" i="3"/>
  <c r="AC93" i="3"/>
  <c r="AB93" i="3"/>
  <c r="AA93" i="3"/>
  <c r="BQ92" i="3"/>
  <c r="BP92" i="3"/>
  <c r="BO92" i="3"/>
  <c r="BN92" i="3"/>
  <c r="BM92" i="3"/>
  <c r="BL92" i="3"/>
  <c r="BK92" i="3"/>
  <c r="BJ92" i="3"/>
  <c r="BI92" i="3"/>
  <c r="BH92" i="3"/>
  <c r="BG92" i="3"/>
  <c r="BE92" i="3"/>
  <c r="BD92" i="3"/>
  <c r="BC92" i="3"/>
  <c r="BB92" i="3"/>
  <c r="BA92" i="3"/>
  <c r="AZ92" i="3"/>
  <c r="AY92" i="3"/>
  <c r="BF92" i="3" s="1"/>
  <c r="AW92" i="3"/>
  <c r="AV92" i="3"/>
  <c r="AU92" i="3"/>
  <c r="AT92" i="3"/>
  <c r="AS92" i="3"/>
  <c r="AR92" i="3"/>
  <c r="AQ92" i="3"/>
  <c r="AX92" i="3" s="1"/>
  <c r="AO92" i="3"/>
  <c r="AN92" i="3"/>
  <c r="AM92" i="3"/>
  <c r="AL92" i="3"/>
  <c r="AK92" i="3"/>
  <c r="AJ92" i="3"/>
  <c r="AI92" i="3"/>
  <c r="AP92" i="3" s="1"/>
  <c r="AE92" i="3"/>
  <c r="AD92" i="3"/>
  <c r="AC92" i="3"/>
  <c r="AB92" i="3"/>
  <c r="AA92" i="3"/>
  <c r="BQ91" i="3"/>
  <c r="BP91" i="3"/>
  <c r="BO91" i="3"/>
  <c r="BN91" i="3"/>
  <c r="BM91" i="3"/>
  <c r="BL91" i="3"/>
  <c r="BK91" i="3"/>
  <c r="BJ91" i="3"/>
  <c r="BI91" i="3"/>
  <c r="BH91" i="3"/>
  <c r="BG91" i="3"/>
  <c r="BE91" i="3"/>
  <c r="BD91" i="3"/>
  <c r="BC91" i="3"/>
  <c r="BB91" i="3"/>
  <c r="BA91" i="3"/>
  <c r="AZ91" i="3"/>
  <c r="AY91" i="3"/>
  <c r="BF91" i="3" s="1"/>
  <c r="AW91" i="3"/>
  <c r="AV91" i="3"/>
  <c r="AU91" i="3"/>
  <c r="AT91" i="3"/>
  <c r="AS91" i="3"/>
  <c r="AR91" i="3"/>
  <c r="AQ91" i="3"/>
  <c r="AX91" i="3" s="1"/>
  <c r="AO91" i="3"/>
  <c r="AN91" i="3"/>
  <c r="AM91" i="3"/>
  <c r="AL91" i="3"/>
  <c r="AK91" i="3"/>
  <c r="AJ91" i="3"/>
  <c r="AI91" i="3"/>
  <c r="AP91" i="3" s="1"/>
  <c r="AE91" i="3"/>
  <c r="AD91" i="3"/>
  <c r="AC91" i="3"/>
  <c r="AB91" i="3"/>
  <c r="AA91" i="3"/>
  <c r="BQ90" i="3"/>
  <c r="BP90" i="3"/>
  <c r="BO90" i="3"/>
  <c r="BN90" i="3"/>
  <c r="BM90" i="3"/>
  <c r="BL90" i="3"/>
  <c r="BK90" i="3"/>
  <c r="BJ90" i="3"/>
  <c r="BI90" i="3"/>
  <c r="BH90" i="3"/>
  <c r="BG90" i="3"/>
  <c r="BE90" i="3"/>
  <c r="BD90" i="3"/>
  <c r="BC90" i="3"/>
  <c r="BB90" i="3"/>
  <c r="BA90" i="3"/>
  <c r="AZ90" i="3"/>
  <c r="AY90" i="3"/>
  <c r="BF90" i="3" s="1"/>
  <c r="AW90" i="3"/>
  <c r="AV90" i="3"/>
  <c r="AU90" i="3"/>
  <c r="AT90" i="3"/>
  <c r="AS90" i="3"/>
  <c r="AR90" i="3"/>
  <c r="AQ90" i="3"/>
  <c r="AX90" i="3" s="1"/>
  <c r="AO90" i="3"/>
  <c r="AN90" i="3"/>
  <c r="AM90" i="3"/>
  <c r="AL90" i="3"/>
  <c r="AK90" i="3"/>
  <c r="AJ90" i="3"/>
  <c r="AI90" i="3"/>
  <c r="AP90" i="3" s="1"/>
  <c r="AE90" i="3"/>
  <c r="AD90" i="3"/>
  <c r="AC90" i="3"/>
  <c r="AB90" i="3"/>
  <c r="AA90" i="3"/>
  <c r="BQ89" i="3"/>
  <c r="BP89" i="3"/>
  <c r="BO89" i="3"/>
  <c r="BN89" i="3"/>
  <c r="BM89" i="3"/>
  <c r="BL89" i="3"/>
  <c r="BK89" i="3"/>
  <c r="BJ89" i="3"/>
  <c r="BI89" i="3"/>
  <c r="BH89" i="3"/>
  <c r="BG89" i="3"/>
  <c r="BE89" i="3"/>
  <c r="BD89" i="3"/>
  <c r="BC89" i="3"/>
  <c r="BB89" i="3"/>
  <c r="BA89" i="3"/>
  <c r="AZ89" i="3"/>
  <c r="AY89" i="3"/>
  <c r="BF89" i="3" s="1"/>
  <c r="AW89" i="3"/>
  <c r="AV89" i="3"/>
  <c r="AU89" i="3"/>
  <c r="AT89" i="3"/>
  <c r="AS89" i="3"/>
  <c r="AR89" i="3"/>
  <c r="AQ89" i="3"/>
  <c r="AX89" i="3" s="1"/>
  <c r="AO89" i="3"/>
  <c r="AN89" i="3"/>
  <c r="AM89" i="3"/>
  <c r="AL89" i="3"/>
  <c r="AK89" i="3"/>
  <c r="AJ89" i="3"/>
  <c r="AI89" i="3"/>
  <c r="AP89" i="3" s="1"/>
  <c r="AE89" i="3"/>
  <c r="AD89" i="3"/>
  <c r="AC89" i="3"/>
  <c r="AB89" i="3"/>
  <c r="AA89" i="3"/>
  <c r="BQ88" i="3"/>
  <c r="BP88" i="3"/>
  <c r="BO88" i="3"/>
  <c r="BN88" i="3"/>
  <c r="BM88" i="3"/>
  <c r="BL88" i="3"/>
  <c r="BK88" i="3"/>
  <c r="BJ88" i="3"/>
  <c r="BI88" i="3"/>
  <c r="BH88" i="3"/>
  <c r="BG88" i="3"/>
  <c r="BE88" i="3"/>
  <c r="BD88" i="3"/>
  <c r="BC88" i="3"/>
  <c r="BB88" i="3"/>
  <c r="BA88" i="3"/>
  <c r="AZ88" i="3"/>
  <c r="AY88" i="3"/>
  <c r="BF88" i="3" s="1"/>
  <c r="AW88" i="3"/>
  <c r="AV88" i="3"/>
  <c r="AU88" i="3"/>
  <c r="AT88" i="3"/>
  <c r="AS88" i="3"/>
  <c r="AR88" i="3"/>
  <c r="AQ88" i="3"/>
  <c r="AX88" i="3" s="1"/>
  <c r="AO88" i="3"/>
  <c r="AN88" i="3"/>
  <c r="AM88" i="3"/>
  <c r="AL88" i="3"/>
  <c r="AK88" i="3"/>
  <c r="AJ88" i="3"/>
  <c r="AI88" i="3"/>
  <c r="AP88" i="3" s="1"/>
  <c r="AE88" i="3"/>
  <c r="AD88" i="3"/>
  <c r="AC88" i="3"/>
  <c r="AB88" i="3"/>
  <c r="AA88" i="3"/>
  <c r="BQ87" i="3"/>
  <c r="BP87" i="3"/>
  <c r="BO87" i="3"/>
  <c r="BN87" i="3"/>
  <c r="BM87" i="3"/>
  <c r="BL87" i="3"/>
  <c r="BK87" i="3"/>
  <c r="BJ87" i="3"/>
  <c r="BI87" i="3"/>
  <c r="BH87" i="3"/>
  <c r="BG87" i="3"/>
  <c r="BE87" i="3"/>
  <c r="BD87" i="3"/>
  <c r="BC87" i="3"/>
  <c r="BB87" i="3"/>
  <c r="BA87" i="3"/>
  <c r="AZ87" i="3"/>
  <c r="AY87" i="3"/>
  <c r="BF87" i="3" s="1"/>
  <c r="AW87" i="3"/>
  <c r="AV87" i="3"/>
  <c r="AU87" i="3"/>
  <c r="AT87" i="3"/>
  <c r="AS87" i="3"/>
  <c r="AR87" i="3"/>
  <c r="AQ87" i="3"/>
  <c r="AX87" i="3" s="1"/>
  <c r="AO87" i="3"/>
  <c r="AN87" i="3"/>
  <c r="AM87" i="3"/>
  <c r="AL87" i="3"/>
  <c r="AK87" i="3"/>
  <c r="AJ87" i="3"/>
  <c r="AI87" i="3"/>
  <c r="AP87" i="3" s="1"/>
  <c r="AE87" i="3"/>
  <c r="AD87" i="3"/>
  <c r="AC87" i="3"/>
  <c r="AB87" i="3"/>
  <c r="AA87" i="3"/>
  <c r="BQ86" i="3"/>
  <c r="BP86" i="3"/>
  <c r="BO86" i="3"/>
  <c r="BN86" i="3"/>
  <c r="BM86" i="3"/>
  <c r="BL86" i="3"/>
  <c r="BK86" i="3"/>
  <c r="BJ86" i="3"/>
  <c r="BI86" i="3"/>
  <c r="BH86" i="3"/>
  <c r="BG86" i="3"/>
  <c r="BE86" i="3"/>
  <c r="BD86" i="3"/>
  <c r="BC86" i="3"/>
  <c r="BB86" i="3"/>
  <c r="BA86" i="3"/>
  <c r="AZ86" i="3"/>
  <c r="AY86" i="3"/>
  <c r="BF86" i="3" s="1"/>
  <c r="AW86" i="3"/>
  <c r="AV86" i="3"/>
  <c r="AU86" i="3"/>
  <c r="AT86" i="3"/>
  <c r="AS86" i="3"/>
  <c r="AR86" i="3"/>
  <c r="AQ86" i="3"/>
  <c r="AX86" i="3" s="1"/>
  <c r="AO86" i="3"/>
  <c r="AN86" i="3"/>
  <c r="AM86" i="3"/>
  <c r="AL86" i="3"/>
  <c r="AK86" i="3"/>
  <c r="AJ86" i="3"/>
  <c r="AI86" i="3"/>
  <c r="AP86" i="3" s="1"/>
  <c r="AE86" i="3"/>
  <c r="AD86" i="3"/>
  <c r="AC86" i="3"/>
  <c r="AB86" i="3"/>
  <c r="AA86" i="3"/>
  <c r="BQ85" i="3"/>
  <c r="BP85" i="3"/>
  <c r="BO85" i="3"/>
  <c r="BN85" i="3"/>
  <c r="BM85" i="3"/>
  <c r="BL85" i="3"/>
  <c r="BK85" i="3"/>
  <c r="BJ85" i="3"/>
  <c r="BI85" i="3"/>
  <c r="BH85" i="3"/>
  <c r="BG85" i="3"/>
  <c r="BE85" i="3"/>
  <c r="BD85" i="3"/>
  <c r="BC85" i="3"/>
  <c r="BB85" i="3"/>
  <c r="BA85" i="3"/>
  <c r="AZ85" i="3"/>
  <c r="AY85" i="3"/>
  <c r="BF85" i="3" s="1"/>
  <c r="AW85" i="3"/>
  <c r="AV85" i="3"/>
  <c r="AU85" i="3"/>
  <c r="AT85" i="3"/>
  <c r="AS85" i="3"/>
  <c r="AR85" i="3"/>
  <c r="AQ85" i="3"/>
  <c r="AX85" i="3" s="1"/>
  <c r="AO85" i="3"/>
  <c r="AN85" i="3"/>
  <c r="AM85" i="3"/>
  <c r="AL85" i="3"/>
  <c r="AK85" i="3"/>
  <c r="AJ85" i="3"/>
  <c r="AI85" i="3"/>
  <c r="AP85" i="3" s="1"/>
  <c r="AE85" i="3"/>
  <c r="AD85" i="3"/>
  <c r="AC85" i="3"/>
  <c r="AB85" i="3"/>
  <c r="AA85" i="3"/>
  <c r="BQ84" i="3"/>
  <c r="BP84" i="3"/>
  <c r="BO84" i="3"/>
  <c r="BN84" i="3"/>
  <c r="BM84" i="3"/>
  <c r="BL84" i="3"/>
  <c r="BK84" i="3"/>
  <c r="BJ84" i="3"/>
  <c r="BI84" i="3"/>
  <c r="BH84" i="3"/>
  <c r="BG84" i="3"/>
  <c r="BE84" i="3"/>
  <c r="BD84" i="3"/>
  <c r="BC84" i="3"/>
  <c r="BB84" i="3"/>
  <c r="BA84" i="3"/>
  <c r="AZ84" i="3"/>
  <c r="AY84" i="3"/>
  <c r="BF84" i="3" s="1"/>
  <c r="AW84" i="3"/>
  <c r="AV84" i="3"/>
  <c r="AU84" i="3"/>
  <c r="AT84" i="3"/>
  <c r="AS84" i="3"/>
  <c r="AR84" i="3"/>
  <c r="AQ84" i="3"/>
  <c r="AX84" i="3" s="1"/>
  <c r="AO84" i="3"/>
  <c r="AN84" i="3"/>
  <c r="AM84" i="3"/>
  <c r="AL84" i="3"/>
  <c r="AK84" i="3"/>
  <c r="AJ84" i="3"/>
  <c r="AI84" i="3"/>
  <c r="AP84" i="3" s="1"/>
  <c r="AE84" i="3"/>
  <c r="AD84" i="3"/>
  <c r="AC84" i="3"/>
  <c r="AB84" i="3"/>
  <c r="AA84" i="3"/>
  <c r="BQ83" i="3"/>
  <c r="BP83" i="3"/>
  <c r="BO83" i="3"/>
  <c r="BN83" i="3"/>
  <c r="BM83" i="3"/>
  <c r="BL83" i="3"/>
  <c r="BK83" i="3"/>
  <c r="BJ83" i="3"/>
  <c r="BI83" i="3"/>
  <c r="BH83" i="3"/>
  <c r="BG83" i="3"/>
  <c r="BE83" i="3"/>
  <c r="BD83" i="3"/>
  <c r="BC83" i="3"/>
  <c r="BB83" i="3"/>
  <c r="BA83" i="3"/>
  <c r="AZ83" i="3"/>
  <c r="AY83" i="3"/>
  <c r="BF83" i="3" s="1"/>
  <c r="AW83" i="3"/>
  <c r="AV83" i="3"/>
  <c r="AU83" i="3"/>
  <c r="AT83" i="3"/>
  <c r="AS83" i="3"/>
  <c r="AR83" i="3"/>
  <c r="AQ83" i="3"/>
  <c r="AX83" i="3" s="1"/>
  <c r="AO83" i="3"/>
  <c r="AN83" i="3"/>
  <c r="AM83" i="3"/>
  <c r="AL83" i="3"/>
  <c r="AK83" i="3"/>
  <c r="AJ83" i="3"/>
  <c r="AI83" i="3"/>
  <c r="AP83" i="3" s="1"/>
  <c r="AE83" i="3"/>
  <c r="AD83" i="3"/>
  <c r="AC83" i="3"/>
  <c r="AB83" i="3"/>
  <c r="AA83" i="3"/>
  <c r="BQ82" i="3"/>
  <c r="BP82" i="3"/>
  <c r="BO82" i="3"/>
  <c r="BN82" i="3"/>
  <c r="BM82" i="3"/>
  <c r="BL82" i="3"/>
  <c r="BK82" i="3"/>
  <c r="BJ82" i="3"/>
  <c r="BI82" i="3"/>
  <c r="BH82" i="3"/>
  <c r="BG82" i="3"/>
  <c r="BE82" i="3"/>
  <c r="BD82" i="3"/>
  <c r="BC82" i="3"/>
  <c r="BB82" i="3"/>
  <c r="BA82" i="3"/>
  <c r="AZ82" i="3"/>
  <c r="AY82" i="3"/>
  <c r="BF82" i="3" s="1"/>
  <c r="AW82" i="3"/>
  <c r="AV82" i="3"/>
  <c r="AU82" i="3"/>
  <c r="AT82" i="3"/>
  <c r="AS82" i="3"/>
  <c r="AR82" i="3"/>
  <c r="AQ82" i="3"/>
  <c r="AX82" i="3" s="1"/>
  <c r="AO82" i="3"/>
  <c r="AN82" i="3"/>
  <c r="AM82" i="3"/>
  <c r="AL82" i="3"/>
  <c r="AK82" i="3"/>
  <c r="AJ82" i="3"/>
  <c r="AI82" i="3"/>
  <c r="AP82" i="3" s="1"/>
  <c r="AE82" i="3"/>
  <c r="AD82" i="3"/>
  <c r="AC82" i="3"/>
  <c r="AB82" i="3"/>
  <c r="AA82" i="3"/>
  <c r="BQ81" i="3"/>
  <c r="BP81" i="3"/>
  <c r="BO81" i="3"/>
  <c r="BN81" i="3"/>
  <c r="BM81" i="3"/>
  <c r="BL81" i="3"/>
  <c r="BK81" i="3"/>
  <c r="BJ81" i="3"/>
  <c r="BI81" i="3"/>
  <c r="BH81" i="3"/>
  <c r="BG81" i="3"/>
  <c r="BE81" i="3"/>
  <c r="BD81" i="3"/>
  <c r="BC81" i="3"/>
  <c r="BB81" i="3"/>
  <c r="BA81" i="3"/>
  <c r="AZ81" i="3"/>
  <c r="AY81" i="3"/>
  <c r="BF81" i="3" s="1"/>
  <c r="AW81" i="3"/>
  <c r="AV81" i="3"/>
  <c r="AU81" i="3"/>
  <c r="AT81" i="3"/>
  <c r="AS81" i="3"/>
  <c r="AR81" i="3"/>
  <c r="AQ81" i="3"/>
  <c r="AX81" i="3" s="1"/>
  <c r="AO81" i="3"/>
  <c r="AN81" i="3"/>
  <c r="AM81" i="3"/>
  <c r="AL81" i="3"/>
  <c r="AK81" i="3"/>
  <c r="AJ81" i="3"/>
  <c r="AI81" i="3"/>
  <c r="AP81" i="3" s="1"/>
  <c r="AE81" i="3"/>
  <c r="AD81" i="3"/>
  <c r="AC81" i="3"/>
  <c r="AB81" i="3"/>
  <c r="AA81" i="3"/>
  <c r="BQ80" i="3"/>
  <c r="BP80" i="3"/>
  <c r="BO80" i="3"/>
  <c r="BN80" i="3"/>
  <c r="BM80" i="3"/>
  <c r="BL80" i="3"/>
  <c r="BK80" i="3"/>
  <c r="BJ80" i="3"/>
  <c r="BI80" i="3"/>
  <c r="BH80" i="3"/>
  <c r="BG80" i="3"/>
  <c r="BE80" i="3"/>
  <c r="BD80" i="3"/>
  <c r="BC80" i="3"/>
  <c r="BB80" i="3"/>
  <c r="BA80" i="3"/>
  <c r="AZ80" i="3"/>
  <c r="AY80" i="3"/>
  <c r="BF80" i="3" s="1"/>
  <c r="AW80" i="3"/>
  <c r="AV80" i="3"/>
  <c r="AU80" i="3"/>
  <c r="AT80" i="3"/>
  <c r="AS80" i="3"/>
  <c r="AR80" i="3"/>
  <c r="AQ80" i="3"/>
  <c r="AX80" i="3" s="1"/>
  <c r="AO80" i="3"/>
  <c r="AN80" i="3"/>
  <c r="AM80" i="3"/>
  <c r="AL80" i="3"/>
  <c r="AK80" i="3"/>
  <c r="AJ80" i="3"/>
  <c r="AI80" i="3"/>
  <c r="AP80" i="3" s="1"/>
  <c r="AE80" i="3"/>
  <c r="AD80" i="3"/>
  <c r="AC80" i="3"/>
  <c r="AB80" i="3"/>
  <c r="AA80" i="3"/>
  <c r="BQ79" i="3"/>
  <c r="BP79" i="3"/>
  <c r="BO79" i="3"/>
  <c r="BN79" i="3"/>
  <c r="BM79" i="3"/>
  <c r="BL79" i="3"/>
  <c r="BK79" i="3"/>
  <c r="BJ79" i="3"/>
  <c r="BI79" i="3"/>
  <c r="BH79" i="3"/>
  <c r="BG79" i="3"/>
  <c r="BE79" i="3"/>
  <c r="BD79" i="3"/>
  <c r="BC79" i="3"/>
  <c r="BB79" i="3"/>
  <c r="BA79" i="3"/>
  <c r="AZ79" i="3"/>
  <c r="AY79" i="3"/>
  <c r="BF79" i="3" s="1"/>
  <c r="AW79" i="3"/>
  <c r="AV79" i="3"/>
  <c r="AU79" i="3"/>
  <c r="AT79" i="3"/>
  <c r="AS79" i="3"/>
  <c r="AR79" i="3"/>
  <c r="AQ79" i="3"/>
  <c r="AX79" i="3" s="1"/>
  <c r="AO79" i="3"/>
  <c r="AN79" i="3"/>
  <c r="AM79" i="3"/>
  <c r="AL79" i="3"/>
  <c r="AK79" i="3"/>
  <c r="AJ79" i="3"/>
  <c r="AI79" i="3"/>
  <c r="AP79" i="3" s="1"/>
  <c r="AE79" i="3"/>
  <c r="AD79" i="3"/>
  <c r="AC79" i="3"/>
  <c r="AB79" i="3"/>
  <c r="AA79" i="3"/>
  <c r="BQ78" i="3"/>
  <c r="BP78" i="3"/>
  <c r="BO78" i="3"/>
  <c r="BN78" i="3"/>
  <c r="BM78" i="3"/>
  <c r="BL78" i="3"/>
  <c r="BK78" i="3"/>
  <c r="BJ78" i="3"/>
  <c r="BI78" i="3"/>
  <c r="BH78" i="3"/>
  <c r="BG78" i="3"/>
  <c r="BE78" i="3"/>
  <c r="BD78" i="3"/>
  <c r="BC78" i="3"/>
  <c r="BB78" i="3"/>
  <c r="BA78" i="3"/>
  <c r="AZ78" i="3"/>
  <c r="AY78" i="3"/>
  <c r="BF78" i="3" s="1"/>
  <c r="AW78" i="3"/>
  <c r="AV78" i="3"/>
  <c r="AU78" i="3"/>
  <c r="AT78" i="3"/>
  <c r="AS78" i="3"/>
  <c r="AR78" i="3"/>
  <c r="AQ78" i="3"/>
  <c r="AX78" i="3" s="1"/>
  <c r="AO78" i="3"/>
  <c r="AN78" i="3"/>
  <c r="AM78" i="3"/>
  <c r="AL78" i="3"/>
  <c r="AK78" i="3"/>
  <c r="AJ78" i="3"/>
  <c r="AI78" i="3"/>
  <c r="AP78" i="3" s="1"/>
  <c r="AE78" i="3"/>
  <c r="AD78" i="3"/>
  <c r="AC78" i="3"/>
  <c r="AA78" i="3" s="1"/>
  <c r="AB78" i="3"/>
  <c r="BQ77" i="3"/>
  <c r="BP77" i="3"/>
  <c r="BO77" i="3"/>
  <c r="BN77" i="3"/>
  <c r="BM77" i="3"/>
  <c r="BL77" i="3"/>
  <c r="BK77" i="3"/>
  <c r="BJ77" i="3"/>
  <c r="BI77" i="3"/>
  <c r="BH77" i="3"/>
  <c r="BG77" i="3"/>
  <c r="BE77" i="3"/>
  <c r="BD77" i="3"/>
  <c r="BC77" i="3"/>
  <c r="BB77" i="3"/>
  <c r="BA77" i="3"/>
  <c r="AZ77" i="3"/>
  <c r="AY77" i="3"/>
  <c r="BF77" i="3" s="1"/>
  <c r="AW77" i="3"/>
  <c r="AV77" i="3"/>
  <c r="AU77" i="3"/>
  <c r="AT77" i="3"/>
  <c r="AS77" i="3"/>
  <c r="AR77" i="3"/>
  <c r="AQ77" i="3"/>
  <c r="AX77" i="3" s="1"/>
  <c r="AO77" i="3"/>
  <c r="AN77" i="3"/>
  <c r="AM77" i="3"/>
  <c r="AL77" i="3"/>
  <c r="AK77" i="3"/>
  <c r="AJ77" i="3"/>
  <c r="AI77" i="3"/>
  <c r="AP77" i="3" s="1"/>
  <c r="AE77" i="3"/>
  <c r="AD77" i="3"/>
  <c r="AC77" i="3"/>
  <c r="AB77" i="3"/>
  <c r="AA77" i="3"/>
  <c r="BQ76" i="3"/>
  <c r="BP76" i="3"/>
  <c r="BO76" i="3"/>
  <c r="BN76" i="3"/>
  <c r="BM76" i="3"/>
  <c r="BL76" i="3"/>
  <c r="BK76" i="3"/>
  <c r="BJ76" i="3"/>
  <c r="BI76" i="3"/>
  <c r="BH76" i="3"/>
  <c r="BG76" i="3"/>
  <c r="BE76" i="3"/>
  <c r="BD76" i="3"/>
  <c r="BC76" i="3"/>
  <c r="BB76" i="3"/>
  <c r="BA76" i="3"/>
  <c r="AZ76" i="3"/>
  <c r="AY76" i="3"/>
  <c r="BF76" i="3" s="1"/>
  <c r="AW76" i="3"/>
  <c r="AV76" i="3"/>
  <c r="AU76" i="3"/>
  <c r="AT76" i="3"/>
  <c r="AS76" i="3"/>
  <c r="AR76" i="3"/>
  <c r="AQ76" i="3"/>
  <c r="AX76" i="3" s="1"/>
  <c r="AO76" i="3"/>
  <c r="AN76" i="3"/>
  <c r="AM76" i="3"/>
  <c r="AL76" i="3"/>
  <c r="AK76" i="3"/>
  <c r="AJ76" i="3"/>
  <c r="AI76" i="3"/>
  <c r="AP76" i="3" s="1"/>
  <c r="AE76" i="3"/>
  <c r="AD76" i="3"/>
  <c r="AC76" i="3"/>
  <c r="AB76" i="3"/>
  <c r="AA76" i="3"/>
  <c r="BQ75" i="3"/>
  <c r="BP75" i="3"/>
  <c r="BO75" i="3"/>
  <c r="BN75" i="3"/>
  <c r="BM75" i="3"/>
  <c r="BL75" i="3"/>
  <c r="BK75" i="3"/>
  <c r="BJ75" i="3"/>
  <c r="BI75" i="3"/>
  <c r="BH75" i="3"/>
  <c r="BG75" i="3"/>
  <c r="BE75" i="3"/>
  <c r="BD75" i="3"/>
  <c r="BC75" i="3"/>
  <c r="BB75" i="3"/>
  <c r="BA75" i="3"/>
  <c r="AZ75" i="3"/>
  <c r="AY75" i="3"/>
  <c r="BF75" i="3" s="1"/>
  <c r="AW75" i="3"/>
  <c r="AV75" i="3"/>
  <c r="AU75" i="3"/>
  <c r="AT75" i="3"/>
  <c r="AS75" i="3"/>
  <c r="AR75" i="3"/>
  <c r="AQ75" i="3"/>
  <c r="AX75" i="3" s="1"/>
  <c r="AO75" i="3"/>
  <c r="AN75" i="3"/>
  <c r="AM75" i="3"/>
  <c r="AL75" i="3"/>
  <c r="AK75" i="3"/>
  <c r="AJ75" i="3"/>
  <c r="AI75" i="3"/>
  <c r="AP75" i="3" s="1"/>
  <c r="AE75" i="3"/>
  <c r="AD75" i="3"/>
  <c r="AC75" i="3"/>
  <c r="AB75" i="3"/>
  <c r="AA75" i="3"/>
  <c r="BQ74" i="3"/>
  <c r="BP74" i="3"/>
  <c r="BO74" i="3"/>
  <c r="BN74" i="3"/>
  <c r="BM74" i="3"/>
  <c r="BL74" i="3"/>
  <c r="BK74" i="3"/>
  <c r="BJ74" i="3"/>
  <c r="BI74" i="3"/>
  <c r="BH74" i="3"/>
  <c r="BG74" i="3"/>
  <c r="BE74" i="3"/>
  <c r="BD74" i="3"/>
  <c r="BC74" i="3"/>
  <c r="BB74" i="3"/>
  <c r="BA74" i="3"/>
  <c r="AZ74" i="3"/>
  <c r="AY74" i="3"/>
  <c r="BF74" i="3" s="1"/>
  <c r="AW74" i="3"/>
  <c r="AV74" i="3"/>
  <c r="AU74" i="3"/>
  <c r="AT74" i="3"/>
  <c r="AS74" i="3"/>
  <c r="AR74" i="3"/>
  <c r="AQ74" i="3"/>
  <c r="AX74" i="3" s="1"/>
  <c r="AO74" i="3"/>
  <c r="AN74" i="3"/>
  <c r="AM74" i="3"/>
  <c r="AL74" i="3"/>
  <c r="AK74" i="3"/>
  <c r="AJ74" i="3"/>
  <c r="AI74" i="3"/>
  <c r="AP74" i="3" s="1"/>
  <c r="AE74" i="3"/>
  <c r="AD74" i="3"/>
  <c r="AC74" i="3"/>
  <c r="AB74" i="3"/>
  <c r="AA74" i="3"/>
  <c r="BQ73" i="3"/>
  <c r="BP73" i="3"/>
  <c r="BO73" i="3"/>
  <c r="BN73" i="3"/>
  <c r="BM73" i="3"/>
  <c r="BL73" i="3"/>
  <c r="BK73" i="3"/>
  <c r="BJ73" i="3"/>
  <c r="BI73" i="3"/>
  <c r="BH73" i="3"/>
  <c r="BG73" i="3"/>
  <c r="BE73" i="3"/>
  <c r="BD73" i="3"/>
  <c r="BC73" i="3"/>
  <c r="BB73" i="3"/>
  <c r="BA73" i="3"/>
  <c r="AZ73" i="3"/>
  <c r="AY73" i="3"/>
  <c r="BF73" i="3" s="1"/>
  <c r="AW73" i="3"/>
  <c r="AV73" i="3"/>
  <c r="AU73" i="3"/>
  <c r="AT73" i="3"/>
  <c r="AS73" i="3"/>
  <c r="AR73" i="3"/>
  <c r="AQ73" i="3"/>
  <c r="AX73" i="3" s="1"/>
  <c r="AO73" i="3"/>
  <c r="AN73" i="3"/>
  <c r="AM73" i="3"/>
  <c r="AL73" i="3"/>
  <c r="AK73" i="3"/>
  <c r="AJ73" i="3"/>
  <c r="AI73" i="3"/>
  <c r="AP73" i="3" s="1"/>
  <c r="AE73" i="3"/>
  <c r="AD73" i="3"/>
  <c r="AC73" i="3"/>
  <c r="AB73" i="3"/>
  <c r="AA73" i="3"/>
  <c r="BQ72" i="3"/>
  <c r="BP72" i="3"/>
  <c r="BO72" i="3"/>
  <c r="BN72" i="3"/>
  <c r="BM72" i="3"/>
  <c r="BL72" i="3"/>
  <c r="BK72" i="3"/>
  <c r="BJ72" i="3"/>
  <c r="BI72" i="3"/>
  <c r="BH72" i="3"/>
  <c r="BG72" i="3"/>
  <c r="BE72" i="3"/>
  <c r="BD72" i="3"/>
  <c r="BC72" i="3"/>
  <c r="BB72" i="3"/>
  <c r="BA72" i="3"/>
  <c r="AZ72" i="3"/>
  <c r="AY72" i="3"/>
  <c r="BF72" i="3" s="1"/>
  <c r="AW72" i="3"/>
  <c r="AV72" i="3"/>
  <c r="AU72" i="3"/>
  <c r="AT72" i="3"/>
  <c r="AS72" i="3"/>
  <c r="AR72" i="3"/>
  <c r="AQ72" i="3"/>
  <c r="AX72" i="3" s="1"/>
  <c r="AO72" i="3"/>
  <c r="AN72" i="3"/>
  <c r="AM72" i="3"/>
  <c r="AL72" i="3"/>
  <c r="AK72" i="3"/>
  <c r="AJ72" i="3"/>
  <c r="AI72" i="3"/>
  <c r="AP72" i="3" s="1"/>
  <c r="AE72" i="3"/>
  <c r="AD72" i="3"/>
  <c r="AC72" i="3"/>
  <c r="AB72" i="3"/>
  <c r="AA72" i="3"/>
  <c r="BQ71" i="3"/>
  <c r="BP71" i="3"/>
  <c r="BO71" i="3"/>
  <c r="BN71" i="3"/>
  <c r="BM71" i="3"/>
  <c r="BL71" i="3"/>
  <c r="BK71" i="3"/>
  <c r="BJ71" i="3"/>
  <c r="BI71" i="3"/>
  <c r="BH71" i="3"/>
  <c r="BG71" i="3"/>
  <c r="BE71" i="3"/>
  <c r="BD71" i="3"/>
  <c r="BC71" i="3"/>
  <c r="BB71" i="3"/>
  <c r="BA71" i="3"/>
  <c r="AZ71" i="3"/>
  <c r="AY71" i="3"/>
  <c r="BF71" i="3" s="1"/>
  <c r="AW71" i="3"/>
  <c r="AV71" i="3"/>
  <c r="AU71" i="3"/>
  <c r="AT71" i="3"/>
  <c r="AS71" i="3"/>
  <c r="AR71" i="3"/>
  <c r="AQ71" i="3"/>
  <c r="AX71" i="3" s="1"/>
  <c r="AO71" i="3"/>
  <c r="AN71" i="3"/>
  <c r="AM71" i="3"/>
  <c r="AL71" i="3"/>
  <c r="AK71" i="3"/>
  <c r="AJ71" i="3"/>
  <c r="AI71" i="3"/>
  <c r="AP71" i="3" s="1"/>
  <c r="AE71" i="3"/>
  <c r="AD71" i="3"/>
  <c r="AC71" i="3"/>
  <c r="AB71" i="3"/>
  <c r="AA71" i="3"/>
  <c r="BQ70" i="3"/>
  <c r="BP70" i="3"/>
  <c r="BO70" i="3"/>
  <c r="BN70" i="3"/>
  <c r="BM70" i="3"/>
  <c r="BL70" i="3"/>
  <c r="BK70" i="3"/>
  <c r="BJ70" i="3"/>
  <c r="BI70" i="3"/>
  <c r="BH70" i="3"/>
  <c r="BG70" i="3"/>
  <c r="BE70" i="3"/>
  <c r="BD70" i="3"/>
  <c r="BC70" i="3"/>
  <c r="BB70" i="3"/>
  <c r="BA70" i="3"/>
  <c r="AZ70" i="3"/>
  <c r="AY70" i="3"/>
  <c r="BF70" i="3" s="1"/>
  <c r="AW70" i="3"/>
  <c r="AV70" i="3"/>
  <c r="AU70" i="3"/>
  <c r="AT70" i="3"/>
  <c r="AS70" i="3"/>
  <c r="AR70" i="3"/>
  <c r="AQ70" i="3"/>
  <c r="AX70" i="3" s="1"/>
  <c r="AO70" i="3"/>
  <c r="AN70" i="3"/>
  <c r="AM70" i="3"/>
  <c r="AL70" i="3"/>
  <c r="AK70" i="3"/>
  <c r="AJ70" i="3"/>
  <c r="AI70" i="3"/>
  <c r="AP70" i="3" s="1"/>
  <c r="AE70" i="3"/>
  <c r="AD70" i="3"/>
  <c r="AC70" i="3"/>
  <c r="AB70" i="3"/>
  <c r="AA70" i="3"/>
  <c r="BQ69" i="3"/>
  <c r="BP69" i="3"/>
  <c r="BO69" i="3"/>
  <c r="BN69" i="3"/>
  <c r="BM69" i="3"/>
  <c r="BL69" i="3"/>
  <c r="BK69" i="3"/>
  <c r="BJ69" i="3"/>
  <c r="BI69" i="3"/>
  <c r="BH69" i="3"/>
  <c r="BG69" i="3"/>
  <c r="BE69" i="3"/>
  <c r="BD69" i="3"/>
  <c r="BC69" i="3"/>
  <c r="BB69" i="3"/>
  <c r="BA69" i="3"/>
  <c r="AZ69" i="3"/>
  <c r="AY69" i="3"/>
  <c r="BF69" i="3" s="1"/>
  <c r="AW69" i="3"/>
  <c r="AV69" i="3"/>
  <c r="AU69" i="3"/>
  <c r="AT69" i="3"/>
  <c r="AS69" i="3"/>
  <c r="AR69" i="3"/>
  <c r="AQ69" i="3"/>
  <c r="AX69" i="3" s="1"/>
  <c r="AO69" i="3"/>
  <c r="AN69" i="3"/>
  <c r="AM69" i="3"/>
  <c r="AL69" i="3"/>
  <c r="AK69" i="3"/>
  <c r="AJ69" i="3"/>
  <c r="AI69" i="3"/>
  <c r="AP69" i="3" s="1"/>
  <c r="AE69" i="3"/>
  <c r="AD69" i="3"/>
  <c r="AC69" i="3"/>
  <c r="AB69" i="3"/>
  <c r="AA69" i="3"/>
  <c r="BQ68" i="3"/>
  <c r="BP68" i="3"/>
  <c r="BO68" i="3"/>
  <c r="BN68" i="3"/>
  <c r="BM68" i="3"/>
  <c r="BL68" i="3"/>
  <c r="BK68" i="3"/>
  <c r="BJ68" i="3"/>
  <c r="BI68" i="3"/>
  <c r="BH68" i="3"/>
  <c r="BG68" i="3"/>
  <c r="BE68" i="3"/>
  <c r="BD68" i="3"/>
  <c r="BC68" i="3"/>
  <c r="BB68" i="3"/>
  <c r="BA68" i="3"/>
  <c r="AZ68" i="3"/>
  <c r="AY68" i="3"/>
  <c r="BF68" i="3" s="1"/>
  <c r="AW68" i="3"/>
  <c r="AV68" i="3"/>
  <c r="AU68" i="3"/>
  <c r="AT68" i="3"/>
  <c r="AS68" i="3"/>
  <c r="AR68" i="3"/>
  <c r="AQ68" i="3"/>
  <c r="AX68" i="3" s="1"/>
  <c r="AO68" i="3"/>
  <c r="AN68" i="3"/>
  <c r="AM68" i="3"/>
  <c r="AL68" i="3"/>
  <c r="AK68" i="3"/>
  <c r="AJ68" i="3"/>
  <c r="AI68" i="3"/>
  <c r="AP68" i="3" s="1"/>
  <c r="AE68" i="3"/>
  <c r="AD68" i="3"/>
  <c r="AC68" i="3"/>
  <c r="AB68" i="3"/>
  <c r="AA68" i="3"/>
  <c r="BQ67" i="3"/>
  <c r="BP67" i="3"/>
  <c r="BO67" i="3"/>
  <c r="BN67" i="3"/>
  <c r="BM67" i="3"/>
  <c r="BL67" i="3"/>
  <c r="BK67" i="3"/>
  <c r="BJ67" i="3"/>
  <c r="BI67" i="3"/>
  <c r="BH67" i="3"/>
  <c r="BG67" i="3"/>
  <c r="BE67" i="3"/>
  <c r="BD67" i="3"/>
  <c r="BC67" i="3"/>
  <c r="BB67" i="3"/>
  <c r="BA67" i="3"/>
  <c r="AZ67" i="3"/>
  <c r="AY67" i="3"/>
  <c r="BF67" i="3" s="1"/>
  <c r="AW67" i="3"/>
  <c r="AV67" i="3"/>
  <c r="AU67" i="3"/>
  <c r="AT67" i="3"/>
  <c r="AS67" i="3"/>
  <c r="AR67" i="3"/>
  <c r="AQ67" i="3"/>
  <c r="AX67" i="3" s="1"/>
  <c r="AO67" i="3"/>
  <c r="AN67" i="3"/>
  <c r="AM67" i="3"/>
  <c r="AL67" i="3"/>
  <c r="AK67" i="3"/>
  <c r="AJ67" i="3"/>
  <c r="AI67" i="3"/>
  <c r="AP67" i="3" s="1"/>
  <c r="AE67" i="3"/>
  <c r="AD67" i="3"/>
  <c r="AC67" i="3"/>
  <c r="AB67" i="3"/>
  <c r="AA67" i="3"/>
  <c r="BQ66" i="3"/>
  <c r="BP66" i="3"/>
  <c r="BO66" i="3"/>
  <c r="BN66" i="3"/>
  <c r="BM66" i="3"/>
  <c r="BL66" i="3"/>
  <c r="BK66" i="3"/>
  <c r="BJ66" i="3"/>
  <c r="BI66" i="3"/>
  <c r="BH66" i="3"/>
  <c r="BG66" i="3"/>
  <c r="BE66" i="3"/>
  <c r="BD66" i="3"/>
  <c r="BC66" i="3"/>
  <c r="BB66" i="3"/>
  <c r="BA66" i="3"/>
  <c r="AZ66" i="3"/>
  <c r="AY66" i="3"/>
  <c r="BF66" i="3" s="1"/>
  <c r="AW66" i="3"/>
  <c r="AV66" i="3"/>
  <c r="AU66" i="3"/>
  <c r="AT66" i="3"/>
  <c r="AS66" i="3"/>
  <c r="AR66" i="3"/>
  <c r="AQ66" i="3"/>
  <c r="AX66" i="3" s="1"/>
  <c r="AO66" i="3"/>
  <c r="AN66" i="3"/>
  <c r="AM66" i="3"/>
  <c r="AL66" i="3"/>
  <c r="AK66" i="3"/>
  <c r="AJ66" i="3"/>
  <c r="AI66" i="3"/>
  <c r="AP66" i="3" s="1"/>
  <c r="AE66" i="3"/>
  <c r="AD66" i="3"/>
  <c r="AC66" i="3"/>
  <c r="AB66" i="3"/>
  <c r="AA66" i="3"/>
  <c r="BQ65" i="3"/>
  <c r="BP65" i="3"/>
  <c r="BO65" i="3"/>
  <c r="BN65" i="3"/>
  <c r="BM65" i="3"/>
  <c r="BL65" i="3"/>
  <c r="BK65" i="3"/>
  <c r="BJ65" i="3"/>
  <c r="BI65" i="3"/>
  <c r="BH65" i="3"/>
  <c r="BG65" i="3"/>
  <c r="BE65" i="3"/>
  <c r="BD65" i="3"/>
  <c r="BC65" i="3"/>
  <c r="BB65" i="3"/>
  <c r="BA65" i="3"/>
  <c r="AZ65" i="3"/>
  <c r="AY65" i="3"/>
  <c r="BF65" i="3" s="1"/>
  <c r="AW65" i="3"/>
  <c r="AV65" i="3"/>
  <c r="AU65" i="3"/>
  <c r="AT65" i="3"/>
  <c r="AS65" i="3"/>
  <c r="AR65" i="3"/>
  <c r="AQ65" i="3"/>
  <c r="AX65" i="3" s="1"/>
  <c r="AO65" i="3"/>
  <c r="AN65" i="3"/>
  <c r="AM65" i="3"/>
  <c r="AL65" i="3"/>
  <c r="AK65" i="3"/>
  <c r="AJ65" i="3"/>
  <c r="AI65" i="3"/>
  <c r="AP65" i="3" s="1"/>
  <c r="AE65" i="3"/>
  <c r="AD65" i="3"/>
  <c r="AC65" i="3"/>
  <c r="AB65" i="3"/>
  <c r="AA65" i="3"/>
  <c r="BQ64" i="3"/>
  <c r="BP64" i="3"/>
  <c r="BO64" i="3"/>
  <c r="BN64" i="3"/>
  <c r="BM64" i="3"/>
  <c r="BL64" i="3"/>
  <c r="BK64" i="3"/>
  <c r="BJ64" i="3"/>
  <c r="BI64" i="3"/>
  <c r="BH64" i="3"/>
  <c r="BG64" i="3"/>
  <c r="BE64" i="3"/>
  <c r="BD64" i="3"/>
  <c r="BC64" i="3"/>
  <c r="BB64" i="3"/>
  <c r="BA64" i="3"/>
  <c r="AZ64" i="3"/>
  <c r="AY64" i="3"/>
  <c r="BF64" i="3" s="1"/>
  <c r="AW64" i="3"/>
  <c r="AV64" i="3"/>
  <c r="AU64" i="3"/>
  <c r="AT64" i="3"/>
  <c r="AS64" i="3"/>
  <c r="AR64" i="3"/>
  <c r="AQ64" i="3"/>
  <c r="AX64" i="3" s="1"/>
  <c r="AO64" i="3"/>
  <c r="AN64" i="3"/>
  <c r="AM64" i="3"/>
  <c r="AL64" i="3"/>
  <c r="AK64" i="3"/>
  <c r="AJ64" i="3"/>
  <c r="AI64" i="3"/>
  <c r="AP64" i="3" s="1"/>
  <c r="AE64" i="3"/>
  <c r="AD64" i="3"/>
  <c r="AC64" i="3"/>
  <c r="AB64" i="3"/>
  <c r="AA64" i="3"/>
  <c r="BQ63" i="3"/>
  <c r="BP63" i="3"/>
  <c r="BO63" i="3"/>
  <c r="BN63" i="3"/>
  <c r="BM63" i="3"/>
  <c r="BL63" i="3"/>
  <c r="BK63" i="3"/>
  <c r="BJ63" i="3"/>
  <c r="BI63" i="3"/>
  <c r="BH63" i="3"/>
  <c r="BG63" i="3"/>
  <c r="BE63" i="3"/>
  <c r="BD63" i="3"/>
  <c r="BC63" i="3"/>
  <c r="BB63" i="3"/>
  <c r="BA63" i="3"/>
  <c r="AZ63" i="3"/>
  <c r="AY63" i="3"/>
  <c r="BF63" i="3" s="1"/>
  <c r="AW63" i="3"/>
  <c r="AV63" i="3"/>
  <c r="AU63" i="3"/>
  <c r="AT63" i="3"/>
  <c r="AS63" i="3"/>
  <c r="AR63" i="3"/>
  <c r="AQ63" i="3"/>
  <c r="AX63" i="3" s="1"/>
  <c r="AO63" i="3"/>
  <c r="AN63" i="3"/>
  <c r="AM63" i="3"/>
  <c r="AL63" i="3"/>
  <c r="AK63" i="3"/>
  <c r="AJ63" i="3"/>
  <c r="AI63" i="3"/>
  <c r="AP63" i="3" s="1"/>
  <c r="AE63" i="3"/>
  <c r="AD63" i="3"/>
  <c r="AC63" i="3"/>
  <c r="AB63" i="3"/>
  <c r="AA63" i="3"/>
  <c r="BQ62" i="3"/>
  <c r="BP62" i="3"/>
  <c r="BO62" i="3"/>
  <c r="BN62" i="3"/>
  <c r="BM62" i="3"/>
  <c r="BL62" i="3"/>
  <c r="BK62" i="3"/>
  <c r="BJ62" i="3"/>
  <c r="BI62" i="3"/>
  <c r="BH62" i="3"/>
  <c r="BG62" i="3"/>
  <c r="BE62" i="3"/>
  <c r="BD62" i="3"/>
  <c r="BC62" i="3"/>
  <c r="BB62" i="3"/>
  <c r="BA62" i="3"/>
  <c r="AZ62" i="3"/>
  <c r="AY62" i="3"/>
  <c r="BF62" i="3" s="1"/>
  <c r="AW62" i="3"/>
  <c r="AV62" i="3"/>
  <c r="AU62" i="3"/>
  <c r="AT62" i="3"/>
  <c r="AS62" i="3"/>
  <c r="AR62" i="3"/>
  <c r="AQ62" i="3"/>
  <c r="AX62" i="3" s="1"/>
  <c r="AO62" i="3"/>
  <c r="AN62" i="3"/>
  <c r="AM62" i="3"/>
  <c r="AL62" i="3"/>
  <c r="AK62" i="3"/>
  <c r="AJ62" i="3"/>
  <c r="AI62" i="3"/>
  <c r="AP62" i="3" s="1"/>
  <c r="AE62" i="3"/>
  <c r="AD62" i="3"/>
  <c r="AC62" i="3"/>
  <c r="AB62" i="3"/>
  <c r="AA62" i="3"/>
  <c r="BQ61" i="3"/>
  <c r="BP61" i="3"/>
  <c r="BO61" i="3"/>
  <c r="BN61" i="3"/>
  <c r="BM61" i="3"/>
  <c r="BL61" i="3"/>
  <c r="BK61" i="3"/>
  <c r="BJ61" i="3"/>
  <c r="BI61" i="3"/>
  <c r="BH61" i="3"/>
  <c r="BG61" i="3"/>
  <c r="BE61" i="3"/>
  <c r="BD61" i="3"/>
  <c r="BC61" i="3"/>
  <c r="BB61" i="3"/>
  <c r="BA61" i="3"/>
  <c r="AZ61" i="3"/>
  <c r="AY61" i="3"/>
  <c r="BF61" i="3" s="1"/>
  <c r="AW61" i="3"/>
  <c r="AV61" i="3"/>
  <c r="AU61" i="3"/>
  <c r="AT61" i="3"/>
  <c r="AS61" i="3"/>
  <c r="AR61" i="3"/>
  <c r="AQ61" i="3"/>
  <c r="AX61" i="3" s="1"/>
  <c r="AO61" i="3"/>
  <c r="AN61" i="3"/>
  <c r="AM61" i="3"/>
  <c r="AL61" i="3"/>
  <c r="AK61" i="3"/>
  <c r="AJ61" i="3"/>
  <c r="AI61" i="3"/>
  <c r="AP61" i="3" s="1"/>
  <c r="AE61" i="3"/>
  <c r="AD61" i="3"/>
  <c r="AC61" i="3"/>
  <c r="AA61" i="3" s="1"/>
  <c r="AG61" i="3" s="1"/>
  <c r="AH61" i="3" s="1"/>
  <c r="AB61" i="3"/>
  <c r="BQ60" i="3"/>
  <c r="BP60" i="3"/>
  <c r="BO60" i="3"/>
  <c r="BN60" i="3"/>
  <c r="BM60" i="3"/>
  <c r="BL60" i="3"/>
  <c r="BK60" i="3"/>
  <c r="BJ60" i="3"/>
  <c r="BI60" i="3"/>
  <c r="BH60" i="3"/>
  <c r="BG60" i="3"/>
  <c r="BE60" i="3"/>
  <c r="BD60" i="3"/>
  <c r="BC60" i="3"/>
  <c r="BB60" i="3"/>
  <c r="BA60" i="3"/>
  <c r="AZ60" i="3"/>
  <c r="AY60" i="3"/>
  <c r="BF60" i="3" s="1"/>
  <c r="AW60" i="3"/>
  <c r="AV60" i="3"/>
  <c r="AU60" i="3"/>
  <c r="AT60" i="3"/>
  <c r="AS60" i="3"/>
  <c r="AR60" i="3"/>
  <c r="AQ60" i="3"/>
  <c r="AX60" i="3" s="1"/>
  <c r="AO60" i="3"/>
  <c r="AN60" i="3"/>
  <c r="AM60" i="3"/>
  <c r="AL60" i="3"/>
  <c r="AK60" i="3"/>
  <c r="AJ60" i="3"/>
  <c r="AI60" i="3"/>
  <c r="AP60" i="3" s="1"/>
  <c r="AE60" i="3"/>
  <c r="AD60" i="3"/>
  <c r="AC60" i="3"/>
  <c r="AB60" i="3"/>
  <c r="AA60" i="3"/>
  <c r="AG60" i="3" s="1"/>
  <c r="AH60" i="3" s="1"/>
  <c r="BQ59" i="3"/>
  <c r="BP59" i="3"/>
  <c r="BO59" i="3"/>
  <c r="BN59" i="3"/>
  <c r="BM59" i="3"/>
  <c r="BL59" i="3"/>
  <c r="BK59" i="3"/>
  <c r="BJ59" i="3"/>
  <c r="BI59" i="3"/>
  <c r="BH59" i="3"/>
  <c r="BG59" i="3"/>
  <c r="BE59" i="3"/>
  <c r="BD59" i="3"/>
  <c r="BC59" i="3"/>
  <c r="BB59" i="3"/>
  <c r="BA59" i="3"/>
  <c r="AZ59" i="3"/>
  <c r="AY59" i="3"/>
  <c r="BF59" i="3" s="1"/>
  <c r="AW59" i="3"/>
  <c r="AV59" i="3"/>
  <c r="AU59" i="3"/>
  <c r="AT59" i="3"/>
  <c r="AS59" i="3"/>
  <c r="AR59" i="3"/>
  <c r="AQ59" i="3"/>
  <c r="AX59" i="3" s="1"/>
  <c r="AO59" i="3"/>
  <c r="AN59" i="3"/>
  <c r="AM59" i="3"/>
  <c r="AL59" i="3"/>
  <c r="AK59" i="3"/>
  <c r="AJ59" i="3"/>
  <c r="AI59" i="3"/>
  <c r="AP59" i="3" s="1"/>
  <c r="AE59" i="3"/>
  <c r="AD59" i="3"/>
  <c r="AC59" i="3"/>
  <c r="AB59" i="3"/>
  <c r="AA59" i="3"/>
  <c r="AG59" i="3" s="1"/>
  <c r="AH59" i="3" s="1"/>
  <c r="BQ58" i="3"/>
  <c r="BP58" i="3"/>
  <c r="BO58" i="3"/>
  <c r="BN58" i="3"/>
  <c r="BM58" i="3"/>
  <c r="BL58" i="3"/>
  <c r="BK58" i="3"/>
  <c r="BJ58" i="3"/>
  <c r="BI58" i="3"/>
  <c r="BH58" i="3"/>
  <c r="BG58" i="3"/>
  <c r="BE58" i="3"/>
  <c r="BD58" i="3"/>
  <c r="BC58" i="3"/>
  <c r="BB58" i="3"/>
  <c r="BA58" i="3"/>
  <c r="AZ58" i="3"/>
  <c r="AY58" i="3"/>
  <c r="BF58" i="3" s="1"/>
  <c r="AW58" i="3"/>
  <c r="AV58" i="3"/>
  <c r="AU58" i="3"/>
  <c r="AT58" i="3"/>
  <c r="AS58" i="3"/>
  <c r="AR58" i="3"/>
  <c r="AQ58" i="3"/>
  <c r="AX58" i="3" s="1"/>
  <c r="AO58" i="3"/>
  <c r="AN58" i="3"/>
  <c r="AM58" i="3"/>
  <c r="AL58" i="3"/>
  <c r="AK58" i="3"/>
  <c r="AJ58" i="3"/>
  <c r="AI58" i="3"/>
  <c r="AP58" i="3" s="1"/>
  <c r="AE58" i="3"/>
  <c r="AD58" i="3"/>
  <c r="AC58" i="3"/>
  <c r="AB58" i="3"/>
  <c r="AA58" i="3"/>
  <c r="AG58" i="3" s="1"/>
  <c r="AH58" i="3" s="1"/>
  <c r="BQ57" i="3"/>
  <c r="BP57" i="3"/>
  <c r="BO57" i="3"/>
  <c r="BN57" i="3"/>
  <c r="BM57" i="3"/>
  <c r="BL57" i="3"/>
  <c r="BK57" i="3"/>
  <c r="BJ57" i="3"/>
  <c r="BI57" i="3"/>
  <c r="BH57" i="3"/>
  <c r="BG57" i="3"/>
  <c r="BE57" i="3"/>
  <c r="BD57" i="3"/>
  <c r="BC57" i="3"/>
  <c r="BB57" i="3"/>
  <c r="BA57" i="3"/>
  <c r="AZ57" i="3"/>
  <c r="AY57" i="3"/>
  <c r="BF57" i="3" s="1"/>
  <c r="AW57" i="3"/>
  <c r="AV57" i="3"/>
  <c r="AU57" i="3"/>
  <c r="AT57" i="3"/>
  <c r="AS57" i="3"/>
  <c r="AR57" i="3"/>
  <c r="AQ57" i="3"/>
  <c r="AX57" i="3" s="1"/>
  <c r="AO57" i="3"/>
  <c r="AN57" i="3"/>
  <c r="AM57" i="3"/>
  <c r="AL57" i="3"/>
  <c r="AK57" i="3"/>
  <c r="AJ57" i="3"/>
  <c r="AI57" i="3"/>
  <c r="AP57" i="3" s="1"/>
  <c r="AE57" i="3"/>
  <c r="AD57" i="3"/>
  <c r="AC57" i="3"/>
  <c r="AB57" i="3"/>
  <c r="AA57" i="3"/>
  <c r="AG57" i="3" s="1"/>
  <c r="AH57" i="3" s="1"/>
  <c r="BQ56" i="3"/>
  <c r="BP56" i="3"/>
  <c r="BO56" i="3"/>
  <c r="BN56" i="3"/>
  <c r="BM56" i="3"/>
  <c r="BL56" i="3"/>
  <c r="BK56" i="3"/>
  <c r="BJ56" i="3"/>
  <c r="BI56" i="3"/>
  <c r="BH56" i="3"/>
  <c r="BG56" i="3"/>
  <c r="BE56" i="3"/>
  <c r="BD56" i="3"/>
  <c r="BC56" i="3"/>
  <c r="BB56" i="3"/>
  <c r="BA56" i="3"/>
  <c r="AZ56" i="3"/>
  <c r="AY56" i="3"/>
  <c r="BF56" i="3" s="1"/>
  <c r="AW56" i="3"/>
  <c r="AV56" i="3"/>
  <c r="AU56" i="3"/>
  <c r="AT56" i="3"/>
  <c r="AS56" i="3"/>
  <c r="AR56" i="3"/>
  <c r="AQ56" i="3"/>
  <c r="AX56" i="3" s="1"/>
  <c r="AO56" i="3"/>
  <c r="AN56" i="3"/>
  <c r="AM56" i="3"/>
  <c r="AL56" i="3"/>
  <c r="AK56" i="3"/>
  <c r="AJ56" i="3"/>
  <c r="AI56" i="3"/>
  <c r="AP56" i="3" s="1"/>
  <c r="AE56" i="3"/>
  <c r="AD56" i="3"/>
  <c r="AC56" i="3"/>
  <c r="AB56" i="3"/>
  <c r="AA56" i="3"/>
  <c r="AG56" i="3" s="1"/>
  <c r="AH56" i="3" s="1"/>
  <c r="BQ55" i="3"/>
  <c r="BP55" i="3"/>
  <c r="BO55" i="3"/>
  <c r="BN55" i="3"/>
  <c r="BM55" i="3"/>
  <c r="BL55" i="3"/>
  <c r="BK55" i="3"/>
  <c r="BJ55" i="3"/>
  <c r="BI55" i="3"/>
  <c r="BH55" i="3"/>
  <c r="BG55" i="3"/>
  <c r="BE55" i="3"/>
  <c r="BD55" i="3"/>
  <c r="BC55" i="3"/>
  <c r="BB55" i="3"/>
  <c r="BA55" i="3"/>
  <c r="AZ55" i="3"/>
  <c r="AY55" i="3"/>
  <c r="BF55" i="3" s="1"/>
  <c r="AW55" i="3"/>
  <c r="AV55" i="3"/>
  <c r="AU55" i="3"/>
  <c r="AT55" i="3"/>
  <c r="AS55" i="3"/>
  <c r="AR55" i="3"/>
  <c r="AQ55" i="3"/>
  <c r="AX55" i="3" s="1"/>
  <c r="AO55" i="3"/>
  <c r="AN55" i="3"/>
  <c r="AM55" i="3"/>
  <c r="AL55" i="3"/>
  <c r="AK55" i="3"/>
  <c r="AJ55" i="3"/>
  <c r="AI55" i="3"/>
  <c r="AP55" i="3" s="1"/>
  <c r="AE55" i="3"/>
  <c r="AD55" i="3"/>
  <c r="AC55" i="3"/>
  <c r="AB55" i="3"/>
  <c r="AA55" i="3"/>
  <c r="AG55" i="3" s="1"/>
  <c r="AH55" i="3" s="1"/>
  <c r="BQ54" i="3"/>
  <c r="BP54" i="3"/>
  <c r="BO54" i="3"/>
  <c r="BN54" i="3"/>
  <c r="BM54" i="3"/>
  <c r="BL54" i="3"/>
  <c r="BK54" i="3"/>
  <c r="BJ54" i="3"/>
  <c r="BI54" i="3"/>
  <c r="BH54" i="3"/>
  <c r="BG54" i="3"/>
  <c r="BE54" i="3"/>
  <c r="BD54" i="3"/>
  <c r="BF54" i="3" s="1"/>
  <c r="BC54" i="3"/>
  <c r="BB54" i="3"/>
  <c r="BA54" i="3"/>
  <c r="AZ54" i="3"/>
  <c r="AY54" i="3"/>
  <c r="AW54" i="3"/>
  <c r="AV54" i="3"/>
  <c r="AU54" i="3"/>
  <c r="AT54" i="3"/>
  <c r="AS54" i="3"/>
  <c r="AR54" i="3"/>
  <c r="AQ54" i="3"/>
  <c r="AX54" i="3" s="1"/>
  <c r="AO54" i="3"/>
  <c r="AN54" i="3"/>
  <c r="AM54" i="3"/>
  <c r="AL54" i="3"/>
  <c r="AK54" i="3"/>
  <c r="AJ54" i="3"/>
  <c r="AI54" i="3"/>
  <c r="AP54" i="3" s="1"/>
  <c r="AE54" i="3"/>
  <c r="AD54" i="3"/>
  <c r="AC54" i="3"/>
  <c r="AB54" i="3"/>
  <c r="AA54" i="3"/>
  <c r="AG54" i="3" s="1"/>
  <c r="AH54" i="3" s="1"/>
  <c r="BQ53" i="3"/>
  <c r="BP53" i="3"/>
  <c r="BO53" i="3"/>
  <c r="BN53" i="3"/>
  <c r="BM53" i="3"/>
  <c r="BL53" i="3"/>
  <c r="BK53" i="3"/>
  <c r="BJ53" i="3"/>
  <c r="BI53" i="3"/>
  <c r="BH53" i="3"/>
  <c r="BG53" i="3"/>
  <c r="BE53" i="3"/>
  <c r="BD53" i="3"/>
  <c r="BC53" i="3"/>
  <c r="BB53" i="3"/>
  <c r="BA53" i="3"/>
  <c r="AZ53" i="3"/>
  <c r="AY53" i="3"/>
  <c r="BF53" i="3" s="1"/>
  <c r="AW53" i="3"/>
  <c r="AV53" i="3"/>
  <c r="AU53" i="3"/>
  <c r="AT53" i="3"/>
  <c r="AS53" i="3"/>
  <c r="AR53" i="3"/>
  <c r="AQ53" i="3"/>
  <c r="AX53" i="3" s="1"/>
  <c r="AO53" i="3"/>
  <c r="AN53" i="3"/>
  <c r="AM53" i="3"/>
  <c r="AL53" i="3"/>
  <c r="AK53" i="3"/>
  <c r="AJ53" i="3"/>
  <c r="AI53" i="3"/>
  <c r="AP53" i="3" s="1"/>
  <c r="AE53" i="3"/>
  <c r="AD53" i="3"/>
  <c r="AC53" i="3"/>
  <c r="AB53" i="3"/>
  <c r="AA53" i="3"/>
  <c r="AG53" i="3" s="1"/>
  <c r="AH53" i="3" s="1"/>
  <c r="BQ52" i="3"/>
  <c r="BP52" i="3"/>
  <c r="BO52" i="3"/>
  <c r="BN52" i="3"/>
  <c r="BM52" i="3"/>
  <c r="BL52" i="3"/>
  <c r="BK52" i="3"/>
  <c r="BJ52" i="3"/>
  <c r="BI52" i="3"/>
  <c r="BH52" i="3"/>
  <c r="BG52" i="3"/>
  <c r="BE52" i="3"/>
  <c r="BD52" i="3"/>
  <c r="BC52" i="3"/>
  <c r="BB52" i="3"/>
  <c r="BA52" i="3"/>
  <c r="AZ52" i="3"/>
  <c r="AY52" i="3"/>
  <c r="BF52" i="3" s="1"/>
  <c r="AW52" i="3"/>
  <c r="AV52" i="3"/>
  <c r="AU52" i="3"/>
  <c r="AT52" i="3"/>
  <c r="AS52" i="3"/>
  <c r="AR52" i="3"/>
  <c r="AQ52" i="3"/>
  <c r="AX52" i="3" s="1"/>
  <c r="AO52" i="3"/>
  <c r="AN52" i="3"/>
  <c r="AM52" i="3"/>
  <c r="AL52" i="3"/>
  <c r="AK52" i="3"/>
  <c r="AJ52" i="3"/>
  <c r="AI52" i="3"/>
  <c r="AP52" i="3" s="1"/>
  <c r="AE52" i="3"/>
  <c r="AD52" i="3"/>
  <c r="AC52" i="3"/>
  <c r="AB52" i="3"/>
  <c r="AA52" i="3"/>
  <c r="AG52" i="3" s="1"/>
  <c r="AH52" i="3" s="1"/>
  <c r="BQ51" i="3"/>
  <c r="BP51" i="3"/>
  <c r="BO51" i="3"/>
  <c r="BN51" i="3"/>
  <c r="BM51" i="3"/>
  <c r="BL51" i="3"/>
  <c r="BK51" i="3"/>
  <c r="BJ51" i="3"/>
  <c r="BI51" i="3"/>
  <c r="BH51" i="3"/>
  <c r="BG51" i="3"/>
  <c r="BE51" i="3"/>
  <c r="BD51" i="3"/>
  <c r="BC51" i="3"/>
  <c r="BB51" i="3"/>
  <c r="BA51" i="3"/>
  <c r="AZ51" i="3"/>
  <c r="AY51" i="3"/>
  <c r="BF51" i="3" s="1"/>
  <c r="AW51" i="3"/>
  <c r="AV51" i="3"/>
  <c r="AU51" i="3"/>
  <c r="AT51" i="3"/>
  <c r="AS51" i="3"/>
  <c r="AR51" i="3"/>
  <c r="AQ51" i="3"/>
  <c r="AX51" i="3" s="1"/>
  <c r="AO51" i="3"/>
  <c r="AN51" i="3"/>
  <c r="AM51" i="3"/>
  <c r="AL51" i="3"/>
  <c r="AK51" i="3"/>
  <c r="AJ51" i="3"/>
  <c r="AI51" i="3"/>
  <c r="AP51" i="3" s="1"/>
  <c r="AE51" i="3"/>
  <c r="AD51" i="3"/>
  <c r="AC51" i="3"/>
  <c r="AB51" i="3"/>
  <c r="AA51" i="3"/>
  <c r="AG51" i="3" s="1"/>
  <c r="AH51" i="3" s="1"/>
  <c r="BQ50" i="3"/>
  <c r="BP50" i="3"/>
  <c r="BO50" i="3"/>
  <c r="BN50" i="3"/>
  <c r="BM50" i="3"/>
  <c r="BL50" i="3"/>
  <c r="BK50" i="3"/>
  <c r="BJ50" i="3"/>
  <c r="BI50" i="3"/>
  <c r="BH50" i="3"/>
  <c r="BG50" i="3"/>
  <c r="BE50" i="3"/>
  <c r="BD50" i="3"/>
  <c r="BC50" i="3"/>
  <c r="BB50" i="3"/>
  <c r="BA50" i="3"/>
  <c r="AZ50" i="3"/>
  <c r="AY50" i="3"/>
  <c r="BF50" i="3" s="1"/>
  <c r="AW50" i="3"/>
  <c r="AV50" i="3"/>
  <c r="AU50" i="3"/>
  <c r="AT50" i="3"/>
  <c r="AS50" i="3"/>
  <c r="AR50" i="3"/>
  <c r="AQ50" i="3"/>
  <c r="AX50" i="3" s="1"/>
  <c r="AO50" i="3"/>
  <c r="AN50" i="3"/>
  <c r="AM50" i="3"/>
  <c r="AL50" i="3"/>
  <c r="AK50" i="3"/>
  <c r="AJ50" i="3"/>
  <c r="AI50" i="3"/>
  <c r="AP50" i="3" s="1"/>
  <c r="AE50" i="3"/>
  <c r="AD50" i="3"/>
  <c r="AC50" i="3"/>
  <c r="AB50" i="3"/>
  <c r="AA50" i="3"/>
  <c r="AG50" i="3" s="1"/>
  <c r="AH50" i="3" s="1"/>
  <c r="BQ49" i="3"/>
  <c r="BP49" i="3"/>
  <c r="BO49" i="3"/>
  <c r="BN49" i="3"/>
  <c r="BM49" i="3"/>
  <c r="BL49" i="3"/>
  <c r="BK49" i="3"/>
  <c r="BJ49" i="3"/>
  <c r="BI49" i="3"/>
  <c r="BH49" i="3"/>
  <c r="BG49" i="3"/>
  <c r="BE49" i="3"/>
  <c r="BD49" i="3"/>
  <c r="BC49" i="3"/>
  <c r="BB49" i="3"/>
  <c r="BA49" i="3"/>
  <c r="AZ49" i="3"/>
  <c r="AY49" i="3"/>
  <c r="BF49" i="3" s="1"/>
  <c r="AW49" i="3"/>
  <c r="AV49" i="3"/>
  <c r="AU49" i="3"/>
  <c r="AT49" i="3"/>
  <c r="AS49" i="3"/>
  <c r="AR49" i="3"/>
  <c r="AQ49" i="3"/>
  <c r="AX49" i="3" s="1"/>
  <c r="AO49" i="3"/>
  <c r="AN49" i="3"/>
  <c r="AM49" i="3"/>
  <c r="AL49" i="3"/>
  <c r="AK49" i="3"/>
  <c r="AJ49" i="3"/>
  <c r="AI49" i="3"/>
  <c r="AP49" i="3" s="1"/>
  <c r="AE49" i="3"/>
  <c r="AD49" i="3"/>
  <c r="AC49" i="3"/>
  <c r="AB49" i="3"/>
  <c r="AA49" i="3"/>
  <c r="AG49" i="3" s="1"/>
  <c r="AH49" i="3" s="1"/>
  <c r="BQ48" i="3"/>
  <c r="BP48" i="3"/>
  <c r="BO48" i="3"/>
  <c r="BN48" i="3"/>
  <c r="BM48" i="3"/>
  <c r="BL48" i="3"/>
  <c r="BK48" i="3"/>
  <c r="BJ48" i="3"/>
  <c r="BI48" i="3"/>
  <c r="BH48" i="3"/>
  <c r="BG48" i="3"/>
  <c r="BE48" i="3"/>
  <c r="BD48" i="3"/>
  <c r="BC48" i="3"/>
  <c r="BB48" i="3"/>
  <c r="BA48" i="3"/>
  <c r="AZ48" i="3"/>
  <c r="AY48" i="3"/>
  <c r="BF48" i="3" s="1"/>
  <c r="AW48" i="3"/>
  <c r="AV48" i="3"/>
  <c r="AU48" i="3"/>
  <c r="AT48" i="3"/>
  <c r="AS48" i="3"/>
  <c r="AR48" i="3"/>
  <c r="AQ48" i="3"/>
  <c r="AX48" i="3" s="1"/>
  <c r="AO48" i="3"/>
  <c r="AN48" i="3"/>
  <c r="AM48" i="3"/>
  <c r="AL48" i="3"/>
  <c r="AK48" i="3"/>
  <c r="AJ48" i="3"/>
  <c r="AI48" i="3"/>
  <c r="AP48" i="3" s="1"/>
  <c r="AE48" i="3"/>
  <c r="AD48" i="3"/>
  <c r="AC48" i="3"/>
  <c r="AB48" i="3"/>
  <c r="AA48" i="3"/>
  <c r="AG48" i="3" s="1"/>
  <c r="AH48" i="3" s="1"/>
  <c r="BQ47" i="3"/>
  <c r="BP47" i="3"/>
  <c r="BO47" i="3"/>
  <c r="BN47" i="3"/>
  <c r="BM47" i="3"/>
  <c r="BL47" i="3"/>
  <c r="BK47" i="3"/>
  <c r="BJ47" i="3"/>
  <c r="BI47" i="3"/>
  <c r="BH47" i="3"/>
  <c r="BG47" i="3"/>
  <c r="BE47" i="3"/>
  <c r="BD47" i="3"/>
  <c r="BC47" i="3"/>
  <c r="BB47" i="3"/>
  <c r="BA47" i="3"/>
  <c r="AZ47" i="3"/>
  <c r="AY47" i="3"/>
  <c r="BF47" i="3" s="1"/>
  <c r="AW47" i="3"/>
  <c r="AV47" i="3"/>
  <c r="AU47" i="3"/>
  <c r="AT47" i="3"/>
  <c r="AS47" i="3"/>
  <c r="AR47" i="3"/>
  <c r="AQ47" i="3"/>
  <c r="AX47" i="3" s="1"/>
  <c r="AO47" i="3"/>
  <c r="AN47" i="3"/>
  <c r="AM47" i="3"/>
  <c r="AL47" i="3"/>
  <c r="AK47" i="3"/>
  <c r="AJ47" i="3"/>
  <c r="AI47" i="3"/>
  <c r="AP47" i="3" s="1"/>
  <c r="AE47" i="3"/>
  <c r="AD47" i="3"/>
  <c r="AC47" i="3"/>
  <c r="AB47" i="3"/>
  <c r="AA47" i="3"/>
  <c r="AG47" i="3" s="1"/>
  <c r="AH47" i="3" s="1"/>
  <c r="BQ46" i="3"/>
  <c r="BP46" i="3"/>
  <c r="BO46" i="3"/>
  <c r="BN46" i="3"/>
  <c r="BM46" i="3"/>
  <c r="BL46" i="3"/>
  <c r="BK46" i="3"/>
  <c r="BJ46" i="3"/>
  <c r="BI46" i="3"/>
  <c r="BH46" i="3"/>
  <c r="BG46" i="3"/>
  <c r="BE46" i="3"/>
  <c r="BD46" i="3"/>
  <c r="BC46" i="3"/>
  <c r="BB46" i="3"/>
  <c r="BA46" i="3"/>
  <c r="AZ46" i="3"/>
  <c r="AY46" i="3"/>
  <c r="BF46" i="3" s="1"/>
  <c r="AW46" i="3"/>
  <c r="AV46" i="3"/>
  <c r="AU46" i="3"/>
  <c r="AT46" i="3"/>
  <c r="AS46" i="3"/>
  <c r="AR46" i="3"/>
  <c r="AQ46" i="3"/>
  <c r="AX46" i="3" s="1"/>
  <c r="AO46" i="3"/>
  <c r="AN46" i="3"/>
  <c r="AM46" i="3"/>
  <c r="AL46" i="3"/>
  <c r="AK46" i="3"/>
  <c r="AJ46" i="3"/>
  <c r="AI46" i="3"/>
  <c r="AP46" i="3" s="1"/>
  <c r="AE46" i="3"/>
  <c r="AD46" i="3"/>
  <c r="AC46" i="3"/>
  <c r="AB46" i="3"/>
  <c r="AA46" i="3"/>
  <c r="AG46" i="3" s="1"/>
  <c r="AH46" i="3" s="1"/>
  <c r="BQ45" i="3"/>
  <c r="BP45" i="3"/>
  <c r="BO45" i="3"/>
  <c r="BN45" i="3"/>
  <c r="BM45" i="3"/>
  <c r="BL45" i="3"/>
  <c r="BK45" i="3"/>
  <c r="BJ45" i="3"/>
  <c r="BI45" i="3"/>
  <c r="BH45" i="3"/>
  <c r="BG45" i="3"/>
  <c r="BE45" i="3"/>
  <c r="BD45" i="3"/>
  <c r="BC45" i="3"/>
  <c r="BB45" i="3"/>
  <c r="BA45" i="3"/>
  <c r="AZ45" i="3"/>
  <c r="AY45" i="3"/>
  <c r="BF45" i="3" s="1"/>
  <c r="AW45" i="3"/>
  <c r="AV45" i="3"/>
  <c r="AU45" i="3"/>
  <c r="AT45" i="3"/>
  <c r="AS45" i="3"/>
  <c r="AR45" i="3"/>
  <c r="AQ45" i="3"/>
  <c r="AX45" i="3" s="1"/>
  <c r="AO45" i="3"/>
  <c r="AN45" i="3"/>
  <c r="AM45" i="3"/>
  <c r="AL45" i="3"/>
  <c r="AK45" i="3"/>
  <c r="AJ45" i="3"/>
  <c r="AI45" i="3"/>
  <c r="AP45" i="3" s="1"/>
  <c r="AE45" i="3"/>
  <c r="AD45" i="3"/>
  <c r="AC45" i="3"/>
  <c r="AB45" i="3"/>
  <c r="AA45" i="3"/>
  <c r="AG45" i="3" s="1"/>
  <c r="AH45" i="3" s="1"/>
  <c r="BQ44" i="3"/>
  <c r="BP44" i="3"/>
  <c r="BO44" i="3"/>
  <c r="BN44" i="3"/>
  <c r="BM44" i="3"/>
  <c r="BL44" i="3"/>
  <c r="BK44" i="3"/>
  <c r="BJ44" i="3"/>
  <c r="BI44" i="3"/>
  <c r="BH44" i="3"/>
  <c r="BG44" i="3"/>
  <c r="BE44" i="3"/>
  <c r="BD44" i="3"/>
  <c r="BC44" i="3"/>
  <c r="BB44" i="3"/>
  <c r="BA44" i="3"/>
  <c r="AZ44" i="3"/>
  <c r="AY44" i="3"/>
  <c r="BF44" i="3" s="1"/>
  <c r="AW44" i="3"/>
  <c r="AV44" i="3"/>
  <c r="AU44" i="3"/>
  <c r="AT44" i="3"/>
  <c r="AS44" i="3"/>
  <c r="AR44" i="3"/>
  <c r="AQ44" i="3"/>
  <c r="AX44" i="3" s="1"/>
  <c r="AO44" i="3"/>
  <c r="AN44" i="3"/>
  <c r="AM44" i="3"/>
  <c r="AL44" i="3"/>
  <c r="AK44" i="3"/>
  <c r="AJ44" i="3"/>
  <c r="AI44" i="3"/>
  <c r="AP44" i="3" s="1"/>
  <c r="AE44" i="3"/>
  <c r="AD44" i="3"/>
  <c r="AC44" i="3"/>
  <c r="AB44" i="3"/>
  <c r="AA44" i="3"/>
  <c r="AG44" i="3" s="1"/>
  <c r="AH44" i="3" s="1"/>
  <c r="BQ43" i="3"/>
  <c r="BP43" i="3"/>
  <c r="BO43" i="3"/>
  <c r="BN43" i="3"/>
  <c r="BM43" i="3"/>
  <c r="BL43" i="3"/>
  <c r="BK43" i="3"/>
  <c r="BJ43" i="3"/>
  <c r="BI43" i="3"/>
  <c r="BH43" i="3"/>
  <c r="BG43" i="3"/>
  <c r="BE43" i="3"/>
  <c r="BD43" i="3"/>
  <c r="BC43" i="3"/>
  <c r="BB43" i="3"/>
  <c r="BA43" i="3"/>
  <c r="AZ43" i="3"/>
  <c r="AY43" i="3"/>
  <c r="BF43" i="3" s="1"/>
  <c r="AW43" i="3"/>
  <c r="AV43" i="3"/>
  <c r="AU43" i="3"/>
  <c r="AT43" i="3"/>
  <c r="AS43" i="3"/>
  <c r="AR43" i="3"/>
  <c r="AQ43" i="3"/>
  <c r="AX43" i="3" s="1"/>
  <c r="AO43" i="3"/>
  <c r="AN43" i="3"/>
  <c r="AM43" i="3"/>
  <c r="AL43" i="3"/>
  <c r="AK43" i="3"/>
  <c r="AJ43" i="3"/>
  <c r="AI43" i="3"/>
  <c r="AP43" i="3" s="1"/>
  <c r="AE43" i="3"/>
  <c r="AD43" i="3"/>
  <c r="AC43" i="3"/>
  <c r="AB43" i="3"/>
  <c r="AA43" i="3"/>
  <c r="AG43" i="3" s="1"/>
  <c r="AH43" i="3" s="1"/>
  <c r="BQ42" i="3"/>
  <c r="BP42" i="3"/>
  <c r="BO42" i="3"/>
  <c r="BN42" i="3"/>
  <c r="BM42" i="3"/>
  <c r="BL42" i="3"/>
  <c r="BK42" i="3"/>
  <c r="BJ42" i="3"/>
  <c r="BI42" i="3"/>
  <c r="BH42" i="3"/>
  <c r="BG42" i="3"/>
  <c r="BE42" i="3"/>
  <c r="BD42" i="3"/>
  <c r="BC42" i="3"/>
  <c r="BB42" i="3"/>
  <c r="BA42" i="3"/>
  <c r="AZ42" i="3"/>
  <c r="AY42" i="3"/>
  <c r="BF42" i="3" s="1"/>
  <c r="AW42" i="3"/>
  <c r="AV42" i="3"/>
  <c r="AU42" i="3"/>
  <c r="AT42" i="3"/>
  <c r="AS42" i="3"/>
  <c r="AR42" i="3"/>
  <c r="AQ42" i="3"/>
  <c r="AX42" i="3" s="1"/>
  <c r="AO42" i="3"/>
  <c r="AN42" i="3"/>
  <c r="AM42" i="3"/>
  <c r="AL42" i="3"/>
  <c r="AK42" i="3"/>
  <c r="AJ42" i="3"/>
  <c r="AI42" i="3"/>
  <c r="AP42" i="3" s="1"/>
  <c r="AE42" i="3"/>
  <c r="AD42" i="3"/>
  <c r="AC42" i="3"/>
  <c r="AB42" i="3"/>
  <c r="AA42" i="3"/>
  <c r="AG42" i="3" s="1"/>
  <c r="AH42" i="3" s="1"/>
  <c r="BQ41" i="3"/>
  <c r="BP41" i="3"/>
  <c r="BO41" i="3"/>
  <c r="BN41" i="3"/>
  <c r="BM41" i="3"/>
  <c r="BL41" i="3"/>
  <c r="BK41" i="3"/>
  <c r="BJ41" i="3"/>
  <c r="BI41" i="3"/>
  <c r="BH41" i="3"/>
  <c r="BG41" i="3"/>
  <c r="BE41" i="3"/>
  <c r="BD41" i="3"/>
  <c r="BC41" i="3"/>
  <c r="BB41" i="3"/>
  <c r="BA41" i="3"/>
  <c r="AZ41" i="3"/>
  <c r="AY41" i="3"/>
  <c r="BF41" i="3" s="1"/>
  <c r="AW41" i="3"/>
  <c r="AV41" i="3"/>
  <c r="AU41" i="3"/>
  <c r="AT41" i="3"/>
  <c r="AS41" i="3"/>
  <c r="AR41" i="3"/>
  <c r="AQ41" i="3"/>
  <c r="AX41" i="3" s="1"/>
  <c r="AO41" i="3"/>
  <c r="AN41" i="3"/>
  <c r="AM41" i="3"/>
  <c r="AL41" i="3"/>
  <c r="AK41" i="3"/>
  <c r="AJ41" i="3"/>
  <c r="AI41" i="3"/>
  <c r="AP41" i="3" s="1"/>
  <c r="AE41" i="3"/>
  <c r="AD41" i="3"/>
  <c r="AC41" i="3"/>
  <c r="AB41" i="3"/>
  <c r="AA41" i="3"/>
  <c r="AG41" i="3" s="1"/>
  <c r="AH41" i="3" s="1"/>
  <c r="BQ40" i="3"/>
  <c r="BP40" i="3"/>
  <c r="BO40" i="3"/>
  <c r="BN40" i="3"/>
  <c r="BM40" i="3"/>
  <c r="BL40" i="3"/>
  <c r="BK40" i="3"/>
  <c r="BJ40" i="3"/>
  <c r="BI40" i="3"/>
  <c r="BH40" i="3"/>
  <c r="BG40" i="3"/>
  <c r="BE40" i="3"/>
  <c r="BD40" i="3"/>
  <c r="BC40" i="3"/>
  <c r="BB40" i="3"/>
  <c r="BA40" i="3"/>
  <c r="AZ40" i="3"/>
  <c r="AY40" i="3"/>
  <c r="BF40" i="3" s="1"/>
  <c r="AW40" i="3"/>
  <c r="AV40" i="3"/>
  <c r="AU40" i="3"/>
  <c r="AT40" i="3"/>
  <c r="AS40" i="3"/>
  <c r="AR40" i="3"/>
  <c r="AQ40" i="3"/>
  <c r="AX40" i="3" s="1"/>
  <c r="AO40" i="3"/>
  <c r="AN40" i="3"/>
  <c r="AM40" i="3"/>
  <c r="AL40" i="3"/>
  <c r="AK40" i="3"/>
  <c r="AJ40" i="3"/>
  <c r="AI40" i="3"/>
  <c r="AP40" i="3" s="1"/>
  <c r="AE40" i="3"/>
  <c r="AD40" i="3"/>
  <c r="AC40" i="3"/>
  <c r="AB40" i="3"/>
  <c r="AA40" i="3"/>
  <c r="AG40" i="3" s="1"/>
  <c r="AH40" i="3" s="1"/>
  <c r="BQ39" i="3"/>
  <c r="BP39" i="3"/>
  <c r="BO39" i="3"/>
  <c r="BN39" i="3"/>
  <c r="BM39" i="3"/>
  <c r="BL39" i="3"/>
  <c r="BK39" i="3"/>
  <c r="BJ39" i="3"/>
  <c r="BI39" i="3"/>
  <c r="BH39" i="3"/>
  <c r="BG39" i="3"/>
  <c r="BE39" i="3"/>
  <c r="BD39" i="3"/>
  <c r="BC39" i="3"/>
  <c r="BB39" i="3"/>
  <c r="BA39" i="3"/>
  <c r="AZ39" i="3"/>
  <c r="AY39" i="3"/>
  <c r="BF39" i="3" s="1"/>
  <c r="AW39" i="3"/>
  <c r="AV39" i="3"/>
  <c r="AU39" i="3"/>
  <c r="AT39" i="3"/>
  <c r="AS39" i="3"/>
  <c r="AR39" i="3"/>
  <c r="AQ39" i="3"/>
  <c r="AX39" i="3" s="1"/>
  <c r="AO39" i="3"/>
  <c r="AN39" i="3"/>
  <c r="AM39" i="3"/>
  <c r="AL39" i="3"/>
  <c r="AK39" i="3"/>
  <c r="AJ39" i="3"/>
  <c r="AI39" i="3"/>
  <c r="AP39" i="3" s="1"/>
  <c r="AE39" i="3"/>
  <c r="AD39" i="3"/>
  <c r="AC39" i="3"/>
  <c r="AB39" i="3"/>
  <c r="AA39" i="3"/>
  <c r="AG39" i="3" s="1"/>
  <c r="AH39" i="3" s="1"/>
  <c r="BQ38" i="3"/>
  <c r="BP38" i="3"/>
  <c r="BO38" i="3"/>
  <c r="BN38" i="3"/>
  <c r="BM38" i="3"/>
  <c r="BL38" i="3"/>
  <c r="BK38" i="3"/>
  <c r="BJ38" i="3"/>
  <c r="BI38" i="3"/>
  <c r="BH38" i="3"/>
  <c r="BG38" i="3"/>
  <c r="BE38" i="3"/>
  <c r="BD38" i="3"/>
  <c r="BC38" i="3"/>
  <c r="BB38" i="3"/>
  <c r="BA38" i="3"/>
  <c r="AZ38" i="3"/>
  <c r="AY38" i="3"/>
  <c r="BF38" i="3" s="1"/>
  <c r="AW38" i="3"/>
  <c r="AV38" i="3"/>
  <c r="AU38" i="3"/>
  <c r="AT38" i="3"/>
  <c r="AS38" i="3"/>
  <c r="AR38" i="3"/>
  <c r="AQ38" i="3"/>
  <c r="AX38" i="3" s="1"/>
  <c r="AO38" i="3"/>
  <c r="AN38" i="3"/>
  <c r="AM38" i="3"/>
  <c r="AL38" i="3"/>
  <c r="AK38" i="3"/>
  <c r="AJ38" i="3"/>
  <c r="AI38" i="3"/>
  <c r="AP38" i="3" s="1"/>
  <c r="AE38" i="3"/>
  <c r="AD38" i="3"/>
  <c r="AC38" i="3"/>
  <c r="AB38" i="3"/>
  <c r="AA38" i="3"/>
  <c r="AG38" i="3" s="1"/>
  <c r="AH38" i="3" s="1"/>
  <c r="BQ37" i="3"/>
  <c r="BP37" i="3"/>
  <c r="BO37" i="3"/>
  <c r="BN37" i="3"/>
  <c r="BM37" i="3"/>
  <c r="BL37" i="3"/>
  <c r="BK37" i="3"/>
  <c r="BJ37" i="3"/>
  <c r="BI37" i="3"/>
  <c r="BH37" i="3"/>
  <c r="BG37" i="3"/>
  <c r="BE37" i="3"/>
  <c r="BD37" i="3"/>
  <c r="BC37" i="3"/>
  <c r="BB37" i="3"/>
  <c r="BA37" i="3"/>
  <c r="AZ37" i="3"/>
  <c r="AY37" i="3"/>
  <c r="BF37" i="3" s="1"/>
  <c r="AW37" i="3"/>
  <c r="AV37" i="3"/>
  <c r="AU37" i="3"/>
  <c r="AT37" i="3"/>
  <c r="AS37" i="3"/>
  <c r="AR37" i="3"/>
  <c r="AQ37" i="3"/>
  <c r="AX37" i="3" s="1"/>
  <c r="AO37" i="3"/>
  <c r="AN37" i="3"/>
  <c r="AM37" i="3"/>
  <c r="AL37" i="3"/>
  <c r="AK37" i="3"/>
  <c r="AJ37" i="3"/>
  <c r="AI37" i="3"/>
  <c r="AP37" i="3" s="1"/>
  <c r="AE37" i="3"/>
  <c r="AD37" i="3"/>
  <c r="AC37" i="3"/>
  <c r="AB37" i="3"/>
  <c r="AA37" i="3"/>
  <c r="AG37" i="3" s="1"/>
  <c r="AH37" i="3" s="1"/>
  <c r="BQ36" i="3"/>
  <c r="BP36" i="3"/>
  <c r="BO36" i="3"/>
  <c r="BN36" i="3"/>
  <c r="BM36" i="3"/>
  <c r="BL36" i="3"/>
  <c r="BK36" i="3"/>
  <c r="BJ36" i="3"/>
  <c r="BI36" i="3"/>
  <c r="BH36" i="3"/>
  <c r="BG36" i="3"/>
  <c r="BE36" i="3"/>
  <c r="BD36" i="3"/>
  <c r="BC36" i="3"/>
  <c r="BB36" i="3"/>
  <c r="BA36" i="3"/>
  <c r="AZ36" i="3"/>
  <c r="AY36" i="3"/>
  <c r="BF36" i="3" s="1"/>
  <c r="AW36" i="3"/>
  <c r="AV36" i="3"/>
  <c r="AU36" i="3"/>
  <c r="AT36" i="3"/>
  <c r="AS36" i="3"/>
  <c r="AR36" i="3"/>
  <c r="AQ36" i="3"/>
  <c r="AX36" i="3" s="1"/>
  <c r="AO36" i="3"/>
  <c r="AN36" i="3"/>
  <c r="AM36" i="3"/>
  <c r="AL36" i="3"/>
  <c r="AK36" i="3"/>
  <c r="AJ36" i="3"/>
  <c r="AI36" i="3"/>
  <c r="AP36" i="3" s="1"/>
  <c r="AE36" i="3"/>
  <c r="AD36" i="3"/>
  <c r="AC36" i="3"/>
  <c r="AB36" i="3"/>
  <c r="AA36" i="3"/>
  <c r="AG36" i="3" s="1"/>
  <c r="AH36" i="3" s="1"/>
  <c r="BQ35" i="3"/>
  <c r="BP35" i="3"/>
  <c r="BO35" i="3"/>
  <c r="BN35" i="3"/>
  <c r="BM35" i="3"/>
  <c r="BL35" i="3"/>
  <c r="BK35" i="3"/>
  <c r="BJ35" i="3"/>
  <c r="BI35" i="3"/>
  <c r="BH35" i="3"/>
  <c r="BG35" i="3"/>
  <c r="BE35" i="3"/>
  <c r="BD35" i="3"/>
  <c r="BC35" i="3"/>
  <c r="BB35" i="3"/>
  <c r="BA35" i="3"/>
  <c r="AZ35" i="3"/>
  <c r="AY35" i="3"/>
  <c r="BF35" i="3" s="1"/>
  <c r="AW35" i="3"/>
  <c r="AV35" i="3"/>
  <c r="AU35" i="3"/>
  <c r="AT35" i="3"/>
  <c r="AS35" i="3"/>
  <c r="AR35" i="3"/>
  <c r="AQ35" i="3"/>
  <c r="AX35" i="3" s="1"/>
  <c r="AO35" i="3"/>
  <c r="AN35" i="3"/>
  <c r="AM35" i="3"/>
  <c r="AL35" i="3"/>
  <c r="AK35" i="3"/>
  <c r="AJ35" i="3"/>
  <c r="AI35" i="3"/>
  <c r="AP35" i="3" s="1"/>
  <c r="AE35" i="3"/>
  <c r="AD35" i="3"/>
  <c r="AC35" i="3"/>
  <c r="AB35" i="3"/>
  <c r="AA35" i="3"/>
  <c r="AG35" i="3" s="1"/>
  <c r="AH35" i="3" s="1"/>
  <c r="BQ34" i="3"/>
  <c r="BP34" i="3"/>
  <c r="BO34" i="3"/>
  <c r="BN34" i="3"/>
  <c r="BM34" i="3"/>
  <c r="BL34" i="3"/>
  <c r="BK34" i="3"/>
  <c r="BJ34" i="3"/>
  <c r="BI34" i="3"/>
  <c r="BH34" i="3"/>
  <c r="BG34" i="3"/>
  <c r="BE34" i="3"/>
  <c r="BD34" i="3"/>
  <c r="BC34" i="3"/>
  <c r="BB34" i="3"/>
  <c r="BA34" i="3"/>
  <c r="AZ34" i="3"/>
  <c r="AY34" i="3"/>
  <c r="BF34" i="3" s="1"/>
  <c r="AW34" i="3"/>
  <c r="AV34" i="3"/>
  <c r="AU34" i="3"/>
  <c r="AT34" i="3"/>
  <c r="AS34" i="3"/>
  <c r="AR34" i="3"/>
  <c r="AQ34" i="3"/>
  <c r="AX34" i="3" s="1"/>
  <c r="AO34" i="3"/>
  <c r="AN34" i="3"/>
  <c r="AM34" i="3"/>
  <c r="AL34" i="3"/>
  <c r="AK34" i="3"/>
  <c r="AJ34" i="3"/>
  <c r="AI34" i="3"/>
  <c r="AP34" i="3" s="1"/>
  <c r="AE34" i="3"/>
  <c r="AD34" i="3"/>
  <c r="AC34" i="3"/>
  <c r="AB34" i="3"/>
  <c r="AA34" i="3"/>
  <c r="AG34" i="3" s="1"/>
  <c r="AH34" i="3" s="1"/>
  <c r="BQ33" i="3"/>
  <c r="BP33" i="3"/>
  <c r="BO33" i="3"/>
  <c r="BN33" i="3"/>
  <c r="BM33" i="3"/>
  <c r="BL33" i="3"/>
  <c r="BK33" i="3"/>
  <c r="BJ33" i="3"/>
  <c r="BI33" i="3"/>
  <c r="BH33" i="3"/>
  <c r="BG33" i="3"/>
  <c r="BE33" i="3"/>
  <c r="BD33" i="3"/>
  <c r="BC33" i="3"/>
  <c r="BB33" i="3"/>
  <c r="BA33" i="3"/>
  <c r="AZ33" i="3"/>
  <c r="AY33" i="3"/>
  <c r="BF33" i="3" s="1"/>
  <c r="AW33" i="3"/>
  <c r="AV33" i="3"/>
  <c r="AU33" i="3"/>
  <c r="AT33" i="3"/>
  <c r="AS33" i="3"/>
  <c r="AR33" i="3"/>
  <c r="AQ33" i="3"/>
  <c r="AX33" i="3" s="1"/>
  <c r="AO33" i="3"/>
  <c r="AN33" i="3"/>
  <c r="AM33" i="3"/>
  <c r="AL33" i="3"/>
  <c r="AK33" i="3"/>
  <c r="AJ33" i="3"/>
  <c r="AI33" i="3"/>
  <c r="AP33" i="3" s="1"/>
  <c r="AE33" i="3"/>
  <c r="AD33" i="3"/>
  <c r="AC33" i="3"/>
  <c r="AB33" i="3"/>
  <c r="AA33" i="3"/>
  <c r="AG33" i="3" s="1"/>
  <c r="AH33" i="3" s="1"/>
  <c r="BQ32" i="3"/>
  <c r="BP32" i="3"/>
  <c r="BO32" i="3"/>
  <c r="BN32" i="3"/>
  <c r="BM32" i="3"/>
  <c r="BL32" i="3"/>
  <c r="BK32" i="3"/>
  <c r="BJ32" i="3"/>
  <c r="BI32" i="3"/>
  <c r="BH32" i="3"/>
  <c r="BG32" i="3"/>
  <c r="BE32" i="3"/>
  <c r="BD32" i="3"/>
  <c r="BC32" i="3"/>
  <c r="BB32" i="3"/>
  <c r="BA32" i="3"/>
  <c r="AZ32" i="3"/>
  <c r="AY32" i="3"/>
  <c r="BF32" i="3" s="1"/>
  <c r="AW32" i="3"/>
  <c r="AV32" i="3"/>
  <c r="AU32" i="3"/>
  <c r="AT32" i="3"/>
  <c r="AS32" i="3"/>
  <c r="AR32" i="3"/>
  <c r="AQ32" i="3"/>
  <c r="AX32" i="3" s="1"/>
  <c r="AO32" i="3"/>
  <c r="AN32" i="3"/>
  <c r="AM32" i="3"/>
  <c r="AL32" i="3"/>
  <c r="AK32" i="3"/>
  <c r="AJ32" i="3"/>
  <c r="AI32" i="3"/>
  <c r="AP32" i="3" s="1"/>
  <c r="AE32" i="3"/>
  <c r="AD32" i="3"/>
  <c r="AC32" i="3"/>
  <c r="AB32" i="3"/>
  <c r="AA32" i="3"/>
  <c r="AG32" i="3" s="1"/>
  <c r="AH32" i="3" s="1"/>
  <c r="BQ31" i="3"/>
  <c r="BP31" i="3"/>
  <c r="BO31" i="3"/>
  <c r="BN31" i="3"/>
  <c r="BM31" i="3"/>
  <c r="BL31" i="3"/>
  <c r="BK31" i="3"/>
  <c r="BJ31" i="3"/>
  <c r="BI31" i="3"/>
  <c r="BH31" i="3"/>
  <c r="BG31" i="3"/>
  <c r="BE31" i="3"/>
  <c r="BD31" i="3"/>
  <c r="BC31" i="3"/>
  <c r="BB31" i="3"/>
  <c r="BA31" i="3"/>
  <c r="AZ31" i="3"/>
  <c r="AY31" i="3"/>
  <c r="BF31" i="3" s="1"/>
  <c r="AW31" i="3"/>
  <c r="AV31" i="3"/>
  <c r="AU31" i="3"/>
  <c r="AT31" i="3"/>
  <c r="AS31" i="3"/>
  <c r="AR31" i="3"/>
  <c r="AQ31" i="3"/>
  <c r="AX31" i="3" s="1"/>
  <c r="AO31" i="3"/>
  <c r="AN31" i="3"/>
  <c r="AM31" i="3"/>
  <c r="AL31" i="3"/>
  <c r="AK31" i="3"/>
  <c r="AJ31" i="3"/>
  <c r="AI31" i="3"/>
  <c r="AP31" i="3" s="1"/>
  <c r="AE31" i="3"/>
  <c r="AD31" i="3"/>
  <c r="AC31" i="3"/>
  <c r="AB31" i="3"/>
  <c r="AA31" i="3"/>
  <c r="AG31" i="3" s="1"/>
  <c r="AH31" i="3" s="1"/>
  <c r="BQ30" i="3"/>
  <c r="BP30" i="3"/>
  <c r="BO30" i="3"/>
  <c r="BN30" i="3"/>
  <c r="BM30" i="3"/>
  <c r="BL30" i="3"/>
  <c r="BK30" i="3"/>
  <c r="BJ30" i="3"/>
  <c r="BI30" i="3"/>
  <c r="BH30" i="3"/>
  <c r="BG30" i="3"/>
  <c r="BE30" i="3"/>
  <c r="BD30" i="3"/>
  <c r="BC30" i="3"/>
  <c r="BB30" i="3"/>
  <c r="BA30" i="3"/>
  <c r="AZ30" i="3"/>
  <c r="AY30" i="3"/>
  <c r="BF30" i="3" s="1"/>
  <c r="AW30" i="3"/>
  <c r="AV30" i="3"/>
  <c r="AU30" i="3"/>
  <c r="AT30" i="3"/>
  <c r="AS30" i="3"/>
  <c r="AR30" i="3"/>
  <c r="AQ30" i="3"/>
  <c r="AX30" i="3" s="1"/>
  <c r="AO30" i="3"/>
  <c r="AN30" i="3"/>
  <c r="AM30" i="3"/>
  <c r="AL30" i="3"/>
  <c r="AK30" i="3"/>
  <c r="AJ30" i="3"/>
  <c r="AI30" i="3"/>
  <c r="AP30" i="3" s="1"/>
  <c r="AE30" i="3"/>
  <c r="AD30" i="3"/>
  <c r="AC30" i="3"/>
  <c r="AB30" i="3"/>
  <c r="AA30" i="3"/>
  <c r="AG30" i="3" s="1"/>
  <c r="AH30" i="3" s="1"/>
  <c r="BQ29" i="3"/>
  <c r="BP29" i="3"/>
  <c r="BO29" i="3"/>
  <c r="BN29" i="3"/>
  <c r="BM29" i="3"/>
  <c r="BL29" i="3"/>
  <c r="BK29" i="3"/>
  <c r="BJ29" i="3"/>
  <c r="BI29" i="3"/>
  <c r="BH29" i="3"/>
  <c r="BG29" i="3"/>
  <c r="BE29" i="3"/>
  <c r="BD29" i="3"/>
  <c r="BC29" i="3"/>
  <c r="BB29" i="3"/>
  <c r="BA29" i="3"/>
  <c r="AZ29" i="3"/>
  <c r="AY29" i="3"/>
  <c r="BF29" i="3" s="1"/>
  <c r="AW29" i="3"/>
  <c r="AV29" i="3"/>
  <c r="AU29" i="3"/>
  <c r="AT29" i="3"/>
  <c r="AS29" i="3"/>
  <c r="AR29" i="3"/>
  <c r="AQ29" i="3"/>
  <c r="AX29" i="3" s="1"/>
  <c r="AO29" i="3"/>
  <c r="AN29" i="3"/>
  <c r="AM29" i="3"/>
  <c r="AL29" i="3"/>
  <c r="AK29" i="3"/>
  <c r="AJ29" i="3"/>
  <c r="AI29" i="3"/>
  <c r="AP29" i="3" s="1"/>
  <c r="AE29" i="3"/>
  <c r="AD29" i="3"/>
  <c r="AC29" i="3"/>
  <c r="AB29" i="3"/>
  <c r="AA29" i="3"/>
  <c r="AG29" i="3" s="1"/>
  <c r="AH29" i="3" s="1"/>
  <c r="BQ28" i="3"/>
  <c r="BP28" i="3"/>
  <c r="BO28" i="3"/>
  <c r="BN28" i="3"/>
  <c r="BM28" i="3"/>
  <c r="BL28" i="3"/>
  <c r="BK28" i="3"/>
  <c r="BJ28" i="3"/>
  <c r="BI28" i="3"/>
  <c r="BH28" i="3"/>
  <c r="BG28" i="3"/>
  <c r="BE28" i="3"/>
  <c r="BD28" i="3"/>
  <c r="BC28" i="3"/>
  <c r="BB28" i="3"/>
  <c r="BA28" i="3"/>
  <c r="AZ28" i="3"/>
  <c r="AY28" i="3"/>
  <c r="BF28" i="3" s="1"/>
  <c r="AW28" i="3"/>
  <c r="AV28" i="3"/>
  <c r="AU28" i="3"/>
  <c r="AT28" i="3"/>
  <c r="AS28" i="3"/>
  <c r="AR28" i="3"/>
  <c r="AQ28" i="3"/>
  <c r="AX28" i="3" s="1"/>
  <c r="AO28" i="3"/>
  <c r="AN28" i="3"/>
  <c r="AM28" i="3"/>
  <c r="AL28" i="3"/>
  <c r="AK28" i="3"/>
  <c r="AJ28" i="3"/>
  <c r="AI28" i="3"/>
  <c r="AP28" i="3" s="1"/>
  <c r="AE28" i="3"/>
  <c r="AD28" i="3"/>
  <c r="AC28" i="3"/>
  <c r="AB28" i="3"/>
  <c r="AA28" i="3"/>
  <c r="AG28" i="3" s="1"/>
  <c r="AH28" i="3" s="1"/>
  <c r="BQ27" i="3"/>
  <c r="BP27" i="3"/>
  <c r="BO27" i="3"/>
  <c r="BN27" i="3"/>
  <c r="BM27" i="3"/>
  <c r="BL27" i="3"/>
  <c r="BK27" i="3"/>
  <c r="BJ27" i="3"/>
  <c r="BI27" i="3"/>
  <c r="BH27" i="3"/>
  <c r="BG27" i="3"/>
  <c r="BE27" i="3"/>
  <c r="BD27" i="3"/>
  <c r="BC27" i="3"/>
  <c r="BB27" i="3"/>
  <c r="BA27" i="3"/>
  <c r="AZ27" i="3"/>
  <c r="AY27" i="3"/>
  <c r="BF27" i="3" s="1"/>
  <c r="AW27" i="3"/>
  <c r="AV27" i="3"/>
  <c r="AU27" i="3"/>
  <c r="AT27" i="3"/>
  <c r="AS27" i="3"/>
  <c r="AR27" i="3"/>
  <c r="AQ27" i="3"/>
  <c r="AX27" i="3" s="1"/>
  <c r="AO27" i="3"/>
  <c r="AN27" i="3"/>
  <c r="AM27" i="3"/>
  <c r="AL27" i="3"/>
  <c r="AK27" i="3"/>
  <c r="AJ27" i="3"/>
  <c r="AI27" i="3"/>
  <c r="AP27" i="3" s="1"/>
  <c r="AE27" i="3"/>
  <c r="AD27" i="3"/>
  <c r="AC27" i="3"/>
  <c r="AB27" i="3"/>
  <c r="AA27" i="3"/>
  <c r="AG27" i="3" s="1"/>
  <c r="AH27" i="3" s="1"/>
  <c r="BQ26" i="3"/>
  <c r="BP26" i="3"/>
  <c r="BO26" i="3"/>
  <c r="BN26" i="3"/>
  <c r="BM26" i="3"/>
  <c r="BL26" i="3"/>
  <c r="BK26" i="3"/>
  <c r="BJ26" i="3"/>
  <c r="BI26" i="3"/>
  <c r="BH26" i="3"/>
  <c r="BG26" i="3"/>
  <c r="BE26" i="3"/>
  <c r="BD26" i="3"/>
  <c r="BC26" i="3"/>
  <c r="BB26" i="3"/>
  <c r="BA26" i="3"/>
  <c r="AZ26" i="3"/>
  <c r="AY26" i="3"/>
  <c r="BF26" i="3" s="1"/>
  <c r="AW26" i="3"/>
  <c r="AV26" i="3"/>
  <c r="AU26" i="3"/>
  <c r="AT26" i="3"/>
  <c r="AS26" i="3"/>
  <c r="AR26" i="3"/>
  <c r="AQ26" i="3"/>
  <c r="AX26" i="3" s="1"/>
  <c r="AO26" i="3"/>
  <c r="AN26" i="3"/>
  <c r="AM26" i="3"/>
  <c r="AL26" i="3"/>
  <c r="AK26" i="3"/>
  <c r="AJ26" i="3"/>
  <c r="AI26" i="3"/>
  <c r="AP26" i="3" s="1"/>
  <c r="AE26" i="3"/>
  <c r="AD26" i="3"/>
  <c r="AC26" i="3"/>
  <c r="AB26" i="3"/>
  <c r="AA26" i="3"/>
  <c r="AG26" i="3" s="1"/>
  <c r="AH26" i="3" s="1"/>
  <c r="BQ25" i="3"/>
  <c r="BP25" i="3"/>
  <c r="BO25" i="3"/>
  <c r="BN25" i="3"/>
  <c r="BM25" i="3"/>
  <c r="BL25" i="3"/>
  <c r="BK25" i="3"/>
  <c r="BJ25" i="3"/>
  <c r="BI25" i="3"/>
  <c r="BH25" i="3"/>
  <c r="BG25" i="3"/>
  <c r="BE25" i="3"/>
  <c r="BD25" i="3"/>
  <c r="BC25" i="3"/>
  <c r="BB25" i="3"/>
  <c r="BA25" i="3"/>
  <c r="AZ25" i="3"/>
  <c r="AY25" i="3"/>
  <c r="BF25" i="3" s="1"/>
  <c r="AW25" i="3"/>
  <c r="AV25" i="3"/>
  <c r="AU25" i="3"/>
  <c r="AT25" i="3"/>
  <c r="AS25" i="3"/>
  <c r="AR25" i="3"/>
  <c r="AQ25" i="3"/>
  <c r="AX25" i="3" s="1"/>
  <c r="AO25" i="3"/>
  <c r="AN25" i="3"/>
  <c r="AM25" i="3"/>
  <c r="AL25" i="3"/>
  <c r="AK25" i="3"/>
  <c r="AJ25" i="3"/>
  <c r="AI25" i="3"/>
  <c r="AP25" i="3" s="1"/>
  <c r="AE25" i="3"/>
  <c r="AD25" i="3"/>
  <c r="AC25" i="3"/>
  <c r="AB25" i="3"/>
  <c r="AA25" i="3"/>
  <c r="AG25" i="3" s="1"/>
  <c r="AH25" i="3" s="1"/>
  <c r="BQ24" i="3"/>
  <c r="BP24" i="3"/>
  <c r="BO24" i="3"/>
  <c r="BN24" i="3"/>
  <c r="BM24" i="3"/>
  <c r="BL24" i="3"/>
  <c r="BK24" i="3"/>
  <c r="BJ24" i="3"/>
  <c r="BI24" i="3"/>
  <c r="BH24" i="3"/>
  <c r="BG24" i="3"/>
  <c r="BE24" i="3"/>
  <c r="BD24" i="3"/>
  <c r="BC24" i="3"/>
  <c r="BB24" i="3"/>
  <c r="BA24" i="3"/>
  <c r="AZ24" i="3"/>
  <c r="AY24" i="3"/>
  <c r="BF24" i="3" s="1"/>
  <c r="AW24" i="3"/>
  <c r="AV24" i="3"/>
  <c r="AU24" i="3"/>
  <c r="AT24" i="3"/>
  <c r="AS24" i="3"/>
  <c r="AR24" i="3"/>
  <c r="AQ24" i="3"/>
  <c r="AX24" i="3" s="1"/>
  <c r="AO24" i="3"/>
  <c r="AN24" i="3"/>
  <c r="AM24" i="3"/>
  <c r="AL24" i="3"/>
  <c r="AK24" i="3"/>
  <c r="AJ24" i="3"/>
  <c r="AI24" i="3"/>
  <c r="AP24" i="3" s="1"/>
  <c r="AE24" i="3"/>
  <c r="AD24" i="3"/>
  <c r="AC24" i="3"/>
  <c r="AB24" i="3"/>
  <c r="AA24" i="3"/>
  <c r="AG24" i="3" s="1"/>
  <c r="AH24" i="3" s="1"/>
  <c r="BQ23" i="3"/>
  <c r="BP23" i="3"/>
  <c r="BO23" i="3"/>
  <c r="BN23" i="3"/>
  <c r="BM23" i="3"/>
  <c r="BL23" i="3"/>
  <c r="BK23" i="3"/>
  <c r="BJ23" i="3"/>
  <c r="BI23" i="3"/>
  <c r="BH23" i="3"/>
  <c r="BG23" i="3"/>
  <c r="BE23" i="3"/>
  <c r="BD23" i="3"/>
  <c r="BC23" i="3"/>
  <c r="BB23" i="3"/>
  <c r="BA23" i="3"/>
  <c r="AZ23" i="3"/>
  <c r="AY23" i="3"/>
  <c r="BF23" i="3" s="1"/>
  <c r="AW23" i="3"/>
  <c r="AV23" i="3"/>
  <c r="AU23" i="3"/>
  <c r="AT23" i="3"/>
  <c r="AS23" i="3"/>
  <c r="AR23" i="3"/>
  <c r="AQ23" i="3"/>
  <c r="AX23" i="3" s="1"/>
  <c r="AO23" i="3"/>
  <c r="AN23" i="3"/>
  <c r="AM23" i="3"/>
  <c r="AL23" i="3"/>
  <c r="AK23" i="3"/>
  <c r="AJ23" i="3"/>
  <c r="AI23" i="3"/>
  <c r="AP23" i="3" s="1"/>
  <c r="AE23" i="3"/>
  <c r="AD23" i="3"/>
  <c r="AC23" i="3"/>
  <c r="AB23" i="3"/>
  <c r="AA23" i="3"/>
  <c r="AG23" i="3" s="1"/>
  <c r="AH23" i="3" s="1"/>
  <c r="BQ22" i="3"/>
  <c r="BP22" i="3"/>
  <c r="BO22" i="3"/>
  <c r="BN22" i="3"/>
  <c r="BM22" i="3"/>
  <c r="BL22" i="3"/>
  <c r="BK22" i="3"/>
  <c r="BJ22" i="3"/>
  <c r="BI22" i="3"/>
  <c r="BH22" i="3"/>
  <c r="BG22" i="3"/>
  <c r="BE22" i="3"/>
  <c r="BD22" i="3"/>
  <c r="BC22" i="3"/>
  <c r="BB22" i="3"/>
  <c r="BA22" i="3"/>
  <c r="AZ22" i="3"/>
  <c r="AY22" i="3"/>
  <c r="BF22" i="3" s="1"/>
  <c r="AW22" i="3"/>
  <c r="AV22" i="3"/>
  <c r="AU22" i="3"/>
  <c r="AT22" i="3"/>
  <c r="AS22" i="3"/>
  <c r="AR22" i="3"/>
  <c r="AQ22" i="3"/>
  <c r="AX22" i="3" s="1"/>
  <c r="AO22" i="3"/>
  <c r="AN22" i="3"/>
  <c r="AM22" i="3"/>
  <c r="AL22" i="3"/>
  <c r="AK22" i="3"/>
  <c r="AJ22" i="3"/>
  <c r="AI22" i="3"/>
  <c r="AP22" i="3" s="1"/>
  <c r="AE22" i="3"/>
  <c r="AD22" i="3"/>
  <c r="AC22" i="3"/>
  <c r="AB22" i="3"/>
  <c r="AA22" i="3"/>
  <c r="AG22" i="3" s="1"/>
  <c r="AH22" i="3" s="1"/>
  <c r="BQ21" i="3"/>
  <c r="BP21" i="3"/>
  <c r="BO21" i="3"/>
  <c r="BN21" i="3"/>
  <c r="BM21" i="3"/>
  <c r="BL21" i="3"/>
  <c r="BK21" i="3"/>
  <c r="BJ21" i="3"/>
  <c r="BI21" i="3"/>
  <c r="BH21" i="3"/>
  <c r="BG21" i="3"/>
  <c r="BE21" i="3"/>
  <c r="BD21" i="3"/>
  <c r="BC21" i="3"/>
  <c r="BB21" i="3"/>
  <c r="BA21" i="3"/>
  <c r="AZ21" i="3"/>
  <c r="AY21" i="3"/>
  <c r="BF21" i="3" s="1"/>
  <c r="AW21" i="3"/>
  <c r="AV21" i="3"/>
  <c r="AU21" i="3"/>
  <c r="AT21" i="3"/>
  <c r="AS21" i="3"/>
  <c r="AR21" i="3"/>
  <c r="AQ21" i="3"/>
  <c r="AX21" i="3" s="1"/>
  <c r="AO21" i="3"/>
  <c r="AN21" i="3"/>
  <c r="AM21" i="3"/>
  <c r="AL21" i="3"/>
  <c r="AK21" i="3"/>
  <c r="AJ21" i="3"/>
  <c r="AI21" i="3"/>
  <c r="AP21" i="3" s="1"/>
  <c r="AE21" i="3"/>
  <c r="AD21" i="3"/>
  <c r="AC21" i="3"/>
  <c r="AB21" i="3"/>
  <c r="AA21" i="3"/>
  <c r="AG21" i="3" s="1"/>
  <c r="AH21" i="3" s="1"/>
  <c r="BQ20" i="3"/>
  <c r="BP20" i="3"/>
  <c r="BO20" i="3"/>
  <c r="BN20" i="3"/>
  <c r="BM20" i="3"/>
  <c r="BL20" i="3"/>
  <c r="BK20" i="3"/>
  <c r="BJ20" i="3"/>
  <c r="BI20" i="3"/>
  <c r="BH20" i="3"/>
  <c r="BG20" i="3"/>
  <c r="BE20" i="3"/>
  <c r="BD20" i="3"/>
  <c r="BC20" i="3"/>
  <c r="BB20" i="3"/>
  <c r="BA20" i="3"/>
  <c r="AZ20" i="3"/>
  <c r="AY20" i="3"/>
  <c r="BF20" i="3" s="1"/>
  <c r="AW20" i="3"/>
  <c r="AV20" i="3"/>
  <c r="AU20" i="3"/>
  <c r="AT20" i="3"/>
  <c r="AS20" i="3"/>
  <c r="AR20" i="3"/>
  <c r="AQ20" i="3"/>
  <c r="AX20" i="3" s="1"/>
  <c r="AO20" i="3"/>
  <c r="AN20" i="3"/>
  <c r="AM20" i="3"/>
  <c r="AL20" i="3"/>
  <c r="AK20" i="3"/>
  <c r="AJ20" i="3"/>
  <c r="AI20" i="3"/>
  <c r="AP20" i="3" s="1"/>
  <c r="AE20" i="3"/>
  <c r="AD20" i="3"/>
  <c r="AC20" i="3"/>
  <c r="AB20" i="3"/>
  <c r="AA20" i="3"/>
  <c r="AG20" i="3" s="1"/>
  <c r="AH20" i="3" s="1"/>
  <c r="BQ19" i="3"/>
  <c r="BP19" i="3"/>
  <c r="BO19" i="3"/>
  <c r="BN19" i="3"/>
  <c r="BM19" i="3"/>
  <c r="BL19" i="3"/>
  <c r="BK19" i="3"/>
  <c r="BJ19" i="3"/>
  <c r="BI19" i="3"/>
  <c r="BH19" i="3"/>
  <c r="BG19" i="3"/>
  <c r="BE19" i="3"/>
  <c r="BD19" i="3"/>
  <c r="BC19" i="3"/>
  <c r="BB19" i="3"/>
  <c r="BA19" i="3"/>
  <c r="AZ19" i="3"/>
  <c r="AY19" i="3"/>
  <c r="BF19" i="3" s="1"/>
  <c r="AW19" i="3"/>
  <c r="AV19" i="3"/>
  <c r="AU19" i="3"/>
  <c r="AT19" i="3"/>
  <c r="AS19" i="3"/>
  <c r="AR19" i="3"/>
  <c r="AQ19" i="3"/>
  <c r="AX19" i="3" s="1"/>
  <c r="AO19" i="3"/>
  <c r="AN19" i="3"/>
  <c r="AM19" i="3"/>
  <c r="AL19" i="3"/>
  <c r="AK19" i="3"/>
  <c r="AJ19" i="3"/>
  <c r="AI19" i="3"/>
  <c r="AP19" i="3" s="1"/>
  <c r="AE19" i="3"/>
  <c r="AD19" i="3"/>
  <c r="AC19" i="3"/>
  <c r="AB19" i="3"/>
  <c r="AA19" i="3"/>
  <c r="AG19" i="3" s="1"/>
  <c r="AH19" i="3" s="1"/>
  <c r="BQ18" i="3"/>
  <c r="BP18" i="3"/>
  <c r="BO18" i="3"/>
  <c r="BN18" i="3"/>
  <c r="BM18" i="3"/>
  <c r="BL18" i="3"/>
  <c r="BK18" i="3"/>
  <c r="BJ18" i="3"/>
  <c r="BI18" i="3"/>
  <c r="BH18" i="3"/>
  <c r="BG18" i="3"/>
  <c r="BE18" i="3"/>
  <c r="BD18" i="3"/>
  <c r="BC18" i="3"/>
  <c r="BB18" i="3"/>
  <c r="BA18" i="3"/>
  <c r="AZ18" i="3"/>
  <c r="AY18" i="3"/>
  <c r="BF18" i="3" s="1"/>
  <c r="AW18" i="3"/>
  <c r="AV18" i="3"/>
  <c r="AU18" i="3"/>
  <c r="AT18" i="3"/>
  <c r="AS18" i="3"/>
  <c r="AR18" i="3"/>
  <c r="AQ18" i="3"/>
  <c r="AX18" i="3" s="1"/>
  <c r="AO18" i="3"/>
  <c r="AN18" i="3"/>
  <c r="AM18" i="3"/>
  <c r="AL18" i="3"/>
  <c r="AK18" i="3"/>
  <c r="AJ18" i="3"/>
  <c r="AI18" i="3"/>
  <c r="AP18" i="3" s="1"/>
  <c r="AE18" i="3"/>
  <c r="AD18" i="3"/>
  <c r="AC18" i="3"/>
  <c r="AB18" i="3"/>
  <c r="AA18" i="3"/>
  <c r="AG18" i="3" s="1"/>
  <c r="AH18" i="3" s="1"/>
  <c r="BQ17" i="3"/>
  <c r="BP17" i="3"/>
  <c r="BO17" i="3"/>
  <c r="BN17" i="3"/>
  <c r="BM17" i="3"/>
  <c r="BL17" i="3"/>
  <c r="BK17" i="3"/>
  <c r="BJ17" i="3"/>
  <c r="BI17" i="3"/>
  <c r="BH17" i="3"/>
  <c r="BG17" i="3"/>
  <c r="BE17" i="3"/>
  <c r="BD17" i="3"/>
  <c r="BC17" i="3"/>
  <c r="BB17" i="3"/>
  <c r="BA17" i="3"/>
  <c r="AZ17" i="3"/>
  <c r="AY17" i="3"/>
  <c r="BF17" i="3" s="1"/>
  <c r="AW17" i="3"/>
  <c r="AV17" i="3"/>
  <c r="AU17" i="3"/>
  <c r="AT17" i="3"/>
  <c r="AS17" i="3"/>
  <c r="AR17" i="3"/>
  <c r="AQ17" i="3"/>
  <c r="AX17" i="3" s="1"/>
  <c r="AO17" i="3"/>
  <c r="AN17" i="3"/>
  <c r="AM17" i="3"/>
  <c r="AL17" i="3"/>
  <c r="AK17" i="3"/>
  <c r="AJ17" i="3"/>
  <c r="AI17" i="3"/>
  <c r="AP17" i="3" s="1"/>
  <c r="AE17" i="3"/>
  <c r="AD17" i="3"/>
  <c r="AC17" i="3"/>
  <c r="AB17" i="3"/>
  <c r="AA17" i="3"/>
  <c r="AG17" i="3" s="1"/>
  <c r="AH17" i="3" s="1"/>
  <c r="BQ16" i="3"/>
  <c r="BP16" i="3"/>
  <c r="BO16" i="3"/>
  <c r="BN16" i="3"/>
  <c r="BM16" i="3"/>
  <c r="BL16" i="3"/>
  <c r="BK16" i="3"/>
  <c r="BJ16" i="3"/>
  <c r="BI16" i="3"/>
  <c r="BH16" i="3"/>
  <c r="BG16" i="3"/>
  <c r="BE16" i="3"/>
  <c r="BD16" i="3"/>
  <c r="BC16" i="3"/>
  <c r="BB16" i="3"/>
  <c r="BA16" i="3"/>
  <c r="AZ16" i="3"/>
  <c r="AY16" i="3"/>
  <c r="BF16" i="3" s="1"/>
  <c r="AW16" i="3"/>
  <c r="AV16" i="3"/>
  <c r="AU16" i="3"/>
  <c r="AT16" i="3"/>
  <c r="AS16" i="3"/>
  <c r="AR16" i="3"/>
  <c r="AQ16" i="3"/>
  <c r="AX16" i="3" s="1"/>
  <c r="AO16" i="3"/>
  <c r="AN16" i="3"/>
  <c r="AM16" i="3"/>
  <c r="AL16" i="3"/>
  <c r="AK16" i="3"/>
  <c r="AJ16" i="3"/>
  <c r="AI16" i="3"/>
  <c r="AP16" i="3" s="1"/>
  <c r="AE16" i="3"/>
  <c r="AD16" i="3"/>
  <c r="AC16" i="3"/>
  <c r="AB16" i="3"/>
  <c r="AA16" i="3"/>
  <c r="AG16" i="3" s="1"/>
  <c r="AH16" i="3" s="1"/>
  <c r="BQ15" i="3"/>
  <c r="BP15" i="3"/>
  <c r="BO15" i="3"/>
  <c r="BN15" i="3"/>
  <c r="BM15" i="3"/>
  <c r="BL15" i="3"/>
  <c r="BK15" i="3"/>
  <c r="BJ15" i="3"/>
  <c r="BI15" i="3"/>
  <c r="BH15" i="3"/>
  <c r="BG15" i="3"/>
  <c r="BE15" i="3"/>
  <c r="BD15" i="3"/>
  <c r="BC15" i="3"/>
  <c r="BB15" i="3"/>
  <c r="BA15" i="3"/>
  <c r="AZ15" i="3"/>
  <c r="AY15" i="3"/>
  <c r="BF15" i="3" s="1"/>
  <c r="AW15" i="3"/>
  <c r="AV15" i="3"/>
  <c r="AU15" i="3"/>
  <c r="AT15" i="3"/>
  <c r="AS15" i="3"/>
  <c r="AR15" i="3"/>
  <c r="AQ15" i="3"/>
  <c r="AX15" i="3" s="1"/>
  <c r="AO15" i="3"/>
  <c r="AN15" i="3"/>
  <c r="AM15" i="3"/>
  <c r="AL15" i="3"/>
  <c r="AK15" i="3"/>
  <c r="AJ15" i="3"/>
  <c r="AI15" i="3"/>
  <c r="AP15" i="3" s="1"/>
  <c r="AE15" i="3"/>
  <c r="AD15" i="3"/>
  <c r="AC15" i="3"/>
  <c r="AB15" i="3"/>
  <c r="AA15" i="3"/>
  <c r="AG15" i="3" s="1"/>
  <c r="AH15" i="3" s="1"/>
  <c r="BQ14" i="3"/>
  <c r="BP14" i="3"/>
  <c r="BO14" i="3"/>
  <c r="BN14" i="3"/>
  <c r="BM14" i="3"/>
  <c r="BL14" i="3"/>
  <c r="BK14" i="3"/>
  <c r="BJ14" i="3"/>
  <c r="BI14" i="3"/>
  <c r="BH14" i="3"/>
  <c r="BG14" i="3"/>
  <c r="BE14" i="3"/>
  <c r="BD14" i="3"/>
  <c r="BC14" i="3"/>
  <c r="BB14" i="3"/>
  <c r="BA14" i="3"/>
  <c r="AZ14" i="3"/>
  <c r="AY14" i="3"/>
  <c r="BF14" i="3" s="1"/>
  <c r="AW14" i="3"/>
  <c r="AV14" i="3"/>
  <c r="AU14" i="3"/>
  <c r="AT14" i="3"/>
  <c r="AS14" i="3"/>
  <c r="AR14" i="3"/>
  <c r="AQ14" i="3"/>
  <c r="AX14" i="3" s="1"/>
  <c r="AO14" i="3"/>
  <c r="AN14" i="3"/>
  <c r="AM14" i="3"/>
  <c r="AL14" i="3"/>
  <c r="AK14" i="3"/>
  <c r="AJ14" i="3"/>
  <c r="AI14" i="3"/>
  <c r="AP14" i="3" s="1"/>
  <c r="AE14" i="3"/>
  <c r="AD14" i="3"/>
  <c r="AC14" i="3"/>
  <c r="AB14" i="3"/>
  <c r="AA14" i="3"/>
  <c r="AG14" i="3" s="1"/>
  <c r="AH14" i="3" s="1"/>
  <c r="BQ13" i="3"/>
  <c r="BP13" i="3"/>
  <c r="BO13" i="3"/>
  <c r="BN13" i="3"/>
  <c r="BM13" i="3"/>
  <c r="BL13" i="3"/>
  <c r="BK13" i="3"/>
  <c r="BJ13" i="3"/>
  <c r="BI13" i="3"/>
  <c r="BH13" i="3"/>
  <c r="BG13" i="3"/>
  <c r="BE13" i="3"/>
  <c r="BD13" i="3"/>
  <c r="BC13" i="3"/>
  <c r="BB13" i="3"/>
  <c r="BA13" i="3"/>
  <c r="AZ13" i="3"/>
  <c r="AY13" i="3"/>
  <c r="BF13" i="3" s="1"/>
  <c r="AW13" i="3"/>
  <c r="AV13" i="3"/>
  <c r="AU13" i="3"/>
  <c r="AT13" i="3"/>
  <c r="AS13" i="3"/>
  <c r="AR13" i="3"/>
  <c r="AQ13" i="3"/>
  <c r="AX13" i="3" s="1"/>
  <c r="AO13" i="3"/>
  <c r="AN13" i="3"/>
  <c r="AM13" i="3"/>
  <c r="AL13" i="3"/>
  <c r="AK13" i="3"/>
  <c r="AJ13" i="3"/>
  <c r="AI13" i="3"/>
  <c r="AP13" i="3" s="1"/>
  <c r="AE13" i="3"/>
  <c r="AD13" i="3"/>
  <c r="AC13" i="3"/>
  <c r="AB13" i="3"/>
  <c r="AA13" i="3"/>
  <c r="AG13" i="3" s="1"/>
  <c r="AH13" i="3" s="1"/>
  <c r="BQ12" i="3"/>
  <c r="BP12" i="3"/>
  <c r="BO12" i="3"/>
  <c r="BN12" i="3"/>
  <c r="BM12" i="3"/>
  <c r="BL12" i="3"/>
  <c r="BK12" i="3"/>
  <c r="BJ12" i="3"/>
  <c r="BI12" i="3"/>
  <c r="BH12" i="3"/>
  <c r="BG12" i="3"/>
  <c r="BE12" i="3"/>
  <c r="BD12" i="3"/>
  <c r="BC12" i="3"/>
  <c r="BB12" i="3"/>
  <c r="BA12" i="3"/>
  <c r="AZ12" i="3"/>
  <c r="AY12" i="3"/>
  <c r="BF12" i="3" s="1"/>
  <c r="AW12" i="3"/>
  <c r="AV12" i="3"/>
  <c r="AU12" i="3"/>
  <c r="AT12" i="3"/>
  <c r="AS12" i="3"/>
  <c r="AR12" i="3"/>
  <c r="AQ12" i="3"/>
  <c r="AX12" i="3" s="1"/>
  <c r="AO12" i="3"/>
  <c r="AN12" i="3"/>
  <c r="AM12" i="3"/>
  <c r="AL12" i="3"/>
  <c r="AK12" i="3"/>
  <c r="AJ12" i="3"/>
  <c r="AI12" i="3"/>
  <c r="AP12" i="3" s="1"/>
  <c r="AE12" i="3"/>
  <c r="AD12" i="3"/>
  <c r="AC12" i="3"/>
  <c r="AB12" i="3"/>
  <c r="AA12" i="3"/>
  <c r="AG12" i="3" s="1"/>
  <c r="AH12" i="3" s="1"/>
  <c r="BQ11" i="3"/>
  <c r="BP11" i="3"/>
  <c r="BO11" i="3"/>
  <c r="BN11" i="3"/>
  <c r="BM11" i="3"/>
  <c r="BL11" i="3"/>
  <c r="BK11" i="3"/>
  <c r="BJ11" i="3"/>
  <c r="BI11" i="3"/>
  <c r="BH11" i="3"/>
  <c r="BG11" i="3"/>
  <c r="BE11" i="3"/>
  <c r="BD11" i="3"/>
  <c r="BC11" i="3"/>
  <c r="BB11" i="3"/>
  <c r="BA11" i="3"/>
  <c r="AZ11" i="3"/>
  <c r="AY11" i="3"/>
  <c r="BF11" i="3" s="1"/>
  <c r="AW11" i="3"/>
  <c r="AV11" i="3"/>
  <c r="AU11" i="3"/>
  <c r="AT11" i="3"/>
  <c r="AS11" i="3"/>
  <c r="AR11" i="3"/>
  <c r="AQ11" i="3"/>
  <c r="AX11" i="3" s="1"/>
  <c r="AO11" i="3"/>
  <c r="AN11" i="3"/>
  <c r="AM11" i="3"/>
  <c r="AL11" i="3"/>
  <c r="AK11" i="3"/>
  <c r="AJ11" i="3"/>
  <c r="AI11" i="3"/>
  <c r="AP11" i="3" s="1"/>
  <c r="AE11" i="3"/>
  <c r="AD11" i="3"/>
  <c r="AC11" i="3"/>
  <c r="AB11" i="3"/>
  <c r="AA11" i="3"/>
  <c r="AG11" i="3" s="1"/>
  <c r="AH11" i="3" s="1"/>
  <c r="BQ10" i="3"/>
  <c r="BP10" i="3"/>
  <c r="BO10" i="3"/>
  <c r="BN10" i="3"/>
  <c r="BM10" i="3"/>
  <c r="BL10" i="3"/>
  <c r="BK10" i="3"/>
  <c r="BJ10" i="3"/>
  <c r="BI10" i="3"/>
  <c r="BH10" i="3"/>
  <c r="BG10" i="3"/>
  <c r="BE10" i="3"/>
  <c r="BD10" i="3"/>
  <c r="BC10" i="3"/>
  <c r="BB10" i="3"/>
  <c r="BA10" i="3"/>
  <c r="AZ10" i="3"/>
  <c r="AY10" i="3"/>
  <c r="BF10" i="3" s="1"/>
  <c r="AW10" i="3"/>
  <c r="AV10" i="3"/>
  <c r="AU10" i="3"/>
  <c r="AT10" i="3"/>
  <c r="AS10" i="3"/>
  <c r="AR10" i="3"/>
  <c r="AQ10" i="3"/>
  <c r="AX10" i="3" s="1"/>
  <c r="AO10" i="3"/>
  <c r="AN10" i="3"/>
  <c r="AM10" i="3"/>
  <c r="AL10" i="3"/>
  <c r="AK10" i="3"/>
  <c r="AJ10" i="3"/>
  <c r="AI10" i="3"/>
  <c r="AP10" i="3" s="1"/>
  <c r="AE10" i="3"/>
  <c r="AD10" i="3"/>
  <c r="AC10" i="3"/>
  <c r="AB10" i="3"/>
  <c r="AA10" i="3"/>
  <c r="AG10" i="3" s="1"/>
  <c r="AH10" i="3" s="1"/>
  <c r="BQ9" i="3"/>
  <c r="BP9" i="3"/>
  <c r="BO9" i="3"/>
  <c r="BN9" i="3"/>
  <c r="BM9" i="3"/>
  <c r="BL9" i="3"/>
  <c r="BK9" i="3"/>
  <c r="BJ9" i="3"/>
  <c r="BI9" i="3"/>
  <c r="BH9" i="3"/>
  <c r="BG9" i="3"/>
  <c r="BE9" i="3"/>
  <c r="BD9" i="3"/>
  <c r="BC9" i="3"/>
  <c r="BB9" i="3"/>
  <c r="BA9" i="3"/>
  <c r="AZ9" i="3"/>
  <c r="AY9" i="3"/>
  <c r="BF9" i="3" s="1"/>
  <c r="AW9" i="3"/>
  <c r="AV9" i="3"/>
  <c r="AU9" i="3"/>
  <c r="AT9" i="3"/>
  <c r="AS9" i="3"/>
  <c r="AR9" i="3"/>
  <c r="AQ9" i="3"/>
  <c r="AX9" i="3" s="1"/>
  <c r="AO9" i="3"/>
  <c r="AN9" i="3"/>
  <c r="AM9" i="3"/>
  <c r="AL9" i="3"/>
  <c r="AK9" i="3"/>
  <c r="AJ9" i="3"/>
  <c r="AI9" i="3"/>
  <c r="AP9" i="3" s="1"/>
  <c r="AE9" i="3"/>
  <c r="AD9" i="3"/>
  <c r="AC9" i="3"/>
  <c r="AB9" i="3"/>
  <c r="AA9" i="3"/>
  <c r="AG9" i="3" s="1"/>
  <c r="AH9" i="3" s="1"/>
  <c r="BQ8" i="3"/>
  <c r="BP8" i="3"/>
  <c r="BO8" i="3"/>
  <c r="BN8" i="3"/>
  <c r="BM8" i="3"/>
  <c r="BL8" i="3"/>
  <c r="BK8" i="3"/>
  <c r="BJ8" i="3"/>
  <c r="BI8" i="3"/>
  <c r="BH8" i="3"/>
  <c r="BG8" i="3"/>
  <c r="BE8" i="3"/>
  <c r="BD8" i="3"/>
  <c r="BC8" i="3"/>
  <c r="BB8" i="3"/>
  <c r="BA8" i="3"/>
  <c r="AZ8" i="3"/>
  <c r="AY8" i="3"/>
  <c r="BF8" i="3" s="1"/>
  <c r="AW8" i="3"/>
  <c r="AV8" i="3"/>
  <c r="AU8" i="3"/>
  <c r="AT8" i="3"/>
  <c r="AS8" i="3"/>
  <c r="AR8" i="3"/>
  <c r="AQ8" i="3"/>
  <c r="AX8" i="3" s="1"/>
  <c r="AO8" i="3"/>
  <c r="AN8" i="3"/>
  <c r="AM8" i="3"/>
  <c r="AL8" i="3"/>
  <c r="AK8" i="3"/>
  <c r="AJ8" i="3"/>
  <c r="AI8" i="3"/>
  <c r="AP8" i="3" s="1"/>
  <c r="AE8" i="3"/>
  <c r="AD8" i="3"/>
  <c r="AC8" i="3"/>
  <c r="AB8" i="3"/>
  <c r="AA8" i="3"/>
  <c r="AG8" i="3" s="1"/>
  <c r="AH8" i="3" s="1"/>
  <c r="BQ7" i="3"/>
  <c r="BP7" i="3"/>
  <c r="BO7" i="3"/>
  <c r="BN7" i="3"/>
  <c r="BM7" i="3"/>
  <c r="BL7" i="3"/>
  <c r="BK7" i="3"/>
  <c r="BJ7" i="3"/>
  <c r="BI7" i="3"/>
  <c r="BH7" i="3"/>
  <c r="BG7" i="3"/>
  <c r="BE7" i="3"/>
  <c r="BD7" i="3"/>
  <c r="BC7" i="3"/>
  <c r="BB7" i="3"/>
  <c r="BA7" i="3"/>
  <c r="AZ7" i="3"/>
  <c r="AY7" i="3"/>
  <c r="BF7" i="3" s="1"/>
  <c r="AW7" i="3"/>
  <c r="AV7" i="3"/>
  <c r="AU7" i="3"/>
  <c r="AT7" i="3"/>
  <c r="AS7" i="3"/>
  <c r="AR7" i="3"/>
  <c r="AQ7" i="3"/>
  <c r="AX7" i="3" s="1"/>
  <c r="AO7" i="3"/>
  <c r="AN7" i="3"/>
  <c r="AM7" i="3"/>
  <c r="AL7" i="3"/>
  <c r="AK7" i="3"/>
  <c r="AJ7" i="3"/>
  <c r="AI7" i="3"/>
  <c r="AP7" i="3" s="1"/>
  <c r="AE7" i="3"/>
  <c r="AD7" i="3"/>
  <c r="AC7" i="3"/>
  <c r="AB7" i="3"/>
  <c r="AA7" i="3"/>
  <c r="AG7" i="3" s="1"/>
  <c r="AH7" i="3" s="1"/>
  <c r="BQ6" i="3"/>
  <c r="BP6" i="3"/>
  <c r="BO6" i="3"/>
  <c r="BN6" i="3"/>
  <c r="BM6" i="3"/>
  <c r="BL6" i="3"/>
  <c r="BK6" i="3"/>
  <c r="BJ6" i="3"/>
  <c r="BI6" i="3"/>
  <c r="BH6" i="3"/>
  <c r="BG6" i="3"/>
  <c r="BE6" i="3"/>
  <c r="BD6" i="3"/>
  <c r="BC6" i="3"/>
  <c r="BB6" i="3"/>
  <c r="BA6" i="3"/>
  <c r="AZ6" i="3"/>
  <c r="AY6" i="3"/>
  <c r="BF6" i="3" s="1"/>
  <c r="AW6" i="3"/>
  <c r="AV6" i="3"/>
  <c r="AU6" i="3"/>
  <c r="AT6" i="3"/>
  <c r="AS6" i="3"/>
  <c r="AR6" i="3"/>
  <c r="AQ6" i="3"/>
  <c r="AX6" i="3" s="1"/>
  <c r="AO6" i="3"/>
  <c r="AN6" i="3"/>
  <c r="AM6" i="3"/>
  <c r="AL6" i="3"/>
  <c r="AK6" i="3"/>
  <c r="AJ6" i="3"/>
  <c r="AI6" i="3"/>
  <c r="AP6" i="3" s="1"/>
  <c r="AE6" i="3"/>
  <c r="AD6" i="3"/>
  <c r="AC6" i="3"/>
  <c r="AB6" i="3"/>
  <c r="AA6" i="3"/>
  <c r="AG6" i="3" s="1"/>
  <c r="AH6" i="3" s="1"/>
  <c r="BQ5" i="3"/>
  <c r="BP5" i="3"/>
  <c r="BO5" i="3"/>
  <c r="BN5" i="3"/>
  <c r="BM5" i="3"/>
  <c r="BL5" i="3"/>
  <c r="BK5" i="3"/>
  <c r="BJ5" i="3"/>
  <c r="BI5" i="3"/>
  <c r="BH5" i="3"/>
  <c r="BG5" i="3"/>
  <c r="BE5" i="3"/>
  <c r="BD5" i="3"/>
  <c r="BC5" i="3"/>
  <c r="BB5" i="3"/>
  <c r="BA5" i="3"/>
  <c r="AZ5" i="3"/>
  <c r="AY5" i="3"/>
  <c r="BF5" i="3" s="1"/>
  <c r="AW5" i="3"/>
  <c r="AV5" i="3"/>
  <c r="AU5" i="3"/>
  <c r="AT5" i="3"/>
  <c r="AS5" i="3"/>
  <c r="AR5" i="3"/>
  <c r="AQ5" i="3"/>
  <c r="AX5" i="3" s="1"/>
  <c r="AO5" i="3"/>
  <c r="AN5" i="3"/>
  <c r="AM5" i="3"/>
  <c r="AL5" i="3"/>
  <c r="AK5" i="3"/>
  <c r="AJ5" i="3"/>
  <c r="AI5" i="3"/>
  <c r="AP5" i="3" s="1"/>
  <c r="AE5" i="3"/>
  <c r="AD5" i="3"/>
  <c r="AC5" i="3"/>
  <c r="AB5" i="3"/>
  <c r="AA5" i="3"/>
  <c r="AG290" i="3" l="1"/>
  <c r="AH290" i="3" s="1"/>
  <c r="AG5" i="3"/>
  <c r="AH5" i="3" s="1"/>
  <c r="AG323" i="3"/>
  <c r="AH323" i="3" s="1"/>
  <c r="AG320" i="3"/>
  <c r="AH320" i="3" s="1"/>
  <c r="AG317" i="3"/>
  <c r="AH317" i="3" s="1"/>
  <c r="AG314" i="3"/>
  <c r="AH314" i="3" s="1"/>
  <c r="AG310" i="3"/>
  <c r="AH310" i="3" s="1"/>
  <c r="AG303" i="3"/>
  <c r="AH303" i="3" s="1"/>
  <c r="AG299" i="3"/>
  <c r="AH299" i="3" s="1"/>
  <c r="AG296" i="3"/>
  <c r="AH296" i="3" s="1"/>
  <c r="AG294" i="3"/>
  <c r="AH294" i="3" s="1"/>
  <c r="AG292" i="3"/>
  <c r="AH292" i="3" s="1"/>
  <c r="AG288" i="3"/>
  <c r="AH288" i="3" s="1"/>
  <c r="AG285" i="3"/>
  <c r="AH285" i="3" s="1"/>
  <c r="AG283" i="3"/>
  <c r="AH283" i="3" s="1"/>
  <c r="AG280" i="3"/>
  <c r="AH280" i="3" s="1"/>
  <c r="AG276" i="3"/>
  <c r="AH276" i="3" s="1"/>
  <c r="AG274" i="3"/>
  <c r="AH274" i="3" s="1"/>
  <c r="AG272" i="3"/>
  <c r="AH272" i="3" s="1"/>
  <c r="AG269" i="3"/>
  <c r="AH269" i="3" s="1"/>
  <c r="AG268" i="3"/>
  <c r="AH268" i="3" s="1"/>
  <c r="AG266" i="3"/>
  <c r="AH266" i="3" s="1"/>
  <c r="AG263" i="3"/>
  <c r="AH263" i="3" s="1"/>
  <c r="AG261" i="3"/>
  <c r="AH261" i="3" s="1"/>
  <c r="AG258" i="3"/>
  <c r="AH258" i="3" s="1"/>
  <c r="AG254" i="3"/>
  <c r="AH254" i="3" s="1"/>
  <c r="AG250" i="3"/>
  <c r="AH250" i="3" s="1"/>
  <c r="AG246" i="3"/>
  <c r="AH246" i="3" s="1"/>
  <c r="AG242" i="3"/>
  <c r="AH242" i="3" s="1"/>
  <c r="AG239" i="3"/>
  <c r="AH239" i="3" s="1"/>
  <c r="AG235" i="3"/>
  <c r="AH235" i="3" s="1"/>
  <c r="AG232" i="3"/>
  <c r="AH232" i="3" s="1"/>
  <c r="AG226" i="3"/>
  <c r="AH226" i="3" s="1"/>
  <c r="AG222" i="3"/>
  <c r="AH222" i="3" s="1"/>
  <c r="AG219" i="3"/>
  <c r="AH219" i="3" s="1"/>
  <c r="AG214" i="3"/>
  <c r="AH214" i="3" s="1"/>
  <c r="AG211" i="3"/>
  <c r="AH211" i="3" s="1"/>
  <c r="AG206" i="3"/>
  <c r="AH206" i="3" s="1"/>
  <c r="AG203" i="3"/>
  <c r="AH203" i="3" s="1"/>
  <c r="AG200" i="3"/>
  <c r="AH200" i="3" s="1"/>
  <c r="AG198" i="3"/>
  <c r="AH198" i="3" s="1"/>
  <c r="AG196" i="3"/>
  <c r="AH196" i="3" s="1"/>
  <c r="AG194" i="3"/>
  <c r="AH194" i="3" s="1"/>
  <c r="AG191" i="3"/>
  <c r="AH191" i="3" s="1"/>
  <c r="AG189" i="3"/>
  <c r="AH189" i="3" s="1"/>
  <c r="AG186" i="3"/>
  <c r="AH186" i="3" s="1"/>
  <c r="AG182" i="3"/>
  <c r="AH182" i="3" s="1"/>
  <c r="AG180" i="3"/>
  <c r="AH180" i="3" s="1"/>
  <c r="AG175" i="3"/>
  <c r="AH175" i="3" s="1"/>
  <c r="AG172" i="3"/>
  <c r="AH172" i="3" s="1"/>
  <c r="AG170" i="3"/>
  <c r="AH170" i="3" s="1"/>
  <c r="AG167" i="3"/>
  <c r="AH167" i="3" s="1"/>
  <c r="AG163" i="3"/>
  <c r="AH163" i="3" s="1"/>
  <c r="AG160" i="3"/>
  <c r="AH160" i="3" s="1"/>
  <c r="AG158" i="3"/>
  <c r="AH158" i="3" s="1"/>
  <c r="AG156" i="3"/>
  <c r="AH156" i="3" s="1"/>
  <c r="AG152" i="3"/>
  <c r="AH152" i="3" s="1"/>
  <c r="AG150" i="3"/>
  <c r="AH150" i="3" s="1"/>
  <c r="AG146" i="3"/>
  <c r="AH146" i="3" s="1"/>
  <c r="AG141" i="3"/>
  <c r="AH141" i="3" s="1"/>
  <c r="AG137" i="3"/>
  <c r="AH137" i="3" s="1"/>
  <c r="AG135" i="3"/>
  <c r="AH135" i="3" s="1"/>
  <c r="AG131" i="3"/>
  <c r="AH131" i="3" s="1"/>
  <c r="AG128" i="3"/>
  <c r="AH128" i="3" s="1"/>
  <c r="AG126" i="3"/>
  <c r="AH126" i="3" s="1"/>
  <c r="AG124" i="3"/>
  <c r="AH124" i="3" s="1"/>
  <c r="AG120" i="3"/>
  <c r="AH120" i="3" s="1"/>
  <c r="AG117" i="3"/>
  <c r="AH117" i="3" s="1"/>
  <c r="AG114" i="3"/>
  <c r="AH114" i="3" s="1"/>
  <c r="AG112" i="3"/>
  <c r="AH112" i="3" s="1"/>
  <c r="AG108" i="3"/>
  <c r="AH108" i="3" s="1"/>
  <c r="AG105" i="3"/>
  <c r="AH105" i="3" s="1"/>
  <c r="AG102" i="3"/>
  <c r="AH102" i="3" s="1"/>
  <c r="AG100" i="3"/>
  <c r="AH100" i="3" s="1"/>
  <c r="AG97" i="3"/>
  <c r="AH97" i="3" s="1"/>
  <c r="AG94" i="3"/>
  <c r="AH94" i="3" s="1"/>
  <c r="AG91" i="3"/>
  <c r="AH91" i="3" s="1"/>
  <c r="AG88" i="3"/>
  <c r="AH88" i="3" s="1"/>
  <c r="AG85" i="3"/>
  <c r="AH85" i="3" s="1"/>
  <c r="AG82" i="3"/>
  <c r="AH82" i="3" s="1"/>
  <c r="AG78" i="3"/>
  <c r="AH78" i="3" s="1"/>
  <c r="AG73" i="3"/>
  <c r="AH73" i="3" s="1"/>
  <c r="AG70" i="3"/>
  <c r="AH70" i="3" s="1"/>
  <c r="AG67" i="3"/>
  <c r="AH67" i="3" s="1"/>
  <c r="AG65" i="3"/>
  <c r="AH65" i="3" s="1"/>
  <c r="AG62" i="3"/>
  <c r="AH62" i="3" s="1"/>
  <c r="AG321" i="3"/>
  <c r="AH321" i="3" s="1"/>
  <c r="AG318" i="3"/>
  <c r="AH318" i="3" s="1"/>
  <c r="AG315" i="3"/>
  <c r="AH315" i="3" s="1"/>
  <c r="AG313" i="3"/>
  <c r="AH313" i="3" s="1"/>
  <c r="AG311" i="3"/>
  <c r="AH311" i="3" s="1"/>
  <c r="AG308" i="3"/>
  <c r="AH308" i="3" s="1"/>
  <c r="AG306" i="3"/>
  <c r="AH306" i="3" s="1"/>
  <c r="AG305" i="3"/>
  <c r="AH305" i="3" s="1"/>
  <c r="AG304" i="3"/>
  <c r="AH304" i="3" s="1"/>
  <c r="AG302" i="3"/>
  <c r="AH302" i="3" s="1"/>
  <c r="AG300" i="3"/>
  <c r="AH300" i="3" s="1"/>
  <c r="AG297" i="3"/>
  <c r="AH297" i="3" s="1"/>
  <c r="AG293" i="3"/>
  <c r="AH293" i="3" s="1"/>
  <c r="AG291" i="3"/>
  <c r="AH291" i="3" s="1"/>
  <c r="AG287" i="3"/>
  <c r="AH287" i="3" s="1"/>
  <c r="AG284" i="3"/>
  <c r="AH284" i="3" s="1"/>
  <c r="AG282" i="3"/>
  <c r="AH282" i="3" s="1"/>
  <c r="AG279" i="3"/>
  <c r="AH279" i="3" s="1"/>
  <c r="AG277" i="3"/>
  <c r="AH277" i="3" s="1"/>
  <c r="AG273" i="3"/>
  <c r="AH273" i="3" s="1"/>
  <c r="AG270" i="3"/>
  <c r="AH270" i="3" s="1"/>
  <c r="AG265" i="3"/>
  <c r="AH265" i="3" s="1"/>
  <c r="AG259" i="3"/>
  <c r="AH259" i="3" s="1"/>
  <c r="AG256" i="3"/>
  <c r="AH256" i="3" s="1"/>
  <c r="AG253" i="3"/>
  <c r="AH253" i="3" s="1"/>
  <c r="AG251" i="3"/>
  <c r="AH251" i="3" s="1"/>
  <c r="AG249" i="3"/>
  <c r="AH249" i="3" s="1"/>
  <c r="AG247" i="3"/>
  <c r="AH247" i="3" s="1"/>
  <c r="AG244" i="3"/>
  <c r="AH244" i="3" s="1"/>
  <c r="AG241" i="3"/>
  <c r="AH241" i="3" s="1"/>
  <c r="AG238" i="3"/>
  <c r="AH238" i="3" s="1"/>
  <c r="AG236" i="3"/>
  <c r="AH236" i="3" s="1"/>
  <c r="AG234" i="3"/>
  <c r="AH234" i="3" s="1"/>
  <c r="AG231" i="3"/>
  <c r="AH231" i="3" s="1"/>
  <c r="AG229" i="3"/>
  <c r="AH229" i="3" s="1"/>
  <c r="AG227" i="3"/>
  <c r="AH227" i="3" s="1"/>
  <c r="AG224" i="3"/>
  <c r="AH224" i="3" s="1"/>
  <c r="AG223" i="3"/>
  <c r="AH223" i="3" s="1"/>
  <c r="AG220" i="3"/>
  <c r="AH220" i="3" s="1"/>
  <c r="AG217" i="3"/>
  <c r="AH217" i="3" s="1"/>
  <c r="AG215" i="3"/>
  <c r="AH215" i="3" s="1"/>
  <c r="AG212" i="3"/>
  <c r="AH212" i="3" s="1"/>
  <c r="AG209" i="3"/>
  <c r="AH209" i="3" s="1"/>
  <c r="AG208" i="3"/>
  <c r="AH208" i="3" s="1"/>
  <c r="AG204" i="3"/>
  <c r="AH204" i="3" s="1"/>
  <c r="AG201" i="3"/>
  <c r="AH201" i="3" s="1"/>
  <c r="AG199" i="3"/>
  <c r="AH199" i="3" s="1"/>
  <c r="AG197" i="3"/>
  <c r="AH197" i="3" s="1"/>
  <c r="AG192" i="3"/>
  <c r="AH192" i="3" s="1"/>
  <c r="AG187" i="3"/>
  <c r="AH187" i="3" s="1"/>
  <c r="AG185" i="3"/>
  <c r="AH185" i="3" s="1"/>
  <c r="AG183" i="3"/>
  <c r="AH183" i="3" s="1"/>
  <c r="AG178" i="3"/>
  <c r="AH178" i="3" s="1"/>
  <c r="AG177" i="3"/>
  <c r="AH177" i="3" s="1"/>
  <c r="AG174" i="3"/>
  <c r="AH174" i="3" s="1"/>
  <c r="AG171" i="3"/>
  <c r="AH171" i="3" s="1"/>
  <c r="AG168" i="3"/>
  <c r="AH168" i="3" s="1"/>
  <c r="AG165" i="3"/>
  <c r="AH165" i="3" s="1"/>
  <c r="AG162" i="3"/>
  <c r="AH162" i="3" s="1"/>
  <c r="AG157" i="3"/>
  <c r="AH157" i="3" s="1"/>
  <c r="AG155" i="3"/>
  <c r="AH155" i="3" s="1"/>
  <c r="AG153" i="3"/>
  <c r="AH153" i="3" s="1"/>
  <c r="AG149" i="3"/>
  <c r="AH149" i="3" s="1"/>
  <c r="AG147" i="3"/>
  <c r="AH147" i="3" s="1"/>
  <c r="AG144" i="3"/>
  <c r="AH144" i="3" s="1"/>
  <c r="AG142" i="3"/>
  <c r="AH142" i="3" s="1"/>
  <c r="AG139" i="3"/>
  <c r="AH139" i="3" s="1"/>
  <c r="AG134" i="3"/>
  <c r="AH134" i="3" s="1"/>
  <c r="AG132" i="3"/>
  <c r="AH132" i="3" s="1"/>
  <c r="AG130" i="3"/>
  <c r="AH130" i="3" s="1"/>
  <c r="AG127" i="3"/>
  <c r="AH127" i="3" s="1"/>
  <c r="AG122" i="3"/>
  <c r="AH122" i="3" s="1"/>
  <c r="AG119" i="3"/>
  <c r="AH119" i="3" s="1"/>
  <c r="AG116" i="3"/>
  <c r="AH116" i="3" s="1"/>
  <c r="AG111" i="3"/>
  <c r="AH111" i="3" s="1"/>
  <c r="AG109" i="3"/>
  <c r="AH109" i="3" s="1"/>
  <c r="AG107" i="3"/>
  <c r="AH107" i="3" s="1"/>
  <c r="AG104" i="3"/>
  <c r="AH104" i="3" s="1"/>
  <c r="AG101" i="3"/>
  <c r="AH101" i="3" s="1"/>
  <c r="AG98" i="3"/>
  <c r="AH98" i="3" s="1"/>
  <c r="AG95" i="3"/>
  <c r="AH95" i="3" s="1"/>
  <c r="AG92" i="3"/>
  <c r="AH92" i="3" s="1"/>
  <c r="AG89" i="3"/>
  <c r="AH89" i="3" s="1"/>
  <c r="AG86" i="3"/>
  <c r="AH86" i="3" s="1"/>
  <c r="AG83" i="3"/>
  <c r="AH83" i="3" s="1"/>
  <c r="AG80" i="3"/>
  <c r="AH80" i="3" s="1"/>
  <c r="AG76" i="3"/>
  <c r="AH76" i="3" s="1"/>
  <c r="AG74" i="3"/>
  <c r="AH74" i="3" s="1"/>
  <c r="AG71" i="3"/>
  <c r="AH71" i="3" s="1"/>
  <c r="AG68" i="3"/>
  <c r="AH68" i="3" s="1"/>
  <c r="AG66" i="3"/>
  <c r="AH66" i="3" s="1"/>
  <c r="AG63" i="3"/>
  <c r="AH63" i="3" s="1"/>
  <c r="AG322" i="3"/>
  <c r="AH322" i="3" s="1"/>
  <c r="AG319" i="3"/>
  <c r="AH319" i="3" s="1"/>
  <c r="AG316" i="3"/>
  <c r="AH316" i="3" s="1"/>
  <c r="AG312" i="3"/>
  <c r="AH312" i="3" s="1"/>
  <c r="AG309" i="3"/>
  <c r="AH309" i="3" s="1"/>
  <c r="AG307" i="3"/>
  <c r="AH307" i="3" s="1"/>
  <c r="AG301" i="3"/>
  <c r="AH301" i="3" s="1"/>
  <c r="AG298" i="3"/>
  <c r="AH298" i="3" s="1"/>
  <c r="AG295" i="3"/>
  <c r="AH295" i="3" s="1"/>
  <c r="AG289" i="3"/>
  <c r="AH289" i="3" s="1"/>
  <c r="AG286" i="3"/>
  <c r="AH286" i="3" s="1"/>
  <c r="AG281" i="3"/>
  <c r="AH281" i="3" s="1"/>
  <c r="AG278" i="3"/>
  <c r="AH278" i="3" s="1"/>
  <c r="AG275" i="3"/>
  <c r="AH275" i="3" s="1"/>
  <c r="AG271" i="3"/>
  <c r="AH271" i="3" s="1"/>
  <c r="AG267" i="3"/>
  <c r="AH267" i="3" s="1"/>
  <c r="AG264" i="3"/>
  <c r="AH264" i="3" s="1"/>
  <c r="AG262" i="3"/>
  <c r="AH262" i="3" s="1"/>
  <c r="AG260" i="3"/>
  <c r="AH260" i="3" s="1"/>
  <c r="AG257" i="3"/>
  <c r="AH257" i="3" s="1"/>
  <c r="AG255" i="3"/>
  <c r="AH255" i="3" s="1"/>
  <c r="AG252" i="3"/>
  <c r="AH252" i="3" s="1"/>
  <c r="AG248" i="3"/>
  <c r="AH248" i="3" s="1"/>
  <c r="AG245" i="3"/>
  <c r="AH245" i="3" s="1"/>
  <c r="AG243" i="3"/>
  <c r="AH243" i="3" s="1"/>
  <c r="AG240" i="3"/>
  <c r="AH240" i="3" s="1"/>
  <c r="AG237" i="3"/>
  <c r="AH237" i="3" s="1"/>
  <c r="AG233" i="3"/>
  <c r="AH233" i="3" s="1"/>
  <c r="AG230" i="3"/>
  <c r="AH230" i="3" s="1"/>
  <c r="AG228" i="3"/>
  <c r="AH228" i="3" s="1"/>
  <c r="AG225" i="3"/>
  <c r="AH225" i="3" s="1"/>
  <c r="AG221" i="3"/>
  <c r="AH221" i="3" s="1"/>
  <c r="AG218" i="3"/>
  <c r="AH218" i="3" s="1"/>
  <c r="AG216" i="3"/>
  <c r="AH216" i="3" s="1"/>
  <c r="AG213" i="3"/>
  <c r="AH213" i="3" s="1"/>
  <c r="AG210" i="3"/>
  <c r="AH210" i="3" s="1"/>
  <c r="AG207" i="3"/>
  <c r="AH207" i="3" s="1"/>
  <c r="AG205" i="3"/>
  <c r="AH205" i="3" s="1"/>
  <c r="AG202" i="3"/>
  <c r="AH202" i="3" s="1"/>
  <c r="AG195" i="3"/>
  <c r="AH195" i="3" s="1"/>
  <c r="AG193" i="3"/>
  <c r="AH193" i="3" s="1"/>
  <c r="AG190" i="3"/>
  <c r="AH190" i="3" s="1"/>
  <c r="AG188" i="3"/>
  <c r="AH188" i="3" s="1"/>
  <c r="AG184" i="3"/>
  <c r="AH184" i="3" s="1"/>
  <c r="AG181" i="3"/>
  <c r="AH181" i="3" s="1"/>
  <c r="AG179" i="3"/>
  <c r="AH179" i="3" s="1"/>
  <c r="AG176" i="3"/>
  <c r="AH176" i="3" s="1"/>
  <c r="AG173" i="3"/>
  <c r="AH173" i="3" s="1"/>
  <c r="AG169" i="3"/>
  <c r="AH169" i="3" s="1"/>
  <c r="AG166" i="3"/>
  <c r="AH166" i="3" s="1"/>
  <c r="AG164" i="3"/>
  <c r="AH164" i="3" s="1"/>
  <c r="AG161" i="3"/>
  <c r="AH161" i="3" s="1"/>
  <c r="AG159" i="3"/>
  <c r="AH159" i="3" s="1"/>
  <c r="AG154" i="3"/>
  <c r="AH154" i="3" s="1"/>
  <c r="AG151" i="3"/>
  <c r="AH151" i="3" s="1"/>
  <c r="AG148" i="3"/>
  <c r="AH148" i="3" s="1"/>
  <c r="AG145" i="3"/>
  <c r="AH145" i="3" s="1"/>
  <c r="AG143" i="3"/>
  <c r="AH143" i="3" s="1"/>
  <c r="AG140" i="3"/>
  <c r="AH140" i="3" s="1"/>
  <c r="AG138" i="3"/>
  <c r="AH138" i="3" s="1"/>
  <c r="AG136" i="3"/>
  <c r="AH136" i="3" s="1"/>
  <c r="AG133" i="3"/>
  <c r="AH133" i="3" s="1"/>
  <c r="AG129" i="3"/>
  <c r="AH129" i="3" s="1"/>
  <c r="AG125" i="3"/>
  <c r="AH125" i="3" s="1"/>
  <c r="AG123" i="3"/>
  <c r="AH123" i="3" s="1"/>
  <c r="AG121" i="3"/>
  <c r="AH121" i="3" s="1"/>
  <c r="AG118" i="3"/>
  <c r="AH118" i="3" s="1"/>
  <c r="AG115" i="3"/>
  <c r="AH115" i="3" s="1"/>
  <c r="AG113" i="3"/>
  <c r="AH113" i="3" s="1"/>
  <c r="AG110" i="3"/>
  <c r="AH110" i="3" s="1"/>
  <c r="AG106" i="3"/>
  <c r="AH106" i="3" s="1"/>
  <c r="AG103" i="3"/>
  <c r="AH103" i="3" s="1"/>
  <c r="AG99" i="3"/>
  <c r="AH99" i="3" s="1"/>
  <c r="AG96" i="3"/>
  <c r="AH96" i="3" s="1"/>
  <c r="AG93" i="3"/>
  <c r="AH93" i="3" s="1"/>
  <c r="AG90" i="3"/>
  <c r="AH90" i="3" s="1"/>
  <c r="AG87" i="3"/>
  <c r="AH87" i="3" s="1"/>
  <c r="AG84" i="3"/>
  <c r="AH84" i="3" s="1"/>
  <c r="AG81" i="3"/>
  <c r="AH81" i="3" s="1"/>
  <c r="AG79" i="3"/>
  <c r="AH79" i="3" s="1"/>
  <c r="AG77" i="3"/>
  <c r="AH77" i="3" s="1"/>
  <c r="AG75" i="3"/>
  <c r="AH75" i="3" s="1"/>
  <c r="AG72" i="3"/>
  <c r="AH72" i="3" s="1"/>
  <c r="AG69" i="3"/>
  <c r="AH69" i="3" s="1"/>
  <c r="AG64" i="3"/>
  <c r="AH64" i="3" s="1"/>
  <c r="Y6" i="3" l="1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1" i="3"/>
  <c r="Y42" i="3"/>
  <c r="Y43" i="3"/>
  <c r="Y44" i="3"/>
  <c r="Y45" i="3"/>
  <c r="Y46" i="3"/>
  <c r="Y47" i="3"/>
  <c r="Y48" i="3"/>
  <c r="Y49" i="3"/>
  <c r="Y50" i="3"/>
  <c r="Y51" i="3"/>
  <c r="Y52" i="3"/>
  <c r="Y53" i="3"/>
  <c r="Y54" i="3"/>
  <c r="Y55" i="3"/>
  <c r="Y95" i="3"/>
  <c r="Y96" i="3"/>
  <c r="Y98" i="3"/>
  <c r="Y101" i="3"/>
  <c r="Y104" i="3"/>
  <c r="Y105" i="3"/>
  <c r="Y106" i="3"/>
  <c r="Y107" i="3"/>
  <c r="Y108" i="3"/>
  <c r="Y109" i="3"/>
  <c r="Y62" i="3"/>
  <c r="Y64" i="3"/>
  <c r="Y65" i="3"/>
  <c r="Y66" i="3"/>
  <c r="Y67" i="3"/>
  <c r="Y72" i="3"/>
  <c r="Y74" i="3"/>
  <c r="Y76" i="3"/>
  <c r="Y77" i="3"/>
  <c r="Y78" i="3"/>
  <c r="Y79" i="3"/>
  <c r="Y81" i="3"/>
  <c r="Y82" i="3"/>
  <c r="Y83" i="3"/>
  <c r="Y84" i="3"/>
  <c r="Y85" i="3"/>
  <c r="Y86" i="3"/>
  <c r="Y87" i="3"/>
  <c r="Y88" i="3"/>
  <c r="Y89" i="3"/>
  <c r="Y90" i="3"/>
  <c r="Y91" i="3"/>
  <c r="Y92" i="3"/>
  <c r="Y93" i="3"/>
  <c r="Y94" i="3"/>
  <c r="Y97" i="3"/>
  <c r="Y99" i="3"/>
  <c r="Y100" i="3"/>
  <c r="Y102" i="3"/>
  <c r="Y103" i="3"/>
  <c r="Y110" i="3"/>
  <c r="Y111" i="3"/>
  <c r="Y112" i="3"/>
  <c r="Y116" i="3"/>
  <c r="Y117" i="3"/>
  <c r="Y118" i="3"/>
  <c r="Y120" i="3"/>
  <c r="Y121" i="3"/>
  <c r="Y124" i="3"/>
  <c r="Y113" i="3"/>
  <c r="Y114" i="3"/>
  <c r="Y115" i="3"/>
  <c r="Y119" i="3"/>
  <c r="Y122" i="3"/>
  <c r="Y123" i="3"/>
  <c r="Y56" i="3"/>
  <c r="Y57" i="3"/>
  <c r="Y58" i="3"/>
  <c r="Y59" i="3"/>
  <c r="Y60" i="3"/>
  <c r="Y61" i="3"/>
  <c r="Y63" i="3"/>
  <c r="Y68" i="3"/>
  <c r="Y69" i="3"/>
  <c r="Y70" i="3"/>
  <c r="Y71" i="3"/>
  <c r="Y73" i="3"/>
  <c r="Y75" i="3"/>
  <c r="Y80" i="3"/>
  <c r="Y5" i="3"/>
  <c r="Z6" i="3" l="1"/>
  <c r="A6" i="3"/>
  <c r="B6" i="3"/>
  <c r="Z7" i="3"/>
  <c r="A7" i="3"/>
  <c r="B7" i="3"/>
  <c r="Z8" i="3"/>
  <c r="A8" i="3"/>
  <c r="B8" i="3"/>
  <c r="Z9" i="3"/>
  <c r="A9" i="3"/>
  <c r="B9" i="3"/>
  <c r="Z10" i="3"/>
  <c r="A10" i="3"/>
  <c r="B10" i="3"/>
  <c r="Z11" i="3"/>
  <c r="A11" i="3"/>
  <c r="B11" i="3"/>
  <c r="Z12" i="3"/>
  <c r="A12" i="3"/>
  <c r="B12" i="3"/>
  <c r="Z13" i="3"/>
  <c r="A13" i="3"/>
  <c r="B13" i="3"/>
  <c r="Z14" i="3"/>
  <c r="A14" i="3"/>
  <c r="B14" i="3"/>
  <c r="Z15" i="3"/>
  <c r="A15" i="3"/>
  <c r="B15" i="3"/>
  <c r="Z16" i="3"/>
  <c r="A16" i="3"/>
  <c r="B16" i="3"/>
  <c r="Z17" i="3"/>
  <c r="A17" i="3"/>
  <c r="B17" i="3"/>
  <c r="Z18" i="3"/>
  <c r="A18" i="3"/>
  <c r="B18" i="3"/>
  <c r="Z19" i="3"/>
  <c r="A19" i="3"/>
  <c r="B19" i="3"/>
  <c r="Z20" i="3"/>
  <c r="A20" i="3"/>
  <c r="B20" i="3"/>
  <c r="Z21" i="3"/>
  <c r="A21" i="3"/>
  <c r="B21" i="3"/>
  <c r="Z22" i="3"/>
  <c r="A22" i="3"/>
  <c r="B22" i="3"/>
  <c r="Z23" i="3"/>
  <c r="A23" i="3"/>
  <c r="B23" i="3"/>
  <c r="Z24" i="3"/>
  <c r="A24" i="3"/>
  <c r="B24" i="3"/>
  <c r="Z25" i="3"/>
  <c r="A25" i="3"/>
  <c r="B25" i="3"/>
  <c r="Z26" i="3"/>
  <c r="A26" i="3"/>
  <c r="B26" i="3"/>
  <c r="Z27" i="3"/>
  <c r="A27" i="3"/>
  <c r="B27" i="3"/>
  <c r="Z28" i="3"/>
  <c r="A28" i="3"/>
  <c r="B28" i="3"/>
  <c r="Z29" i="3"/>
  <c r="A29" i="3"/>
  <c r="B29" i="3"/>
  <c r="Z30" i="3"/>
  <c r="A30" i="3"/>
  <c r="B30" i="3"/>
  <c r="Z31" i="3"/>
  <c r="A31" i="3"/>
  <c r="B31" i="3"/>
  <c r="Z32" i="3"/>
  <c r="A32" i="3"/>
  <c r="B32" i="3"/>
  <c r="Z33" i="3"/>
  <c r="A33" i="3"/>
  <c r="B33" i="3"/>
  <c r="Z34" i="3"/>
  <c r="A34" i="3"/>
  <c r="B34" i="3"/>
  <c r="Z35" i="3"/>
  <c r="A35" i="3"/>
  <c r="B35" i="3"/>
  <c r="Z36" i="3"/>
  <c r="A36" i="3"/>
  <c r="B36" i="3"/>
  <c r="Z37" i="3"/>
  <c r="A37" i="3"/>
  <c r="B37" i="3"/>
  <c r="Z38" i="3"/>
  <c r="A38" i="3"/>
  <c r="B38" i="3"/>
  <c r="Z39" i="3"/>
  <c r="A39" i="3"/>
  <c r="B39" i="3"/>
  <c r="Z40" i="3"/>
  <c r="A40" i="3"/>
  <c r="B40" i="3"/>
  <c r="Z41" i="3"/>
  <c r="A41" i="3"/>
  <c r="B41" i="3"/>
  <c r="Z42" i="3"/>
  <c r="A42" i="3"/>
  <c r="B42" i="3"/>
  <c r="Z43" i="3"/>
  <c r="A43" i="3"/>
  <c r="B43" i="3"/>
  <c r="Z44" i="3"/>
  <c r="A44" i="3"/>
  <c r="B44" i="3"/>
  <c r="Z45" i="3"/>
  <c r="A45" i="3"/>
  <c r="B45" i="3"/>
  <c r="Z46" i="3"/>
  <c r="A46" i="3"/>
  <c r="B46" i="3"/>
  <c r="Z47" i="3"/>
  <c r="A47" i="3"/>
  <c r="B47" i="3"/>
  <c r="Z48" i="3"/>
  <c r="A48" i="3"/>
  <c r="B48" i="3"/>
  <c r="Z49" i="3"/>
  <c r="A49" i="3"/>
  <c r="B49" i="3"/>
  <c r="Z50" i="3"/>
  <c r="A50" i="3"/>
  <c r="B50" i="3"/>
  <c r="Z51" i="3"/>
  <c r="A51" i="3"/>
  <c r="B51" i="3"/>
  <c r="Z52" i="3"/>
  <c r="A52" i="3"/>
  <c r="B52" i="3"/>
  <c r="Z53" i="3"/>
  <c r="A53" i="3"/>
  <c r="B53" i="3"/>
  <c r="Z54" i="3"/>
  <c r="A54" i="3"/>
  <c r="B54" i="3"/>
  <c r="Z55" i="3"/>
  <c r="B55" i="3"/>
  <c r="A55" i="3"/>
  <c r="Z95" i="3"/>
  <c r="A95" i="3"/>
  <c r="B95" i="3"/>
  <c r="Z96" i="3"/>
  <c r="B96" i="3"/>
  <c r="A96" i="3"/>
  <c r="A98" i="3"/>
  <c r="Z98" i="3"/>
  <c r="B98" i="3"/>
  <c r="A101" i="3"/>
  <c r="Z101" i="3"/>
  <c r="B101" i="3"/>
  <c r="A104" i="3"/>
  <c r="Z104" i="3"/>
  <c r="B104" i="3"/>
  <c r="B105" i="3"/>
  <c r="Z105" i="3"/>
  <c r="A105" i="3"/>
  <c r="Z106" i="3"/>
  <c r="A106" i="3"/>
  <c r="B106" i="3"/>
  <c r="A107" i="3"/>
  <c r="Z107" i="3"/>
  <c r="B107" i="3"/>
  <c r="Z108" i="3"/>
  <c r="B108" i="3"/>
  <c r="A108" i="3"/>
  <c r="Z109" i="3"/>
  <c r="A109" i="3"/>
  <c r="B109" i="3"/>
  <c r="A62" i="3"/>
  <c r="Z62" i="3"/>
  <c r="B62" i="3"/>
  <c r="Z64" i="3"/>
  <c r="A64" i="3"/>
  <c r="B64" i="3"/>
  <c r="Z65" i="3"/>
  <c r="A65" i="3"/>
  <c r="B65" i="3"/>
  <c r="B66" i="3"/>
  <c r="Z66" i="3"/>
  <c r="A66" i="3"/>
  <c r="Z67" i="3"/>
  <c r="B67" i="3"/>
  <c r="A67" i="3"/>
  <c r="Z72" i="3"/>
  <c r="A72" i="3"/>
  <c r="B72" i="3"/>
  <c r="Z74" i="3"/>
  <c r="A74" i="3"/>
  <c r="B74" i="3"/>
  <c r="Z76" i="3"/>
  <c r="B76" i="3"/>
  <c r="A76" i="3"/>
  <c r="Z77" i="3"/>
  <c r="A77" i="3"/>
  <c r="B77" i="3"/>
  <c r="A78" i="3"/>
  <c r="Z78" i="3"/>
  <c r="B78" i="3"/>
  <c r="A79" i="3"/>
  <c r="Z79" i="3"/>
  <c r="B79" i="3"/>
  <c r="Z81" i="3"/>
  <c r="A81" i="3"/>
  <c r="B81" i="3"/>
  <c r="Z82" i="3"/>
  <c r="A82" i="3"/>
  <c r="B82" i="3"/>
  <c r="Z83" i="3"/>
  <c r="A83" i="3"/>
  <c r="B83" i="3"/>
  <c r="Z84" i="3"/>
  <c r="A84" i="3"/>
  <c r="B84" i="3"/>
  <c r="Z85" i="3"/>
  <c r="A85" i="3"/>
  <c r="B85" i="3"/>
  <c r="Z86" i="3"/>
  <c r="A86" i="3"/>
  <c r="B86" i="3"/>
  <c r="Z87" i="3"/>
  <c r="A87" i="3"/>
  <c r="B87" i="3"/>
  <c r="Z88" i="3"/>
  <c r="A88" i="3"/>
  <c r="B88" i="3"/>
  <c r="Z89" i="3"/>
  <c r="A89" i="3"/>
  <c r="B89" i="3"/>
  <c r="Z90" i="3"/>
  <c r="A90" i="3"/>
  <c r="B90" i="3"/>
  <c r="Z91" i="3"/>
  <c r="A91" i="3"/>
  <c r="B91" i="3"/>
  <c r="Z92" i="3"/>
  <c r="A92" i="3"/>
  <c r="B92" i="3"/>
  <c r="Z93" i="3"/>
  <c r="A93" i="3"/>
  <c r="B93" i="3"/>
  <c r="Z94" i="3"/>
  <c r="A94" i="3"/>
  <c r="B94" i="3"/>
  <c r="B97" i="3"/>
  <c r="Z97" i="3"/>
  <c r="A97" i="3"/>
  <c r="B99" i="3"/>
  <c r="Z99" i="3"/>
  <c r="A99" i="3"/>
  <c r="A100" i="3"/>
  <c r="Z100" i="3"/>
  <c r="B100" i="3"/>
  <c r="A102" i="3"/>
  <c r="Z102" i="3"/>
  <c r="B102" i="3"/>
  <c r="Z103" i="3"/>
  <c r="A103" i="3"/>
  <c r="B103" i="3"/>
  <c r="Z110" i="3"/>
  <c r="B110" i="3"/>
  <c r="A110" i="3"/>
  <c r="Z111" i="3"/>
  <c r="A111" i="3"/>
  <c r="B111" i="3"/>
  <c r="Z112" i="3"/>
  <c r="A112" i="3"/>
  <c r="B112" i="3"/>
  <c r="Z116" i="3"/>
  <c r="A116" i="3"/>
  <c r="B116" i="3"/>
  <c r="Z117" i="3"/>
  <c r="A117" i="3"/>
  <c r="B117" i="3"/>
  <c r="Z118" i="3"/>
  <c r="B118" i="3"/>
  <c r="A118" i="3"/>
  <c r="B120" i="3"/>
  <c r="Z120" i="3"/>
  <c r="A120" i="3"/>
  <c r="Z121" i="3"/>
  <c r="B121" i="3"/>
  <c r="A121" i="3"/>
  <c r="A124" i="3"/>
  <c r="B124" i="3"/>
  <c r="Z124" i="3"/>
  <c r="Z113" i="3"/>
  <c r="A113" i="3"/>
  <c r="B113" i="3"/>
  <c r="Z114" i="3"/>
  <c r="A114" i="3"/>
  <c r="B114" i="3"/>
  <c r="Z115" i="3"/>
  <c r="A115" i="3"/>
  <c r="B115" i="3"/>
  <c r="B119" i="3"/>
  <c r="Z119" i="3"/>
  <c r="A119" i="3"/>
  <c r="B122" i="3"/>
  <c r="Z122" i="3"/>
  <c r="A122" i="3"/>
  <c r="A123" i="3"/>
  <c r="B123" i="3"/>
  <c r="Z123" i="3"/>
  <c r="Z56" i="3"/>
  <c r="A56" i="3"/>
  <c r="B56" i="3"/>
  <c r="Z57" i="3"/>
  <c r="B57" i="3"/>
  <c r="A57" i="3"/>
  <c r="Z58" i="3"/>
  <c r="A58" i="3"/>
  <c r="B58" i="3"/>
  <c r="Z59" i="3"/>
  <c r="A59" i="3"/>
  <c r="B59" i="3"/>
  <c r="Z60" i="3"/>
  <c r="A60" i="3"/>
  <c r="B60" i="3"/>
  <c r="B61" i="3"/>
  <c r="Z61" i="3"/>
  <c r="A61" i="3"/>
  <c r="Z63" i="3"/>
  <c r="A63" i="3"/>
  <c r="B63" i="3"/>
  <c r="B68" i="3"/>
  <c r="Z68" i="3"/>
  <c r="A68" i="3"/>
  <c r="Z69" i="3"/>
  <c r="A69" i="3"/>
  <c r="B69" i="3"/>
  <c r="Z70" i="3"/>
  <c r="A70" i="3"/>
  <c r="B70" i="3"/>
  <c r="Z71" i="3"/>
  <c r="B71" i="3"/>
  <c r="A71" i="3"/>
  <c r="Z73" i="3"/>
  <c r="B73" i="3"/>
  <c r="A73" i="3"/>
  <c r="Z75" i="3"/>
  <c r="B75" i="3"/>
  <c r="A75" i="3"/>
  <c r="Z80" i="3"/>
  <c r="A80" i="3"/>
  <c r="B80" i="3"/>
  <c r="Z5" i="3"/>
  <c r="A5" i="3"/>
  <c r="B5" i="3"/>
  <c r="E6" i="3" l="1"/>
  <c r="F6" i="3"/>
  <c r="G6" i="3"/>
  <c r="H6" i="3"/>
  <c r="I6" i="3"/>
  <c r="J6" i="3"/>
  <c r="K6" i="3"/>
  <c r="L6" i="3"/>
  <c r="M6" i="3"/>
  <c r="N6" i="3"/>
  <c r="O6" i="3"/>
  <c r="P6" i="3"/>
  <c r="Q6" i="3"/>
  <c r="R6" i="3"/>
  <c r="U6" i="3"/>
  <c r="W6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U7" i="3"/>
  <c r="W7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U8" i="3"/>
  <c r="W8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U9" i="3"/>
  <c r="W9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U10" i="3"/>
  <c r="W10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U11" i="3"/>
  <c r="W11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U12" i="3"/>
  <c r="W12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U13" i="3"/>
  <c r="W13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U14" i="3"/>
  <c r="W14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U15" i="3"/>
  <c r="W15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U16" i="3"/>
  <c r="W16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U17" i="3"/>
  <c r="W17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U18" i="3"/>
  <c r="W18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U19" i="3"/>
  <c r="W19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U20" i="3"/>
  <c r="W20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U21" i="3"/>
  <c r="W21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U22" i="3"/>
  <c r="W22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U23" i="3"/>
  <c r="W23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U24" i="3"/>
  <c r="W24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U25" i="3"/>
  <c r="W25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U26" i="3"/>
  <c r="W26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U27" i="3"/>
  <c r="W27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U28" i="3"/>
  <c r="W28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U29" i="3"/>
  <c r="W29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U30" i="3"/>
  <c r="W30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U31" i="3"/>
  <c r="W31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U32" i="3"/>
  <c r="W32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U33" i="3"/>
  <c r="W33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U34" i="3"/>
  <c r="W34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U35" i="3"/>
  <c r="W35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U36" i="3"/>
  <c r="W36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U37" i="3"/>
  <c r="W37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U38" i="3"/>
  <c r="W38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U39" i="3"/>
  <c r="W39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U40" i="3"/>
  <c r="W40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U41" i="3"/>
  <c r="W41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U42" i="3"/>
  <c r="W42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U43" i="3"/>
  <c r="W43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U44" i="3"/>
  <c r="W44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R45" i="3"/>
  <c r="U45" i="3"/>
  <c r="W45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R46" i="3"/>
  <c r="U46" i="3"/>
  <c r="W46" i="3"/>
  <c r="E47" i="3"/>
  <c r="F47" i="3"/>
  <c r="G47" i="3"/>
  <c r="H47" i="3"/>
  <c r="I47" i="3"/>
  <c r="J47" i="3"/>
  <c r="K47" i="3"/>
  <c r="L47" i="3"/>
  <c r="M47" i="3"/>
  <c r="N47" i="3"/>
  <c r="O47" i="3"/>
  <c r="P47" i="3"/>
  <c r="Q47" i="3"/>
  <c r="R47" i="3"/>
  <c r="U47" i="3"/>
  <c r="W47" i="3"/>
  <c r="E48" i="3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U48" i="3"/>
  <c r="W48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U49" i="3"/>
  <c r="W49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U50" i="3"/>
  <c r="W50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U51" i="3"/>
  <c r="W51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U52" i="3"/>
  <c r="W52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U53" i="3"/>
  <c r="W53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U54" i="3"/>
  <c r="W54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U55" i="3"/>
  <c r="W55" i="3"/>
  <c r="G95" i="3"/>
  <c r="H95" i="3"/>
  <c r="J95" i="3"/>
  <c r="L95" i="3"/>
  <c r="N95" i="3"/>
  <c r="P95" i="3"/>
  <c r="E95" i="3"/>
  <c r="F95" i="3"/>
  <c r="I95" i="3"/>
  <c r="K95" i="3"/>
  <c r="M95" i="3"/>
  <c r="O95" i="3"/>
  <c r="Q95" i="3"/>
  <c r="R95" i="3"/>
  <c r="U95" i="3"/>
  <c r="W95" i="3"/>
  <c r="E96" i="3"/>
  <c r="G96" i="3"/>
  <c r="I96" i="3"/>
  <c r="J96" i="3"/>
  <c r="M96" i="3"/>
  <c r="P96" i="3"/>
  <c r="F96" i="3"/>
  <c r="H96" i="3"/>
  <c r="K96" i="3"/>
  <c r="L96" i="3"/>
  <c r="N96" i="3"/>
  <c r="O96" i="3"/>
  <c r="Q96" i="3"/>
  <c r="R96" i="3"/>
  <c r="U96" i="3"/>
  <c r="W96" i="3"/>
  <c r="E98" i="3"/>
  <c r="F98" i="3"/>
  <c r="H98" i="3"/>
  <c r="J98" i="3"/>
  <c r="M98" i="3"/>
  <c r="N98" i="3"/>
  <c r="P98" i="3"/>
  <c r="Q98" i="3"/>
  <c r="R98" i="3"/>
  <c r="U98" i="3"/>
  <c r="W98" i="3"/>
  <c r="G98" i="3"/>
  <c r="I98" i="3"/>
  <c r="K98" i="3"/>
  <c r="L98" i="3"/>
  <c r="O98" i="3"/>
  <c r="E101" i="3"/>
  <c r="G101" i="3"/>
  <c r="I101" i="3"/>
  <c r="K101" i="3"/>
  <c r="N101" i="3"/>
  <c r="P101" i="3"/>
  <c r="Q101" i="3"/>
  <c r="R101" i="3"/>
  <c r="U101" i="3"/>
  <c r="W101" i="3"/>
  <c r="F101" i="3"/>
  <c r="H101" i="3"/>
  <c r="J101" i="3"/>
  <c r="L101" i="3"/>
  <c r="M101" i="3"/>
  <c r="O101" i="3"/>
  <c r="F104" i="3"/>
  <c r="H104" i="3"/>
  <c r="K104" i="3"/>
  <c r="N104" i="3"/>
  <c r="O104" i="3"/>
  <c r="Q104" i="3"/>
  <c r="R104" i="3"/>
  <c r="U104" i="3"/>
  <c r="W104" i="3"/>
  <c r="E104" i="3"/>
  <c r="G104" i="3"/>
  <c r="I104" i="3"/>
  <c r="J104" i="3"/>
  <c r="L104" i="3"/>
  <c r="M104" i="3"/>
  <c r="P104" i="3"/>
  <c r="E105" i="3"/>
  <c r="G105" i="3"/>
  <c r="I105" i="3"/>
  <c r="J105" i="3"/>
  <c r="M105" i="3"/>
  <c r="F105" i="3"/>
  <c r="H105" i="3"/>
  <c r="K105" i="3"/>
  <c r="L105" i="3"/>
  <c r="N105" i="3"/>
  <c r="O105" i="3"/>
  <c r="P105" i="3"/>
  <c r="Q105" i="3"/>
  <c r="R105" i="3"/>
  <c r="U105" i="3"/>
  <c r="W105" i="3"/>
  <c r="F106" i="3"/>
  <c r="H106" i="3"/>
  <c r="I106" i="3"/>
  <c r="K106" i="3"/>
  <c r="N106" i="3"/>
  <c r="P106" i="3"/>
  <c r="Q106" i="3"/>
  <c r="R106" i="3"/>
  <c r="U106" i="3"/>
  <c r="W106" i="3"/>
  <c r="E106" i="3"/>
  <c r="G106" i="3"/>
  <c r="J106" i="3"/>
  <c r="L106" i="3"/>
  <c r="M106" i="3"/>
  <c r="O106" i="3"/>
  <c r="F107" i="3"/>
  <c r="G107" i="3"/>
  <c r="J107" i="3"/>
  <c r="L107" i="3"/>
  <c r="N107" i="3"/>
  <c r="O107" i="3"/>
  <c r="P107" i="3"/>
  <c r="Q107" i="3"/>
  <c r="R107" i="3"/>
  <c r="U107" i="3"/>
  <c r="W107" i="3"/>
  <c r="E107" i="3"/>
  <c r="H107" i="3"/>
  <c r="I107" i="3"/>
  <c r="K107" i="3"/>
  <c r="M107" i="3"/>
  <c r="E108" i="3"/>
  <c r="H108" i="3"/>
  <c r="I108" i="3"/>
  <c r="K108" i="3"/>
  <c r="L108" i="3"/>
  <c r="N108" i="3"/>
  <c r="P108" i="3"/>
  <c r="U108" i="3"/>
  <c r="F108" i="3"/>
  <c r="G108" i="3"/>
  <c r="J108" i="3"/>
  <c r="M108" i="3"/>
  <c r="O108" i="3"/>
  <c r="Q108" i="3"/>
  <c r="R108" i="3"/>
  <c r="W108" i="3"/>
  <c r="E109" i="3"/>
  <c r="F109" i="3"/>
  <c r="H109" i="3"/>
  <c r="J109" i="3"/>
  <c r="M109" i="3"/>
  <c r="O109" i="3"/>
  <c r="Q109" i="3"/>
  <c r="R109" i="3"/>
  <c r="U109" i="3"/>
  <c r="W109" i="3"/>
  <c r="G109" i="3"/>
  <c r="I109" i="3"/>
  <c r="K109" i="3"/>
  <c r="L109" i="3"/>
  <c r="N109" i="3"/>
  <c r="P109" i="3"/>
  <c r="F62" i="3"/>
  <c r="H62" i="3"/>
  <c r="J62" i="3"/>
  <c r="M62" i="3"/>
  <c r="O62" i="3"/>
  <c r="P62" i="3"/>
  <c r="Q62" i="3"/>
  <c r="R62" i="3"/>
  <c r="U62" i="3"/>
  <c r="W62" i="3"/>
  <c r="E62" i="3"/>
  <c r="G62" i="3"/>
  <c r="I62" i="3"/>
  <c r="K62" i="3"/>
  <c r="L62" i="3"/>
  <c r="N62" i="3"/>
  <c r="E64" i="3"/>
  <c r="G64" i="3"/>
  <c r="I64" i="3"/>
  <c r="K64" i="3"/>
  <c r="L64" i="3"/>
  <c r="O64" i="3"/>
  <c r="Q64" i="3"/>
  <c r="R64" i="3"/>
  <c r="W64" i="3"/>
  <c r="F64" i="3"/>
  <c r="H64" i="3"/>
  <c r="J64" i="3"/>
  <c r="M64" i="3"/>
  <c r="N64" i="3"/>
  <c r="P64" i="3"/>
  <c r="U64" i="3"/>
  <c r="F65" i="3"/>
  <c r="G65" i="3"/>
  <c r="I65" i="3"/>
  <c r="L65" i="3"/>
  <c r="N65" i="3"/>
  <c r="P65" i="3"/>
  <c r="E65" i="3"/>
  <c r="H65" i="3"/>
  <c r="J65" i="3"/>
  <c r="K65" i="3"/>
  <c r="M65" i="3"/>
  <c r="O65" i="3"/>
  <c r="Q65" i="3"/>
  <c r="R65" i="3"/>
  <c r="U65" i="3"/>
  <c r="W65" i="3"/>
  <c r="E66" i="3"/>
  <c r="F66" i="3"/>
  <c r="H66" i="3"/>
  <c r="J66" i="3"/>
  <c r="L66" i="3"/>
  <c r="N66" i="3"/>
  <c r="G66" i="3"/>
  <c r="I66" i="3"/>
  <c r="K66" i="3"/>
  <c r="M66" i="3"/>
  <c r="O66" i="3"/>
  <c r="P66" i="3"/>
  <c r="Q66" i="3"/>
  <c r="R66" i="3"/>
  <c r="U66" i="3"/>
  <c r="W66" i="3"/>
  <c r="E67" i="3"/>
  <c r="F67" i="3"/>
  <c r="G67" i="3"/>
  <c r="I67" i="3"/>
  <c r="J67" i="3"/>
  <c r="L67" i="3"/>
  <c r="O67" i="3"/>
  <c r="H67" i="3"/>
  <c r="K67" i="3"/>
  <c r="M67" i="3"/>
  <c r="N67" i="3"/>
  <c r="P67" i="3"/>
  <c r="Q67" i="3"/>
  <c r="R67" i="3"/>
  <c r="U67" i="3"/>
  <c r="W67" i="3"/>
  <c r="E72" i="3"/>
  <c r="F72" i="3"/>
  <c r="G72" i="3"/>
  <c r="H72" i="3"/>
  <c r="I72" i="3"/>
  <c r="J72" i="3"/>
  <c r="K72" i="3"/>
  <c r="L72" i="3"/>
  <c r="M72" i="3"/>
  <c r="N72" i="3"/>
  <c r="O72" i="3"/>
  <c r="P72" i="3"/>
  <c r="Q72" i="3"/>
  <c r="R72" i="3"/>
  <c r="U72" i="3"/>
  <c r="W72" i="3"/>
  <c r="E74" i="3"/>
  <c r="G74" i="3"/>
  <c r="I74" i="3"/>
  <c r="L74" i="3"/>
  <c r="M74" i="3"/>
  <c r="O74" i="3"/>
  <c r="R74" i="3"/>
  <c r="U74" i="3"/>
  <c r="W74" i="3"/>
  <c r="F74" i="3"/>
  <c r="H74" i="3"/>
  <c r="J74" i="3"/>
  <c r="K74" i="3"/>
  <c r="N74" i="3"/>
  <c r="P74" i="3"/>
  <c r="Q74" i="3"/>
  <c r="E76" i="3"/>
  <c r="H76" i="3"/>
  <c r="J76" i="3"/>
  <c r="L76" i="3"/>
  <c r="M76" i="3"/>
  <c r="P76" i="3"/>
  <c r="F76" i="3"/>
  <c r="G76" i="3"/>
  <c r="I76" i="3"/>
  <c r="K76" i="3"/>
  <c r="N76" i="3"/>
  <c r="O76" i="3"/>
  <c r="Q76" i="3"/>
  <c r="R76" i="3"/>
  <c r="U76" i="3"/>
  <c r="W76" i="3"/>
  <c r="E77" i="3"/>
  <c r="G77" i="3"/>
  <c r="I77" i="3"/>
  <c r="J77" i="3"/>
  <c r="L77" i="3"/>
  <c r="N77" i="3"/>
  <c r="Q77" i="3"/>
  <c r="R77" i="3"/>
  <c r="U77" i="3"/>
  <c r="W77" i="3"/>
  <c r="F77" i="3"/>
  <c r="H77" i="3"/>
  <c r="K77" i="3"/>
  <c r="M77" i="3"/>
  <c r="O77" i="3"/>
  <c r="P77" i="3"/>
  <c r="E78" i="3"/>
  <c r="H78" i="3"/>
  <c r="K78" i="3"/>
  <c r="M78" i="3"/>
  <c r="O78" i="3"/>
  <c r="P78" i="3"/>
  <c r="R78" i="3"/>
  <c r="U78" i="3"/>
  <c r="W78" i="3"/>
  <c r="F78" i="3"/>
  <c r="G78" i="3"/>
  <c r="I78" i="3"/>
  <c r="J78" i="3"/>
  <c r="L78" i="3"/>
  <c r="N78" i="3"/>
  <c r="Q78" i="3"/>
  <c r="E79" i="3"/>
  <c r="F79" i="3"/>
  <c r="H79" i="3"/>
  <c r="J79" i="3"/>
  <c r="L79" i="3"/>
  <c r="M79" i="3"/>
  <c r="N79" i="3"/>
  <c r="O79" i="3"/>
  <c r="P79" i="3"/>
  <c r="Q79" i="3"/>
  <c r="R79" i="3"/>
  <c r="U79" i="3"/>
  <c r="W79" i="3"/>
  <c r="G79" i="3"/>
  <c r="I79" i="3"/>
  <c r="K79" i="3"/>
  <c r="F81" i="3"/>
  <c r="I81" i="3"/>
  <c r="K81" i="3"/>
  <c r="N81" i="3"/>
  <c r="Q81" i="3"/>
  <c r="U81" i="3"/>
  <c r="E81" i="3"/>
  <c r="G81" i="3"/>
  <c r="H81" i="3"/>
  <c r="J81" i="3"/>
  <c r="L81" i="3"/>
  <c r="M81" i="3"/>
  <c r="O81" i="3"/>
  <c r="P81" i="3"/>
  <c r="R81" i="3"/>
  <c r="W81" i="3"/>
  <c r="E82" i="3"/>
  <c r="F82" i="3"/>
  <c r="G82" i="3"/>
  <c r="H82" i="3"/>
  <c r="I82" i="3"/>
  <c r="J82" i="3"/>
  <c r="K82" i="3"/>
  <c r="L82" i="3"/>
  <c r="M82" i="3"/>
  <c r="N82" i="3"/>
  <c r="O82" i="3"/>
  <c r="P82" i="3"/>
  <c r="Q82" i="3"/>
  <c r="R82" i="3"/>
  <c r="U82" i="3"/>
  <c r="W82" i="3"/>
  <c r="E83" i="3"/>
  <c r="F83" i="3"/>
  <c r="G83" i="3"/>
  <c r="H83" i="3"/>
  <c r="I83" i="3"/>
  <c r="J83" i="3"/>
  <c r="K83" i="3"/>
  <c r="L83" i="3"/>
  <c r="M83" i="3"/>
  <c r="N83" i="3"/>
  <c r="O83" i="3"/>
  <c r="P83" i="3"/>
  <c r="Q83" i="3"/>
  <c r="R83" i="3"/>
  <c r="U83" i="3"/>
  <c r="W83" i="3"/>
  <c r="E84" i="3"/>
  <c r="F84" i="3"/>
  <c r="G84" i="3"/>
  <c r="H84" i="3"/>
  <c r="I84" i="3"/>
  <c r="J84" i="3"/>
  <c r="K84" i="3"/>
  <c r="L84" i="3"/>
  <c r="M84" i="3"/>
  <c r="N84" i="3"/>
  <c r="O84" i="3"/>
  <c r="P84" i="3"/>
  <c r="Q84" i="3"/>
  <c r="R84" i="3"/>
  <c r="U84" i="3"/>
  <c r="W84" i="3"/>
  <c r="E85" i="3"/>
  <c r="F85" i="3"/>
  <c r="G85" i="3"/>
  <c r="H85" i="3"/>
  <c r="I85" i="3"/>
  <c r="J85" i="3"/>
  <c r="K85" i="3"/>
  <c r="L85" i="3"/>
  <c r="M85" i="3"/>
  <c r="N85" i="3"/>
  <c r="O85" i="3"/>
  <c r="P85" i="3"/>
  <c r="Q85" i="3"/>
  <c r="R85" i="3"/>
  <c r="U85" i="3"/>
  <c r="W85" i="3"/>
  <c r="E86" i="3"/>
  <c r="F86" i="3"/>
  <c r="G86" i="3"/>
  <c r="H86" i="3"/>
  <c r="I86" i="3"/>
  <c r="J86" i="3"/>
  <c r="K86" i="3"/>
  <c r="L86" i="3"/>
  <c r="M86" i="3"/>
  <c r="N86" i="3"/>
  <c r="O86" i="3"/>
  <c r="P86" i="3"/>
  <c r="Q86" i="3"/>
  <c r="R86" i="3"/>
  <c r="U86" i="3"/>
  <c r="W86" i="3"/>
  <c r="E87" i="3"/>
  <c r="F87" i="3"/>
  <c r="G87" i="3"/>
  <c r="H87" i="3"/>
  <c r="I87" i="3"/>
  <c r="J87" i="3"/>
  <c r="K87" i="3"/>
  <c r="L87" i="3"/>
  <c r="M87" i="3"/>
  <c r="N87" i="3"/>
  <c r="O87" i="3"/>
  <c r="P87" i="3"/>
  <c r="Q87" i="3"/>
  <c r="R87" i="3"/>
  <c r="U87" i="3"/>
  <c r="W87" i="3"/>
  <c r="E88" i="3"/>
  <c r="F88" i="3"/>
  <c r="G88" i="3"/>
  <c r="H88" i="3"/>
  <c r="I88" i="3"/>
  <c r="J88" i="3"/>
  <c r="K88" i="3"/>
  <c r="L88" i="3"/>
  <c r="M88" i="3"/>
  <c r="N88" i="3"/>
  <c r="O88" i="3"/>
  <c r="P88" i="3"/>
  <c r="Q88" i="3"/>
  <c r="R88" i="3"/>
  <c r="U88" i="3"/>
  <c r="W88" i="3"/>
  <c r="E89" i="3"/>
  <c r="F89" i="3"/>
  <c r="G89" i="3"/>
  <c r="H89" i="3"/>
  <c r="I89" i="3"/>
  <c r="J89" i="3"/>
  <c r="K89" i="3"/>
  <c r="L89" i="3"/>
  <c r="M89" i="3"/>
  <c r="N89" i="3"/>
  <c r="O89" i="3"/>
  <c r="P89" i="3"/>
  <c r="Q89" i="3"/>
  <c r="R89" i="3"/>
  <c r="U89" i="3"/>
  <c r="W89" i="3"/>
  <c r="E90" i="3"/>
  <c r="F90" i="3"/>
  <c r="G90" i="3"/>
  <c r="H90" i="3"/>
  <c r="I90" i="3"/>
  <c r="J90" i="3"/>
  <c r="K90" i="3"/>
  <c r="L90" i="3"/>
  <c r="M90" i="3"/>
  <c r="N90" i="3"/>
  <c r="O90" i="3"/>
  <c r="P90" i="3"/>
  <c r="Q90" i="3"/>
  <c r="R90" i="3"/>
  <c r="U90" i="3"/>
  <c r="W90" i="3"/>
  <c r="E91" i="3"/>
  <c r="F91" i="3"/>
  <c r="G91" i="3"/>
  <c r="H91" i="3"/>
  <c r="I91" i="3"/>
  <c r="J91" i="3"/>
  <c r="K91" i="3"/>
  <c r="L91" i="3"/>
  <c r="M91" i="3"/>
  <c r="N91" i="3"/>
  <c r="O91" i="3"/>
  <c r="P91" i="3"/>
  <c r="Q91" i="3"/>
  <c r="R91" i="3"/>
  <c r="U91" i="3"/>
  <c r="W91" i="3"/>
  <c r="E92" i="3"/>
  <c r="F92" i="3"/>
  <c r="G92" i="3"/>
  <c r="H92" i="3"/>
  <c r="I92" i="3"/>
  <c r="J92" i="3"/>
  <c r="K92" i="3"/>
  <c r="L92" i="3"/>
  <c r="M92" i="3"/>
  <c r="N92" i="3"/>
  <c r="O92" i="3"/>
  <c r="P92" i="3"/>
  <c r="Q92" i="3"/>
  <c r="R92" i="3"/>
  <c r="U92" i="3"/>
  <c r="W92" i="3"/>
  <c r="E93" i="3"/>
  <c r="F93" i="3"/>
  <c r="G93" i="3"/>
  <c r="H93" i="3"/>
  <c r="I93" i="3"/>
  <c r="J93" i="3"/>
  <c r="K93" i="3"/>
  <c r="L93" i="3"/>
  <c r="M93" i="3"/>
  <c r="N93" i="3"/>
  <c r="O93" i="3"/>
  <c r="P93" i="3"/>
  <c r="Q93" i="3"/>
  <c r="R93" i="3"/>
  <c r="U93" i="3"/>
  <c r="W93" i="3"/>
  <c r="E94" i="3"/>
  <c r="F94" i="3"/>
  <c r="G94" i="3"/>
  <c r="H94" i="3"/>
  <c r="I94" i="3"/>
  <c r="J94" i="3"/>
  <c r="K94" i="3"/>
  <c r="L94" i="3"/>
  <c r="M94" i="3"/>
  <c r="N94" i="3"/>
  <c r="O94" i="3"/>
  <c r="P94" i="3"/>
  <c r="Q94" i="3"/>
  <c r="R94" i="3"/>
  <c r="U94" i="3"/>
  <c r="W94" i="3"/>
  <c r="E97" i="3"/>
  <c r="G97" i="3"/>
  <c r="J97" i="3"/>
  <c r="L97" i="3"/>
  <c r="N97" i="3"/>
  <c r="P97" i="3"/>
  <c r="R97" i="3"/>
  <c r="F97" i="3"/>
  <c r="H97" i="3"/>
  <c r="I97" i="3"/>
  <c r="K97" i="3"/>
  <c r="M97" i="3"/>
  <c r="O97" i="3"/>
  <c r="Q97" i="3"/>
  <c r="U97" i="3"/>
  <c r="W97" i="3"/>
  <c r="E99" i="3"/>
  <c r="G99" i="3"/>
  <c r="H99" i="3"/>
  <c r="J99" i="3"/>
  <c r="L99" i="3"/>
  <c r="M99" i="3"/>
  <c r="O99" i="3"/>
  <c r="P99" i="3"/>
  <c r="R99" i="3"/>
  <c r="F99" i="3"/>
  <c r="I99" i="3"/>
  <c r="K99" i="3"/>
  <c r="N99" i="3"/>
  <c r="Q99" i="3"/>
  <c r="U99" i="3"/>
  <c r="W99" i="3"/>
  <c r="E100" i="3"/>
  <c r="F100" i="3"/>
  <c r="I100" i="3"/>
  <c r="J100" i="3"/>
  <c r="L100" i="3"/>
  <c r="O100" i="3"/>
  <c r="Q100" i="3"/>
  <c r="U100" i="3"/>
  <c r="W100" i="3"/>
  <c r="G100" i="3"/>
  <c r="H100" i="3"/>
  <c r="K100" i="3"/>
  <c r="M100" i="3"/>
  <c r="N100" i="3"/>
  <c r="P100" i="3"/>
  <c r="R100" i="3"/>
  <c r="E102" i="3"/>
  <c r="G102" i="3"/>
  <c r="H102" i="3"/>
  <c r="K102" i="3"/>
  <c r="M102" i="3"/>
  <c r="N102" i="3"/>
  <c r="P102" i="3"/>
  <c r="Q102" i="3"/>
  <c r="R102" i="3"/>
  <c r="U102" i="3"/>
  <c r="W102" i="3"/>
  <c r="F102" i="3"/>
  <c r="I102" i="3"/>
  <c r="J102" i="3"/>
  <c r="L102" i="3"/>
  <c r="O102" i="3"/>
  <c r="E103" i="3"/>
  <c r="H103" i="3"/>
  <c r="I103" i="3"/>
  <c r="K103" i="3"/>
  <c r="M103" i="3"/>
  <c r="O103" i="3"/>
  <c r="P103" i="3"/>
  <c r="Q103" i="3"/>
  <c r="R103" i="3"/>
  <c r="U103" i="3"/>
  <c r="W103" i="3"/>
  <c r="F103" i="3"/>
  <c r="G103" i="3"/>
  <c r="J103" i="3"/>
  <c r="L103" i="3"/>
  <c r="N103" i="3"/>
  <c r="E110" i="3"/>
  <c r="F110" i="3"/>
  <c r="G110" i="3"/>
  <c r="H110" i="3"/>
  <c r="I110" i="3"/>
  <c r="J110" i="3"/>
  <c r="K110" i="3"/>
  <c r="L110" i="3"/>
  <c r="M110" i="3"/>
  <c r="N110" i="3"/>
  <c r="O110" i="3"/>
  <c r="P110" i="3"/>
  <c r="Q110" i="3"/>
  <c r="R110" i="3"/>
  <c r="U110" i="3"/>
  <c r="W110" i="3"/>
  <c r="E111" i="3"/>
  <c r="F111" i="3"/>
  <c r="G111" i="3"/>
  <c r="H111" i="3"/>
  <c r="I111" i="3"/>
  <c r="J111" i="3"/>
  <c r="K111" i="3"/>
  <c r="L111" i="3"/>
  <c r="M111" i="3"/>
  <c r="N111" i="3"/>
  <c r="O111" i="3"/>
  <c r="P111" i="3"/>
  <c r="Q111" i="3"/>
  <c r="R111" i="3"/>
  <c r="U111" i="3"/>
  <c r="W111" i="3"/>
  <c r="E112" i="3"/>
  <c r="F112" i="3"/>
  <c r="G112" i="3"/>
  <c r="H112" i="3"/>
  <c r="K112" i="3"/>
  <c r="M112" i="3"/>
  <c r="N112" i="3"/>
  <c r="P112" i="3"/>
  <c r="Q112" i="3"/>
  <c r="I112" i="3"/>
  <c r="J112" i="3"/>
  <c r="L112" i="3"/>
  <c r="O112" i="3"/>
  <c r="R112" i="3"/>
  <c r="U112" i="3"/>
  <c r="W112" i="3"/>
  <c r="E116" i="3"/>
  <c r="F116" i="3"/>
  <c r="H116" i="3"/>
  <c r="J116" i="3"/>
  <c r="L116" i="3"/>
  <c r="O116" i="3"/>
  <c r="Q116" i="3"/>
  <c r="U116" i="3"/>
  <c r="W116" i="3"/>
  <c r="G116" i="3"/>
  <c r="I116" i="3"/>
  <c r="K116" i="3"/>
  <c r="M116" i="3"/>
  <c r="N116" i="3"/>
  <c r="P116" i="3"/>
  <c r="R116" i="3"/>
  <c r="F117" i="3"/>
  <c r="G117" i="3"/>
  <c r="I117" i="3"/>
  <c r="K117" i="3"/>
  <c r="L117" i="3"/>
  <c r="N117" i="3"/>
  <c r="P117" i="3"/>
  <c r="R117" i="3"/>
  <c r="U117" i="3"/>
  <c r="W117" i="3"/>
  <c r="E117" i="3"/>
  <c r="H117" i="3"/>
  <c r="J117" i="3"/>
  <c r="M117" i="3"/>
  <c r="O117" i="3"/>
  <c r="Q117" i="3"/>
  <c r="E118" i="3"/>
  <c r="G118" i="3"/>
  <c r="I118" i="3"/>
  <c r="L118" i="3"/>
  <c r="N118" i="3"/>
  <c r="P118" i="3"/>
  <c r="R118" i="3"/>
  <c r="F118" i="3"/>
  <c r="H118" i="3"/>
  <c r="J118" i="3"/>
  <c r="K118" i="3"/>
  <c r="M118" i="3"/>
  <c r="O118" i="3"/>
  <c r="Q118" i="3"/>
  <c r="U118" i="3"/>
  <c r="W118" i="3"/>
  <c r="E120" i="3"/>
  <c r="F120" i="3"/>
  <c r="H120" i="3"/>
  <c r="J120" i="3"/>
  <c r="L120" i="3"/>
  <c r="N120" i="3"/>
  <c r="O120" i="3"/>
  <c r="G120" i="3"/>
  <c r="I120" i="3"/>
  <c r="K120" i="3"/>
  <c r="M120" i="3"/>
  <c r="P120" i="3"/>
  <c r="Q120" i="3"/>
  <c r="R120" i="3"/>
  <c r="U120" i="3"/>
  <c r="W120" i="3"/>
  <c r="E121" i="3"/>
  <c r="G121" i="3"/>
  <c r="J121" i="3"/>
  <c r="M121" i="3"/>
  <c r="P121" i="3"/>
  <c r="F121" i="3"/>
  <c r="H121" i="3"/>
  <c r="I121" i="3"/>
  <c r="K121" i="3"/>
  <c r="L121" i="3"/>
  <c r="N121" i="3"/>
  <c r="O121" i="3"/>
  <c r="Q121" i="3"/>
  <c r="R121" i="3"/>
  <c r="U121" i="3"/>
  <c r="W121" i="3"/>
  <c r="G124" i="3"/>
  <c r="I124" i="3"/>
  <c r="K124" i="3"/>
  <c r="M124" i="3"/>
  <c r="N124" i="3"/>
  <c r="O124" i="3"/>
  <c r="P124" i="3"/>
  <c r="Q124" i="3"/>
  <c r="R124" i="3"/>
  <c r="U124" i="3"/>
  <c r="W124" i="3"/>
  <c r="E124" i="3"/>
  <c r="F124" i="3"/>
  <c r="H124" i="3"/>
  <c r="J124" i="3"/>
  <c r="L124" i="3"/>
  <c r="E113" i="3"/>
  <c r="H113" i="3"/>
  <c r="K113" i="3"/>
  <c r="M113" i="3"/>
  <c r="O113" i="3"/>
  <c r="P113" i="3"/>
  <c r="R113" i="3"/>
  <c r="U113" i="3"/>
  <c r="W113" i="3"/>
  <c r="F113" i="3"/>
  <c r="G113" i="3"/>
  <c r="I113" i="3"/>
  <c r="J113" i="3"/>
  <c r="L113" i="3"/>
  <c r="N113" i="3"/>
  <c r="Q113" i="3"/>
  <c r="E114" i="3"/>
  <c r="G114" i="3"/>
  <c r="I114" i="3"/>
  <c r="K114" i="3"/>
  <c r="M114" i="3"/>
  <c r="O114" i="3"/>
  <c r="Q114" i="3"/>
  <c r="R114" i="3"/>
  <c r="U114" i="3"/>
  <c r="W114" i="3"/>
  <c r="F114" i="3"/>
  <c r="H114" i="3"/>
  <c r="J114" i="3"/>
  <c r="L114" i="3"/>
  <c r="N114" i="3"/>
  <c r="P114" i="3"/>
  <c r="E115" i="3"/>
  <c r="G115" i="3"/>
  <c r="I115" i="3"/>
  <c r="K115" i="3"/>
  <c r="L115" i="3"/>
  <c r="N115" i="3"/>
  <c r="P115" i="3"/>
  <c r="Q115" i="3"/>
  <c r="R115" i="3"/>
  <c r="U115" i="3"/>
  <c r="W115" i="3"/>
  <c r="F115" i="3"/>
  <c r="H115" i="3"/>
  <c r="J115" i="3"/>
  <c r="M115" i="3"/>
  <c r="O115" i="3"/>
  <c r="E119" i="3"/>
  <c r="G119" i="3"/>
  <c r="I119" i="3"/>
  <c r="K119" i="3"/>
  <c r="M119" i="3"/>
  <c r="O119" i="3"/>
  <c r="F119" i="3"/>
  <c r="H119" i="3"/>
  <c r="J119" i="3"/>
  <c r="L119" i="3"/>
  <c r="N119" i="3"/>
  <c r="P119" i="3"/>
  <c r="Q119" i="3"/>
  <c r="R119" i="3"/>
  <c r="U119" i="3"/>
  <c r="W119" i="3"/>
  <c r="E122" i="3"/>
  <c r="G122" i="3"/>
  <c r="I122" i="3"/>
  <c r="K122" i="3"/>
  <c r="M122" i="3"/>
  <c r="O122" i="3"/>
  <c r="F122" i="3"/>
  <c r="H122" i="3"/>
  <c r="J122" i="3"/>
  <c r="L122" i="3"/>
  <c r="N122" i="3"/>
  <c r="P122" i="3"/>
  <c r="Q122" i="3"/>
  <c r="R122" i="3"/>
  <c r="U122" i="3"/>
  <c r="W122" i="3"/>
  <c r="E123" i="3"/>
  <c r="F123" i="3"/>
  <c r="G123" i="3"/>
  <c r="H123" i="3"/>
  <c r="I123" i="3"/>
  <c r="J123" i="3"/>
  <c r="K123" i="3"/>
  <c r="L123" i="3"/>
  <c r="M123" i="3"/>
  <c r="N123" i="3"/>
  <c r="O123" i="3"/>
  <c r="P123" i="3"/>
  <c r="Q123" i="3"/>
  <c r="R123" i="3"/>
  <c r="U123" i="3"/>
  <c r="W123" i="3"/>
  <c r="E56" i="3"/>
  <c r="G56" i="3"/>
  <c r="I56" i="3"/>
  <c r="M56" i="3"/>
  <c r="O56" i="3"/>
  <c r="Q56" i="3"/>
  <c r="W56" i="3"/>
  <c r="F56" i="3"/>
  <c r="H56" i="3"/>
  <c r="J56" i="3"/>
  <c r="K56" i="3"/>
  <c r="L56" i="3"/>
  <c r="N56" i="3"/>
  <c r="P56" i="3"/>
  <c r="R56" i="3"/>
  <c r="U56" i="3"/>
  <c r="E57" i="3"/>
  <c r="G57" i="3"/>
  <c r="J57" i="3"/>
  <c r="K57" i="3"/>
  <c r="M57" i="3"/>
  <c r="O57" i="3"/>
  <c r="Q57" i="3"/>
  <c r="R57" i="3"/>
  <c r="U57" i="3"/>
  <c r="F57" i="3"/>
  <c r="H57" i="3"/>
  <c r="I57" i="3"/>
  <c r="L57" i="3"/>
  <c r="N57" i="3"/>
  <c r="P57" i="3"/>
  <c r="W57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U58" i="3"/>
  <c r="W58" i="3"/>
  <c r="F59" i="3"/>
  <c r="H59" i="3"/>
  <c r="J59" i="3"/>
  <c r="M59" i="3"/>
  <c r="O59" i="3"/>
  <c r="Q59" i="3"/>
  <c r="R59" i="3"/>
  <c r="U59" i="3"/>
  <c r="W59" i="3"/>
  <c r="E59" i="3"/>
  <c r="G59" i="3"/>
  <c r="I59" i="3"/>
  <c r="K59" i="3"/>
  <c r="L59" i="3"/>
  <c r="N59" i="3"/>
  <c r="P59" i="3"/>
  <c r="E60" i="3"/>
  <c r="G60" i="3"/>
  <c r="H60" i="3"/>
  <c r="J60" i="3"/>
  <c r="K60" i="3"/>
  <c r="M60" i="3"/>
  <c r="O60" i="3"/>
  <c r="Q60" i="3"/>
  <c r="R60" i="3"/>
  <c r="U60" i="3"/>
  <c r="W60" i="3"/>
  <c r="F60" i="3"/>
  <c r="I60" i="3"/>
  <c r="L60" i="3"/>
  <c r="N60" i="3"/>
  <c r="P60" i="3"/>
  <c r="E61" i="3"/>
  <c r="H61" i="3"/>
  <c r="L61" i="3"/>
  <c r="O61" i="3"/>
  <c r="Q61" i="3"/>
  <c r="R61" i="3"/>
  <c r="U61" i="3"/>
  <c r="F61" i="3"/>
  <c r="G61" i="3"/>
  <c r="I61" i="3"/>
  <c r="J61" i="3"/>
  <c r="K61" i="3"/>
  <c r="M61" i="3"/>
  <c r="N61" i="3"/>
  <c r="P61" i="3"/>
  <c r="W61" i="3"/>
  <c r="F63" i="3"/>
  <c r="H63" i="3"/>
  <c r="K63" i="3"/>
  <c r="M63" i="3"/>
  <c r="O63" i="3"/>
  <c r="Q63" i="3"/>
  <c r="W63" i="3"/>
  <c r="E63" i="3"/>
  <c r="G63" i="3"/>
  <c r="I63" i="3"/>
  <c r="J63" i="3"/>
  <c r="L63" i="3"/>
  <c r="N63" i="3"/>
  <c r="P63" i="3"/>
  <c r="R63" i="3"/>
  <c r="U63" i="3"/>
  <c r="E68" i="3"/>
  <c r="G68" i="3"/>
  <c r="H68" i="3"/>
  <c r="J68" i="3"/>
  <c r="M68" i="3"/>
  <c r="O68" i="3"/>
  <c r="Q68" i="3"/>
  <c r="U68" i="3"/>
  <c r="F68" i="3"/>
  <c r="I68" i="3"/>
  <c r="K68" i="3"/>
  <c r="L68" i="3"/>
  <c r="N68" i="3"/>
  <c r="P68" i="3"/>
  <c r="R68" i="3"/>
  <c r="W68" i="3"/>
  <c r="E69" i="3"/>
  <c r="F69" i="3"/>
  <c r="G69" i="3"/>
  <c r="H69" i="3"/>
  <c r="I69" i="3"/>
  <c r="J69" i="3"/>
  <c r="K69" i="3"/>
  <c r="L69" i="3"/>
  <c r="M69" i="3"/>
  <c r="N69" i="3"/>
  <c r="O69" i="3"/>
  <c r="P69" i="3"/>
  <c r="Q69" i="3"/>
  <c r="R69" i="3"/>
  <c r="U69" i="3"/>
  <c r="W69" i="3"/>
  <c r="E70" i="3"/>
  <c r="F70" i="3"/>
  <c r="G70" i="3"/>
  <c r="H70" i="3"/>
  <c r="I70" i="3"/>
  <c r="J70" i="3"/>
  <c r="K70" i="3"/>
  <c r="L70" i="3"/>
  <c r="M70" i="3"/>
  <c r="N70" i="3"/>
  <c r="O70" i="3"/>
  <c r="P70" i="3"/>
  <c r="Q70" i="3"/>
  <c r="R70" i="3"/>
  <c r="U70" i="3"/>
  <c r="W70" i="3"/>
  <c r="E71" i="3"/>
  <c r="G71" i="3"/>
  <c r="I71" i="3"/>
  <c r="K71" i="3"/>
  <c r="M71" i="3"/>
  <c r="O71" i="3"/>
  <c r="P71" i="3"/>
  <c r="R71" i="3"/>
  <c r="U71" i="3"/>
  <c r="F71" i="3"/>
  <c r="H71" i="3"/>
  <c r="J71" i="3"/>
  <c r="L71" i="3"/>
  <c r="N71" i="3"/>
  <c r="Q71" i="3"/>
  <c r="W71" i="3"/>
  <c r="E73" i="3"/>
  <c r="H73" i="3"/>
  <c r="J73" i="3"/>
  <c r="M73" i="3"/>
  <c r="O73" i="3"/>
  <c r="Q73" i="3"/>
  <c r="F73" i="3"/>
  <c r="G73" i="3"/>
  <c r="I73" i="3"/>
  <c r="K73" i="3"/>
  <c r="L73" i="3"/>
  <c r="N73" i="3"/>
  <c r="P73" i="3"/>
  <c r="R73" i="3"/>
  <c r="U73" i="3"/>
  <c r="W73" i="3"/>
  <c r="E75" i="3"/>
  <c r="G75" i="3"/>
  <c r="H75" i="3"/>
  <c r="I75" i="3"/>
  <c r="K75" i="3"/>
  <c r="M75" i="3"/>
  <c r="N75" i="3"/>
  <c r="F75" i="3"/>
  <c r="J75" i="3"/>
  <c r="L75" i="3"/>
  <c r="O75" i="3"/>
  <c r="P75" i="3"/>
  <c r="Q75" i="3"/>
  <c r="R75" i="3"/>
  <c r="U75" i="3"/>
  <c r="W75" i="3"/>
  <c r="E80" i="3"/>
  <c r="F80" i="3"/>
  <c r="G80" i="3"/>
  <c r="H80" i="3"/>
  <c r="I80" i="3"/>
  <c r="J80" i="3"/>
  <c r="K80" i="3"/>
  <c r="L80" i="3"/>
  <c r="M80" i="3"/>
  <c r="N80" i="3"/>
  <c r="O80" i="3"/>
  <c r="P80" i="3"/>
  <c r="Q80" i="3"/>
  <c r="R80" i="3"/>
  <c r="U80" i="3"/>
  <c r="W80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U5" i="3"/>
  <c r="W5" i="3"/>
</calcChain>
</file>

<file path=xl/sharedStrings.xml><?xml version="1.0" encoding="utf-8"?>
<sst xmlns="http://schemas.openxmlformats.org/spreadsheetml/2006/main" count="1040" uniqueCount="256">
  <si>
    <t>PROCLEAN  ·  ASISTENCIA NÓMINA MIÉRCOLES v3  ·  CAPTURA POR CLIENTE / TURNO</t>
  </si>
  <si>
    <t>1.  CLAVES DE ASISTENCIA DIARIA</t>
  </si>
  <si>
    <t>CLAVE</t>
  </si>
  <si>
    <t>SIGNIFICADO</t>
  </si>
  <si>
    <t>CUÁNDO USAR</t>
  </si>
  <si>
    <t>COLOR</t>
  </si>
  <si>
    <t>A</t>
  </si>
  <si>
    <t>Asistencia</t>
  </si>
  <si>
    <t>El empleado trabajó su turno normal</t>
  </si>
  <si>
    <t>Verde</t>
  </si>
  <si>
    <t>D</t>
  </si>
  <si>
    <t>Descanso programado</t>
  </si>
  <si>
    <t>Día de descanso según horario</t>
  </si>
  <si>
    <t>Azul</t>
  </si>
  <si>
    <t>F</t>
  </si>
  <si>
    <t>Falta</t>
  </si>
  <si>
    <t>Ausencia injustificada</t>
  </si>
  <si>
    <t>Rojo</t>
  </si>
  <si>
    <t>V</t>
  </si>
  <si>
    <t>Vacaciones</t>
  </si>
  <si>
    <t>Días de vacaciones disfrutadas</t>
  </si>
  <si>
    <t>Amarillo</t>
  </si>
  <si>
    <t>I</t>
  </si>
  <si>
    <t>Incapacidad IMSS</t>
  </si>
  <si>
    <t>Baja médica con folio IMSS</t>
  </si>
  <si>
    <t>Gris</t>
  </si>
  <si>
    <t>PSS</t>
  </si>
  <si>
    <t>Permiso sin goce de sueldo</t>
  </si>
  <si>
    <t>Permiso autorizado sin pago</t>
  </si>
  <si>
    <t>PCS</t>
  </si>
  <si>
    <t>Permiso con goce de sueldo</t>
  </si>
  <si>
    <t>Permiso autorizado con pago</t>
  </si>
  <si>
    <t>NI</t>
  </si>
  <si>
    <t>Nuevo ingreso</t>
  </si>
  <si>
    <t>Primera semana del empleado nuevo</t>
  </si>
  <si>
    <t>B</t>
  </si>
  <si>
    <t>Baja</t>
  </si>
  <si>
    <t>El empleado causó baja definitiva</t>
  </si>
  <si>
    <t>R</t>
  </si>
  <si>
    <t>Retardo</t>
  </si>
  <si>
    <t>Llegó tarde pero trabajó</t>
  </si>
  <si>
    <t>S</t>
  </si>
  <si>
    <t>Suspensión</t>
  </si>
  <si>
    <t>Suspensión disciplinaria</t>
  </si>
  <si>
    <t>FE</t>
  </si>
  <si>
    <t>Festivo descansado</t>
  </si>
  <si>
    <t>Día festivo que descansó</t>
  </si>
  <si>
    <t>Naranja</t>
  </si>
  <si>
    <t>FL</t>
  </si>
  <si>
    <t>Festivo laborado</t>
  </si>
  <si>
    <t>Trabajó un día festivo</t>
  </si>
  <si>
    <t>Naranja oscuro</t>
  </si>
  <si>
    <t>DL</t>
  </si>
  <si>
    <t>Domingo/Descanso laborado</t>
  </si>
  <si>
    <t>Trabajó en su día de descanso</t>
  </si>
  <si>
    <t>Azul negritas</t>
  </si>
  <si>
    <t>OT</t>
  </si>
  <si>
    <t>Otro / Revisar</t>
  </si>
  <si>
    <t>Caso especial – explicar en Observaciones</t>
  </si>
  <si>
    <t>Morado</t>
  </si>
  <si>
    <t>2.  COLUMNAS DE INCIDENCIAS OPERATIVAS</t>
  </si>
  <si>
    <t>COLUMNA</t>
  </si>
  <si>
    <t>QUÉ CAPTURA</t>
  </si>
  <si>
    <t>TIPO DE DATO</t>
  </si>
  <si>
    <t>EJEMPLO</t>
  </si>
  <si>
    <t>NOTAS</t>
  </si>
  <si>
    <t>HE</t>
  </si>
  <si>
    <t>Horas extra trabajadas</t>
  </si>
  <si>
    <t>Número ≥ 0</t>
  </si>
  <si>
    <t>3 / 4.5 / 8</t>
  </si>
  <si>
    <t>No capturar monto</t>
  </si>
  <si>
    <t>TURNOS EXTRA NORMALES</t>
  </si>
  <si>
    <t>Horas trabajadas en turno extra</t>
  </si>
  <si>
    <t>8 / 16</t>
  </si>
  <si>
    <t>Si trabajó turno completo = 8hrs</t>
  </si>
  <si>
    <t>DÍAS CUBIERTOS NORMALES</t>
  </si>
  <si>
    <t>Días extra cubiertos</t>
  </si>
  <si>
    <t>1 / 2</t>
  </si>
  <si>
    <t>Para extras que se miden por día</t>
  </si>
  <si>
    <t>FESTIVO LABORADO</t>
  </si>
  <si>
    <t>Días festivos trabajados</t>
  </si>
  <si>
    <t>1</t>
  </si>
  <si>
    <t>También marcar FL en el día</t>
  </si>
  <si>
    <t>DOMINGO LABORADO</t>
  </si>
  <si>
    <t>Domingos trabajados</t>
  </si>
  <si>
    <t>También marcar DL en el día</t>
  </si>
  <si>
    <t>VACACIONES LABORADAS</t>
  </si>
  <si>
    <t>Vacaciones que se piden como laboradas</t>
  </si>
  <si>
    <t>NO para vacaciones disfrutadas (esas van como V)</t>
  </si>
  <si>
    <t>PRIMA VACACIONAL</t>
  </si>
  <si>
    <t>Solicitud de prima vacacional</t>
  </si>
  <si>
    <t>N/A o SOLICITA</t>
  </si>
  <si>
    <t>SOLICITA</t>
  </si>
  <si>
    <t>N/A por default. Nómina verificará en la app.</t>
  </si>
  <si>
    <t>BONO</t>
  </si>
  <si>
    <t>Bono o apoyo especial</t>
  </si>
  <si>
    <t>Número o texto</t>
  </si>
  <si>
    <t>300 / 'revisar bono'</t>
  </si>
  <si>
    <t>Monto preliminar sujeto a revisión de Nómina</t>
  </si>
  <si>
    <t>DEDUCCIONES</t>
  </si>
  <si>
    <t>Descuentos o deducciones</t>
  </si>
  <si>
    <t>150 / 'préstamo'</t>
  </si>
  <si>
    <t>No calcular en Excel. Nómina valida en app.</t>
  </si>
  <si>
    <t>OBSERVACIONES</t>
  </si>
  <si>
    <t>Notas o aclaraciones libres</t>
  </si>
  <si>
    <t>Texto</t>
  </si>
  <si>
    <t>'Falta sin aviso'</t>
  </si>
  <si>
    <t>Obligatorio si usa clave OT</t>
  </si>
  <si>
    <t>3.  INSTRUCCIONES DE LLENADO</t>
  </si>
  <si>
    <t>REGLA DE ORO: Este archivo solo captura asistencia e incidencias operativas. NUNCA capturar importes de nómina.</t>
  </si>
  <si>
    <t>Días de la semana</t>
  </si>
  <si>
    <t>Captura UNA clave por día. Usa solo las claves del catálogo. Si el caso es raro, usa OT y explica en Observaciones.</t>
  </si>
  <si>
    <t>Incidencias</t>
  </si>
  <si>
    <t>Las columnas de incidencias registran cantidades o datos adicionales. No capturan sueldo ni cálculo.</t>
  </si>
  <si>
    <t>No modificar</t>
  </si>
  <si>
    <t>No cambiar encabezados de columnas. No inventar claves. No agregar hojas.</t>
  </si>
  <si>
    <t>Flujo del archivo</t>
  </si>
  <si>
    <t>1) Descarga desde ProClean-App  2) Llena asistencia e incidencias  3) Sube a ProClean-App  4) Nómina revisa y aprueba en web.</t>
  </si>
  <si>
    <t>Caso no contemplado</t>
  </si>
  <si>
    <t>Usa OT en el día y escribe la situación en la columna OBSERVACIONES para que Nómina la revise.</t>
  </si>
  <si>
    <t>4.  EJEMPLOS PRÁCTICOS DE LLENADO</t>
  </si>
  <si>
    <t>Ej 1 – Semana normal</t>
  </si>
  <si>
    <t>Días: A, A, D, A, A, A, A  |  Incidencias: todas vacías</t>
  </si>
  <si>
    <t>Ej 2 – Falta</t>
  </si>
  <si>
    <t>Día correspondiente: F  |  Observaciones: opcional</t>
  </si>
  <si>
    <t>Ej 3 – Permiso sin goce</t>
  </si>
  <si>
    <t>Día: PSS</t>
  </si>
  <si>
    <t>Ej 4 – Permiso con goce</t>
  </si>
  <si>
    <t>Día: PCS</t>
  </si>
  <si>
    <t>Ej 5 – Vacaciones</t>
  </si>
  <si>
    <t>Días correspondientes: V, V, V…</t>
  </si>
  <si>
    <t>Ej 6 – Incapacidad</t>
  </si>
  <si>
    <t>Días correspondientes: I, I, I…</t>
  </si>
  <si>
    <t>Ej 7 – Domingo laborado</t>
  </si>
  <si>
    <t>Día domingo: DL  |  DOMINGO LABORADO: 1</t>
  </si>
  <si>
    <t>Ej 8 – Festivo laborado</t>
  </si>
  <si>
    <t>Día festivo: FL  |  FESTIVO LABORADO: 1</t>
  </si>
  <si>
    <t>Ej 9 – 3 horas extra</t>
  </si>
  <si>
    <t>Día: A  |  HE: 3</t>
  </si>
  <si>
    <t>Ej 10 – Turno extra 8h</t>
  </si>
  <si>
    <t>Día: A  |  TURNOS EXTRA NORMALES: 8</t>
  </si>
  <si>
    <t>Ej 11 – Cubre 1 día extra</t>
  </si>
  <si>
    <t>DÍAS CUBIERTOS NORMALES: 1</t>
  </si>
  <si>
    <t>Ej 12 – Prima vacacional</t>
  </si>
  <si>
    <t>PRIMA VACACIONAL: SOLICITA</t>
  </si>
  <si>
    <t>Ej 13 – Bono</t>
  </si>
  <si>
    <t>BONO: 300   o   BONO: 'revisar bono autorizado'</t>
  </si>
  <si>
    <t>Ej 14 – Deducción</t>
  </si>
  <si>
    <t>DEDUCCIONES: 150   o   DEDUCCIONES: 'revisar préstamo'</t>
  </si>
  <si>
    <t>5.  HOJA ASISTENCIA — INSTRUCCIONES</t>
  </si>
  <si>
    <t>Captura por cliente</t>
  </si>
  <si>
    <t>Llena la sección del cliente donde laboró el trabajador esa semana. Si trabajó en dos clientes, captúralo en ambas secciones.</t>
  </si>
  <si>
    <t>Columna TURNO</t>
  </si>
  <si>
    <t>Indica el turno: DÍA / TARDE / NOCHE / MIXTO / OTRO. Usa la lista desplegable. Si una persona trabaja dos turnos distintos el mismo día en clientes diferentes, captura el turno correspondiente en cada sección.</t>
  </si>
  <si>
    <t>Mismo día, dos clientes</t>
  </si>
  <si>
    <t>Captura normalmente en cada sección. El Compilado detectará el evento adicional y lo registrará en OBSERVACIONES.</t>
  </si>
  <si>
    <t>No capturar en Asistencia</t>
  </si>
  <si>
    <t>No anotes banco, cuenta, NSS ni importes de nómina. Solo asistencia e incidencias.</t>
  </si>
  <si>
    <t>6.  HOJA COMPILADO — INSTRUCCIONES</t>
  </si>
  <si>
    <t>Una fila por trabajador</t>
  </si>
  <si>
    <t>El Compilado consolida aunque la persona aparezca en varios clientes. Escribe el nombre igual en todas las secciones.</t>
  </si>
  <si>
    <t>CLIENTES / TURNOS</t>
  </si>
  <si>
    <t>Se llena automáticamente. Ejemplo: ARMIDA-DÍA / GM-NOCHE. Si no hay turno capturado, muestra solo el cliente.</t>
  </si>
  <si>
    <t>Columnas amarillas</t>
  </si>
  <si>
    <t>BANCO, CUENTA, VACACIONES LABORADAS, PRIMA VACACIONAL y DEDUCCIONES son de captura manual (Nómina). El resto es automático.</t>
  </si>
  <si>
    <t>Concentra alertas automáticas: más de 6 días, doble evento mismo día, FL/DL múltiple. No hay columna de Estatus separada.</t>
  </si>
  <si>
    <t>PROCLEAN</t>
  </si>
  <si>
    <t>SEMANA:</t>
  </si>
  <si>
    <t>NOMINA:</t>
  </si>
  <si>
    <t>MIÉRCOLES</t>
  </si>
  <si>
    <t>CLIENTE:  ARMIDA</t>
  </si>
  <si>
    <t>NOMBRE DE EMPLEADO</t>
  </si>
  <si>
    <t>CLIENTE</t>
  </si>
  <si>
    <t>PLANTA</t>
  </si>
  <si>
    <t>TURNO</t>
  </si>
  <si>
    <t>PUESTO</t>
  </si>
  <si>
    <t>V1</t>
  </si>
  <si>
    <t>S2</t>
  </si>
  <si>
    <t>D3</t>
  </si>
  <si>
    <t>L4</t>
  </si>
  <si>
    <t>M5</t>
  </si>
  <si>
    <t>M6</t>
  </si>
  <si>
    <t>J7</t>
  </si>
  <si>
    <t>HORAS EXTRA</t>
  </si>
  <si>
    <t>HORAS EXTRA
NORMALES</t>
  </si>
  <si>
    <t>DÍAS CUBIERTOS
NORMALES</t>
  </si>
  <si>
    <t>ARMIDA</t>
  </si>
  <si>
    <t>CLIENTE:  AURIGA</t>
  </si>
  <si>
    <t>AURIGA</t>
  </si>
  <si>
    <t>CLIENTE:  AURORA</t>
  </si>
  <si>
    <t>AURORA</t>
  </si>
  <si>
    <t>CLIENTE:  CITICA</t>
  </si>
  <si>
    <t>CITICA</t>
  </si>
  <si>
    <t>CLIENTE:  GM</t>
  </si>
  <si>
    <t>GM</t>
  </si>
  <si>
    <t>CLIENTE:  TORRE BALZAK</t>
  </si>
  <si>
    <t>TORRE BALZAK</t>
  </si>
  <si>
    <t>CLIENTE:  TORRE OLMA</t>
  </si>
  <si>
    <t>TORRE OLMA</t>
  </si>
  <si>
    <t>CLIENTE:  OTROS</t>
  </si>
  <si>
    <t>OTROS</t>
  </si>
  <si>
    <t>PROCLEAN  ·  COMPILADO POR TRABAJADOR  ·  NÓMINA MIÉRCOLES</t>
  </si>
  <si>
    <t>BANCO</t>
  </si>
  <si>
    <t>CUENTA</t>
  </si>
  <si>
    <t>CLIENTES / TURNOS DONDE LABORÓ</t>
  </si>
  <si>
    <t>DÍAS ÚNICOS
LABORADOS</t>
  </si>
  <si>
    <t>DÍAS ADICIONALES
DETECTADOS</t>
  </si>
  <si>
    <t>EVENTOS ADICIONALES
MISMO DÍA</t>
  </si>
  <si>
    <t>VACACIONES
LABORADAS</t>
  </si>
  <si>
    <t>PRIMA
VACACIONAL</t>
  </si>
  <si>
    <t>mRow</t>
  </si>
  <si>
    <t>wKey</t>
  </si>
  <si>
    <t>key</t>
  </si>
  <si>
    <t>nombre</t>
  </si>
  <si>
    <t>nrmNom</t>
  </si>
  <si>
    <t>puesto</t>
  </si>
  <si>
    <t>turno</t>
  </si>
  <si>
    <t>cliente</t>
  </si>
  <si>
    <t>isFirst</t>
  </si>
  <si>
    <t>uID</t>
  </si>
  <si>
    <t>w1</t>
  </si>
  <si>
    <t>w2</t>
  </si>
  <si>
    <t>w3</t>
  </si>
  <si>
    <t>w4</t>
  </si>
  <si>
    <t>w5</t>
  </si>
  <si>
    <t>w6</t>
  </si>
  <si>
    <t>w7</t>
  </si>
  <si>
    <t>wSum</t>
  </si>
  <si>
    <t>fl1</t>
  </si>
  <si>
    <t>fl2</t>
  </si>
  <si>
    <t>fl3</t>
  </si>
  <si>
    <t>fl4</t>
  </si>
  <si>
    <t>fl5</t>
  </si>
  <si>
    <t>fl6</t>
  </si>
  <si>
    <t>fl7</t>
  </si>
  <si>
    <t>flSum</t>
  </si>
  <si>
    <t>dl1</t>
  </si>
  <si>
    <t>dl2</t>
  </si>
  <si>
    <t>dl3</t>
  </si>
  <si>
    <t>dl4</t>
  </si>
  <si>
    <t>dl5</t>
  </si>
  <si>
    <t>dl6</t>
  </si>
  <si>
    <t>dl7</t>
  </si>
  <si>
    <t>dlSum</t>
  </si>
  <si>
    <t>HEN</t>
  </si>
  <si>
    <t>DCN</t>
  </si>
  <si>
    <t>Bono</t>
  </si>
  <si>
    <t>day1</t>
  </si>
  <si>
    <t>day2</t>
  </si>
  <si>
    <t>day3</t>
  </si>
  <si>
    <t>day4</t>
  </si>
  <si>
    <t>day5</t>
  </si>
  <si>
    <t>day6</t>
  </si>
  <si>
    <t>day7</t>
  </si>
  <si>
    <t>NOMBRE COMPLETO</t>
  </si>
  <si>
    <t>COORDINADOR: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</si>
</sst>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charset val="1"/>
    </font>
    <font>
      <sz val="11"/>
      <color theme="1"/>
      <name val="Aptos Display"/>
      <family val="2"/>
      <charset val="1"/>
    </font>
    <font>
      <b/>
      <sz val="11"/>
      <color rgb="FFFFFFFF"/>
      <name val="Aptos Display"/>
      <family val="2"/>
      <charset val="1"/>
    </font>
    <font>
      <sz val="11"/>
      <color rgb="FF2E7D32"/>
      <name val="Aptos Display"/>
      <family val="2"/>
      <charset val="1"/>
    </font>
    <font>
      <sz val="11"/>
      <color rgb="FF000000"/>
      <name val="Aptos Display"/>
      <family val="2"/>
      <charset val="1"/>
    </font>
    <font>
      <sz val="11"/>
      <color rgb="FF1565C0"/>
      <name val="Aptos Display"/>
      <family val="2"/>
      <charset val="1"/>
    </font>
    <font>
      <sz val="11"/>
      <color rgb="FFB71C1C"/>
      <name val="Aptos Display"/>
      <family val="2"/>
      <charset val="1"/>
    </font>
    <font>
      <sz val="11"/>
      <color rgb="FF827717"/>
      <name val="Aptos Display"/>
      <family val="2"/>
      <charset val="1"/>
    </font>
    <font>
      <sz val="11"/>
      <color rgb="FF455A64"/>
      <name val="Aptos Display"/>
      <family val="2"/>
      <charset val="1"/>
    </font>
    <font>
      <sz val="11"/>
      <color rgb="FFE65100"/>
      <name val="Aptos Display"/>
      <family val="2"/>
      <charset val="1"/>
    </font>
    <font>
      <b/>
      <sz val="11"/>
      <color rgb="FFBF360C"/>
      <name val="Aptos Display"/>
      <family val="2"/>
      <charset val="1"/>
    </font>
    <font>
      <b/>
      <sz val="11"/>
      <color rgb="FF0D47A1"/>
      <name val="Aptos Display"/>
      <family val="2"/>
      <charset val="1"/>
    </font>
    <font>
      <b/>
      <sz val="11"/>
      <color rgb="FF4527A0"/>
      <name val="Aptos Display"/>
      <family val="2"/>
      <charset val="1"/>
    </font>
    <font>
      <b/>
      <sz val="11"/>
      <color rgb="FFB71C1C"/>
      <name val="Aptos Display"/>
      <family val="2"/>
      <charset val="1"/>
    </font>
    <font>
      <b/>
      <sz val="11"/>
      <color rgb="FF000000"/>
      <name val="Aptos Display"/>
      <family val="2"/>
      <charset val="1"/>
    </font>
    <font>
      <b/>
      <sz val="20"/>
      <color theme="0"/>
      <name val="Aptos Display"/>
      <family val="2"/>
      <charset val="1"/>
    </font>
    <font>
      <b/>
      <sz val="10"/>
      <color rgb="FF1F3864"/>
      <name val="Aptos Display"/>
      <family val="2"/>
      <charset val="1"/>
    </font>
    <font>
      <b/>
      <sz val="10"/>
      <color rgb="FF0070C0"/>
      <name val="Aptos Display"/>
      <family val="2"/>
      <charset val="1"/>
    </font>
    <font>
      <b/>
      <sz val="10"/>
      <color rgb="FFFFFFFF"/>
      <name val="Aptos Display"/>
      <family val="2"/>
      <charset val="1"/>
    </font>
    <font>
      <sz val="10"/>
      <color rgb="FF000000"/>
      <name val="Aptos Display"/>
      <family val="2"/>
      <charset val="1"/>
    </font>
    <font>
      <sz val="8"/>
      <color rgb="FFAAAAAA"/>
      <name val="Cambria"/>
      <family val="1"/>
    </font>
    <font>
      <sz val="9"/>
      <name val="Aptos Display"/>
      <family val="2"/>
    </font>
    <font>
      <sz val="10"/>
      <color rgb="FF000000"/>
      <name val="Aptos Display"/>
      <family val="2"/>
    </font>
  </fonts>
  <fills count="24">
    <fill>
      <patternFill patternType="none"/>
    </fill>
    <fill>
      <patternFill patternType="gray125"/>
    </fill>
    <fill>
      <patternFill patternType="solid">
        <fgColor rgb="FF1F3864"/>
        <bgColor rgb="FF0D47A1"/>
      </patternFill>
    </fill>
    <fill>
      <patternFill patternType="solid">
        <fgColor theme="9"/>
        <bgColor rgb="FFFFD966"/>
      </patternFill>
    </fill>
    <fill>
      <patternFill patternType="solid">
        <fgColor rgb="FFC8E6C9"/>
        <bgColor rgb="FFD7E4BD"/>
      </patternFill>
    </fill>
    <fill>
      <patternFill patternType="solid">
        <fgColor rgb="FFFEF2E8"/>
        <bgColor rgb="FFFFEBEE"/>
      </patternFill>
    </fill>
    <fill>
      <patternFill patternType="solid">
        <fgColor rgb="FFBBDEFB"/>
        <bgColor rgb="FFB9CDE5"/>
      </patternFill>
    </fill>
    <fill>
      <patternFill patternType="solid">
        <fgColor rgb="FFFFCDD2"/>
        <bgColor rgb="FFFFE0B2"/>
      </patternFill>
    </fill>
    <fill>
      <patternFill patternType="solid">
        <fgColor rgb="FFFFF9C4"/>
        <bgColor rgb="FFFFF2CC"/>
      </patternFill>
    </fill>
    <fill>
      <patternFill patternType="solid">
        <fgColor rgb="FFECEFF1"/>
        <bgColor rgb="FFF2F2F2"/>
      </patternFill>
    </fill>
    <fill>
      <patternFill patternType="solid">
        <fgColor rgb="FFFFE0B2"/>
        <bgColor rgb="FFFDEADA"/>
      </patternFill>
    </fill>
    <fill>
      <patternFill patternType="solid">
        <fgColor rgb="FFEDE7F6"/>
        <bgColor rgb="FFECEFF1"/>
      </patternFill>
    </fill>
    <fill>
      <patternFill patternType="solid">
        <fgColor theme="0" tint="-0.34998626667073579"/>
        <bgColor rgb="FFAAAAAA"/>
      </patternFill>
    </fill>
    <fill>
      <patternFill patternType="solid">
        <fgColor theme="0"/>
        <bgColor rgb="FFF9FBF9"/>
      </patternFill>
    </fill>
    <fill>
      <patternFill patternType="solid">
        <fgColor theme="4"/>
        <bgColor rgb="FF1565C0"/>
      </patternFill>
    </fill>
    <fill>
      <patternFill patternType="solid">
        <fgColor rgb="FFFFEBEE"/>
        <bgColor rgb="FFFEF2E8"/>
      </patternFill>
    </fill>
    <fill>
      <patternFill patternType="solid">
        <fgColor theme="4" tint="0.59987182226020086"/>
        <bgColor rgb="FFBBDEFB"/>
      </patternFill>
    </fill>
    <fill>
      <patternFill patternType="solid">
        <fgColor theme="4" tint="0.79989013336588644"/>
        <bgColor rgb="FFDBEEF4"/>
      </patternFill>
    </fill>
    <fill>
      <patternFill patternType="solid">
        <fgColor theme="6"/>
        <bgColor rgb="FF92D050"/>
      </patternFill>
    </fill>
    <fill>
      <patternFill patternType="solid">
        <fgColor theme="6" tint="0.59987182226020086"/>
        <bgColor rgb="FFC8E6C9"/>
      </patternFill>
    </fill>
    <fill>
      <patternFill patternType="solid">
        <fgColor rgb="FFF9FBF9"/>
        <bgColor rgb="FFFFFFFF"/>
      </patternFill>
    </fill>
    <fill>
      <patternFill patternType="solid">
        <fgColor rgb="FF0070C0"/>
        <bgColor rgb="FF1565C0"/>
      </patternFill>
    </fill>
    <fill>
      <patternFill patternType="solid">
        <fgColor rgb="FF92D050"/>
        <bgColor rgb="FF9BBB59"/>
      </patternFill>
    </fill>
    <fill>
      <patternFill patternType="solid">
        <fgColor theme="1"/>
        <bgColor rgb="FF003300"/>
      </patternFill>
    </fill>
  </fills>
  <borders count="22">
    <border>
      <left/>
      <right/>
      <top/>
      <bottom/>
      <diagonal/>
    </border>
    <border>
      <left style="thin">
        <color theme="9" tint="0.79989013336588644"/>
      </left>
      <right style="thin">
        <color theme="9" tint="0.79989013336588644"/>
      </right>
      <top style="thin">
        <color theme="9" tint="0.79989013336588644"/>
      </top>
      <bottom style="thin">
        <color theme="9" tint="0.79989013336588644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8" tint="0.79989013336588644"/>
      </left>
      <right style="thin">
        <color theme="8" tint="0.79989013336588644"/>
      </right>
      <top style="thin">
        <color theme="8" tint="0.79989013336588644"/>
      </top>
      <bottom style="thin">
        <color theme="8" tint="0.79989013336588644"/>
      </bottom>
      <diagonal/>
    </border>
    <border>
      <left style="thin">
        <color theme="6" tint="0.79989013336588644"/>
      </left>
      <right style="thin">
        <color theme="6" tint="0.79989013336588644"/>
      </right>
      <top style="thin">
        <color theme="6" tint="0.79989013336588644"/>
      </top>
      <bottom style="thin">
        <color theme="6" tint="0.79989013336588644"/>
      </bottom>
      <diagonal/>
    </border>
    <border>
      <left/>
      <right/>
      <top/>
      <bottom style="medium">
        <color rgb="FF92D050"/>
      </bottom>
      <diagonal/>
    </border>
    <border>
      <left/>
      <right/>
      <top style="medium">
        <color rgb="FF92D050"/>
      </top>
      <bottom/>
      <diagonal/>
    </border>
    <border>
      <left style="thin">
        <color theme="0"/>
      </left>
      <right/>
      <top style="thin">
        <color theme="0"/>
      </top>
      <bottom style="thin">
        <color theme="6" tint="0.79989013336588644"/>
      </bottom>
      <diagonal/>
    </border>
    <border>
      <left style="thin">
        <color theme="6" tint="0.79989013336588644"/>
      </left>
      <right/>
      <top style="thin">
        <color theme="6" tint="0.79989013336588644"/>
      </top>
      <bottom style="thin">
        <color theme="6" tint="0.79989013336588644"/>
      </bottom>
      <diagonal/>
    </border>
    <border>
      <left/>
      <right style="thin">
        <color theme="8" tint="0.79989013336588644"/>
      </right>
      <top style="thin">
        <color theme="8" tint="0.79989013336588644"/>
      </top>
      <bottom style="thin">
        <color theme="8" tint="0.79989013336588644"/>
      </bottom>
      <diagonal/>
    </border>
    <border>
      <left style="thin">
        <color theme="8" tint="0.79998168889431442"/>
      </left>
      <right style="thin">
        <color theme="8" tint="0.79998168889431442"/>
      </right>
      <top style="thin">
        <color theme="8" tint="0.79998168889431442"/>
      </top>
      <bottom style="thin">
        <color theme="8" tint="0.79998168889431442"/>
      </bottom>
      <diagonal/>
    </border>
    <border>
      <left/>
      <right style="thin">
        <color theme="8" tint="0.79998168889431442"/>
      </right>
      <top style="thin">
        <color theme="8" tint="0.79998168889431442"/>
      </top>
      <bottom style="thin">
        <color theme="8" tint="0.79998168889431442"/>
      </bottom>
      <diagonal/>
    </border>
    <border>
      <left style="thin">
        <color theme="6" tint="0.79998168889431442"/>
      </left>
      <right style="thin">
        <color theme="6" tint="0.79998168889431442"/>
      </right>
      <top style="thin">
        <color theme="6" tint="0.79998168889431442"/>
      </top>
      <bottom style="thin">
        <color theme="6" tint="0.7999816888943144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6" tint="0.79998168889431442"/>
      </left>
      <right style="thin">
        <color theme="6" tint="0.79998168889431442"/>
      </right>
      <top/>
      <bottom style="thin">
        <color theme="6" tint="0.7999816888943144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/>
      <right style="thin">
        <color theme="8" tint="0.79998168889431442"/>
      </right>
      <top/>
      <bottom style="thin">
        <color theme="8" tint="0.79998168889431442"/>
      </bottom>
      <diagonal/>
    </border>
    <border>
      <left style="thin">
        <color theme="8" tint="0.79998168889431442"/>
      </left>
      <right style="thin">
        <color theme="8" tint="0.79998168889431442"/>
      </right>
      <top/>
      <bottom style="thin">
        <color theme="8" tint="0.7999816888943144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5" fillId="21" borderId="0" xfId="0" applyFont="1" applyFill="1" applyAlignment="1">
      <alignment horizontal="center" vertical="center"/>
    </xf>
    <xf numFmtId="0" fontId="4" fillId="20" borderId="5" xfId="0" applyFont="1" applyFill="1" applyBorder="1" applyAlignment="1">
      <alignment horizontal="left" vertical="center" wrapText="1"/>
    </xf>
    <xf numFmtId="0" fontId="2" fillId="18" borderId="0" xfId="0" applyFont="1" applyFill="1" applyAlignment="1">
      <alignment horizontal="center" vertical="center"/>
    </xf>
    <xf numFmtId="0" fontId="4" fillId="17" borderId="4" xfId="0" applyFont="1" applyFill="1" applyBorder="1" applyAlignment="1">
      <alignment horizontal="left" vertical="center" wrapText="1"/>
    </xf>
    <xf numFmtId="0" fontId="13" fillId="15" borderId="0" xfId="0" applyFont="1" applyFill="1" applyAlignment="1">
      <alignment horizontal="left" vertical="center"/>
    </xf>
    <xf numFmtId="0" fontId="2" fillId="14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1" fillId="0" borderId="0" xfId="0" applyFont="1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left" vertical="center" wrapText="1"/>
    </xf>
    <xf numFmtId="0" fontId="12" fillId="11" borderId="1" xfId="0" applyFont="1" applyFill="1" applyBorder="1" applyAlignment="1">
      <alignment horizontal="left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left" vertical="center" wrapText="1"/>
    </xf>
    <xf numFmtId="0" fontId="14" fillId="16" borderId="4" xfId="0" applyFont="1" applyFill="1" applyBorder="1" applyAlignment="1">
      <alignment horizontal="left" vertical="center"/>
    </xf>
    <xf numFmtId="0" fontId="14" fillId="19" borderId="5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16" fillId="0" borderId="7" xfId="0" applyFont="1" applyBorder="1" applyAlignment="1">
      <alignment horizontal="left" vertical="center"/>
    </xf>
    <xf numFmtId="0" fontId="16" fillId="0" borderId="7" xfId="0" applyFont="1" applyBorder="1" applyAlignment="1">
      <alignment horizontal="right" vertical="center"/>
    </xf>
    <xf numFmtId="0" fontId="17" fillId="0" borderId="7" xfId="0" applyFont="1" applyBorder="1" applyAlignment="1">
      <alignment vertical="center"/>
    </xf>
    <xf numFmtId="0" fontId="0" fillId="0" borderId="0" xfId="0" applyAlignment="1">
      <alignment vertical="center"/>
    </xf>
    <xf numFmtId="0" fontId="18" fillId="23" borderId="8" xfId="0" applyFont="1" applyFill="1" applyBorder="1" applyAlignment="1">
      <alignment horizontal="center" vertical="center" wrapText="1"/>
    </xf>
    <xf numFmtId="0" fontId="18" fillId="21" borderId="8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left" vertical="center" indent="1"/>
    </xf>
    <xf numFmtId="0" fontId="19" fillId="0" borderId="3" xfId="0" applyFont="1" applyBorder="1" applyAlignment="1">
      <alignment horizontal="center" vertical="center"/>
    </xf>
    <xf numFmtId="2" fontId="19" fillId="0" borderId="10" xfId="0" applyNumberFormat="1" applyFont="1" applyBorder="1" applyAlignment="1">
      <alignment horizontal="center" vertical="center"/>
    </xf>
    <xf numFmtId="0" fontId="19" fillId="0" borderId="4" xfId="0" applyFont="1" applyBorder="1" applyAlignment="1">
      <alignment horizontal="left" vertical="center" wrapText="1"/>
    </xf>
    <xf numFmtId="0" fontId="20" fillId="0" borderId="0" xfId="0" applyFont="1"/>
    <xf numFmtId="0" fontId="21" fillId="0" borderId="11" xfId="0" applyFont="1" applyFill="1" applyBorder="1" applyAlignment="1">
      <alignment horizontal="center" vertical="center"/>
    </xf>
    <xf numFmtId="0" fontId="21" fillId="0" borderId="11" xfId="0" applyFont="1" applyFill="1" applyBorder="1" applyAlignment="1">
      <alignment horizontal="left" vertical="center" wrapText="1"/>
    </xf>
    <xf numFmtId="0" fontId="21" fillId="0" borderId="12" xfId="0" applyFont="1" applyFill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0" borderId="13" xfId="0" applyFont="1" applyFill="1" applyBorder="1" applyAlignment="1">
      <alignment horizontal="left" vertical="center" wrapText="1"/>
    </xf>
    <xf numFmtId="0" fontId="21" fillId="0" borderId="13" xfId="0" applyFont="1" applyFill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15" fillId="21" borderId="6" xfId="0" applyFont="1" applyFill="1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8" fillId="22" borderId="15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left" vertical="center" indent="1"/>
    </xf>
    <xf numFmtId="0" fontId="4" fillId="0" borderId="13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21" fillId="0" borderId="16" xfId="0" applyFont="1" applyFill="1" applyBorder="1" applyAlignment="1">
      <alignment horizontal="left" vertical="center" wrapText="1"/>
    </xf>
    <xf numFmtId="0" fontId="21" fillId="0" borderId="16" xfId="0" applyFont="1" applyFill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19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0" fontId="22" fillId="0" borderId="20" xfId="0" applyFont="1" applyBorder="1" applyAlignment="1">
      <alignment horizontal="center" vertical="center"/>
    </xf>
    <xf numFmtId="0" fontId="21" fillId="0" borderId="20" xfId="0" applyFont="1" applyFill="1" applyBorder="1" applyAlignment="1">
      <alignment horizontal="left" vertical="center" wrapText="1"/>
    </xf>
    <xf numFmtId="0" fontId="18" fillId="22" borderId="21" xfId="0" applyFont="1" applyFill="1" applyBorder="1" applyAlignment="1">
      <alignment horizontal="center" vertical="center" wrapText="1"/>
    </xf>
    <xf numFmtId="0" fontId="18" fillId="23" borderId="21" xfId="0" applyFont="1" applyFill="1" applyBorder="1" applyAlignment="1">
      <alignment horizontal="center" vertical="center" wrapText="1"/>
    </xf>
    <xf numFmtId="0" fontId="18" fillId="21" borderId="21" xfId="0" applyFont="1" applyFill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/>
    </xf>
    <xf numFmtId="0" fontId="0" fillId="0" borderId="7" xfId="0" applyBorder="1" applyAlignment="1">
      <alignment vertical="center"/>
    </xf>
  </cellXfs>
  <cellStyles count="1">
    <cellStyle name="Normal" xfId="0" builtinId="0"/>
  </cellStyles>
  <dxfs count="120">
    <dxf>
      <font>
        <color rgb="FFB71C1C"/>
      </font>
      <fill>
        <patternFill>
          <bgColor rgb="FFFFCDD2"/>
        </patternFill>
      </fill>
    </dxf>
    <dxf>
      <font>
        <color rgb="FF827717"/>
      </font>
      <fill>
        <patternFill>
          <bgColor rgb="FFFFF9C4"/>
        </patternFill>
      </fill>
    </dxf>
    <dxf>
      <font>
        <color rgb="FFB71C1C"/>
      </font>
      <fill>
        <patternFill>
          <bgColor rgb="FFFFCDD2"/>
        </patternFill>
      </fill>
    </dxf>
    <dxf>
      <font>
        <color rgb="FF455A64"/>
      </font>
      <fill>
        <patternFill>
          <bgColor rgb="FFECEFF1"/>
        </patternFill>
      </fill>
    </dxf>
    <dxf>
      <font>
        <color rgb="FF827717"/>
      </font>
      <fill>
        <patternFill>
          <bgColor rgb="FFFFF9C4"/>
        </patternFill>
      </fill>
    </dxf>
    <dxf>
      <font>
        <color rgb="FFB71C1C"/>
      </font>
      <fill>
        <patternFill>
          <bgColor rgb="FFFFCDD2"/>
        </patternFill>
      </fill>
    </dxf>
    <dxf>
      <font>
        <color rgb="FF1565C0"/>
      </font>
      <fill>
        <patternFill>
          <bgColor rgb="FFBBDEFB"/>
        </patternFill>
      </fill>
    </dxf>
    <dxf>
      <font>
        <color rgb="FF2E7D32"/>
      </font>
      <fill>
        <patternFill>
          <bgColor rgb="FFC8E6C9"/>
        </patternFill>
      </fill>
    </dxf>
    <dxf>
      <font>
        <b/>
        <color rgb="FF4527A0"/>
      </font>
      <fill>
        <patternFill>
          <bgColor rgb="FFEDE7F6"/>
        </patternFill>
      </fill>
    </dxf>
    <dxf>
      <font>
        <color rgb="FF455A64"/>
      </font>
      <fill>
        <patternFill>
          <bgColor rgb="FFECEFF1"/>
        </patternFill>
      </fill>
    </dxf>
    <dxf>
      <font>
        <color rgb="FFE65100"/>
      </font>
      <fill>
        <patternFill>
          <bgColor rgb="FFFFE0B2"/>
        </patternFill>
      </fill>
    </dxf>
    <dxf>
      <font>
        <b/>
        <color rgb="FF0D47A1"/>
      </font>
      <fill>
        <patternFill>
          <bgColor rgb="FFBBDEFB"/>
        </patternFill>
      </fill>
    </dxf>
    <dxf>
      <font>
        <b/>
        <color rgb="FFBF360C"/>
      </font>
      <fill>
        <patternFill>
          <bgColor rgb="FFFFE0B2"/>
        </patternFill>
      </fill>
    </dxf>
    <dxf>
      <font>
        <color rgb="FFB71C1C"/>
      </font>
      <fill>
        <patternFill>
          <bgColor rgb="FFFFCDD2"/>
        </patternFill>
      </fill>
    </dxf>
    <dxf>
      <font>
        <color rgb="FFB71C1C"/>
      </font>
      <fill>
        <patternFill>
          <bgColor rgb="FFFFCDD2"/>
        </patternFill>
      </fill>
    </dxf>
    <dxf>
      <font>
        <color rgb="FFB71C1C"/>
      </font>
      <fill>
        <patternFill>
          <bgColor rgb="FFFFCDD2"/>
        </patternFill>
      </fill>
    </dxf>
    <dxf>
      <font>
        <color rgb="FF827717"/>
      </font>
      <fill>
        <patternFill>
          <bgColor rgb="FFFFF9C4"/>
        </patternFill>
      </fill>
    </dxf>
    <dxf>
      <font>
        <color rgb="FFB71C1C"/>
      </font>
      <fill>
        <patternFill>
          <bgColor rgb="FFFFCDD2"/>
        </patternFill>
      </fill>
    </dxf>
    <dxf>
      <font>
        <color rgb="FF455A64"/>
      </font>
      <fill>
        <patternFill>
          <bgColor rgb="FFECEFF1"/>
        </patternFill>
      </fill>
    </dxf>
    <dxf>
      <font>
        <color rgb="FF827717"/>
      </font>
      <fill>
        <patternFill>
          <bgColor rgb="FFFFF9C4"/>
        </patternFill>
      </fill>
    </dxf>
    <dxf>
      <font>
        <color rgb="FFB71C1C"/>
      </font>
      <fill>
        <patternFill>
          <bgColor rgb="FFFFCDD2"/>
        </patternFill>
      </fill>
    </dxf>
    <dxf>
      <font>
        <color rgb="FF1565C0"/>
      </font>
      <fill>
        <patternFill>
          <bgColor rgb="FFBBDEFB"/>
        </patternFill>
      </fill>
    </dxf>
    <dxf>
      <font>
        <color rgb="FF2E7D32"/>
      </font>
      <fill>
        <patternFill>
          <bgColor rgb="FFC8E6C9"/>
        </patternFill>
      </fill>
    </dxf>
    <dxf>
      <font>
        <b/>
        <color rgb="FF4527A0"/>
      </font>
      <fill>
        <patternFill>
          <bgColor rgb="FFEDE7F6"/>
        </patternFill>
      </fill>
    </dxf>
    <dxf>
      <font>
        <color rgb="FF455A64"/>
      </font>
      <fill>
        <patternFill>
          <bgColor rgb="FFECEFF1"/>
        </patternFill>
      </fill>
    </dxf>
    <dxf>
      <font>
        <color rgb="FFE65100"/>
      </font>
      <fill>
        <patternFill>
          <bgColor rgb="FFFFE0B2"/>
        </patternFill>
      </fill>
    </dxf>
    <dxf>
      <font>
        <b/>
        <color rgb="FF0D47A1"/>
      </font>
      <fill>
        <patternFill>
          <bgColor rgb="FFBBDEFB"/>
        </patternFill>
      </fill>
    </dxf>
    <dxf>
      <font>
        <b/>
        <color rgb="FFBF360C"/>
      </font>
      <fill>
        <patternFill>
          <bgColor rgb="FFFFE0B2"/>
        </patternFill>
      </fill>
    </dxf>
    <dxf>
      <font>
        <color rgb="FFB71C1C"/>
      </font>
      <fill>
        <patternFill>
          <bgColor rgb="FFFFCDD2"/>
        </patternFill>
      </fill>
    </dxf>
    <dxf>
      <font>
        <color rgb="FFB71C1C"/>
      </font>
      <fill>
        <patternFill>
          <bgColor rgb="FFFFCDD2"/>
        </patternFill>
      </fill>
    </dxf>
    <dxf>
      <font>
        <color rgb="FFB71C1C"/>
      </font>
      <fill>
        <patternFill>
          <bgColor rgb="FFFFCDD2"/>
        </patternFill>
      </fill>
    </dxf>
    <dxf>
      <font>
        <color rgb="FF827717"/>
      </font>
      <fill>
        <patternFill>
          <bgColor rgb="FFFFF9C4"/>
        </patternFill>
      </fill>
    </dxf>
    <dxf>
      <font>
        <color rgb="FFB71C1C"/>
      </font>
      <fill>
        <patternFill>
          <bgColor rgb="FFFFCDD2"/>
        </patternFill>
      </fill>
    </dxf>
    <dxf>
      <font>
        <color rgb="FF455A64"/>
      </font>
      <fill>
        <patternFill>
          <bgColor rgb="FFECEFF1"/>
        </patternFill>
      </fill>
    </dxf>
    <dxf>
      <font>
        <color rgb="FF827717"/>
      </font>
      <fill>
        <patternFill>
          <bgColor rgb="FFFFF9C4"/>
        </patternFill>
      </fill>
    </dxf>
    <dxf>
      <font>
        <color rgb="FFB71C1C"/>
      </font>
      <fill>
        <patternFill>
          <bgColor rgb="FFFFCDD2"/>
        </patternFill>
      </fill>
    </dxf>
    <dxf>
      <font>
        <color rgb="FF1565C0"/>
      </font>
      <fill>
        <patternFill>
          <bgColor rgb="FFBBDEFB"/>
        </patternFill>
      </fill>
    </dxf>
    <dxf>
      <font>
        <color rgb="FF2E7D32"/>
      </font>
      <fill>
        <patternFill>
          <bgColor rgb="FFC8E6C9"/>
        </patternFill>
      </fill>
    </dxf>
    <dxf>
      <font>
        <b/>
        <color rgb="FF4527A0"/>
      </font>
      <fill>
        <patternFill>
          <bgColor rgb="FFEDE7F6"/>
        </patternFill>
      </fill>
    </dxf>
    <dxf>
      <font>
        <color rgb="FF455A64"/>
      </font>
      <fill>
        <patternFill>
          <bgColor rgb="FFECEFF1"/>
        </patternFill>
      </fill>
    </dxf>
    <dxf>
      <font>
        <color rgb="FFE65100"/>
      </font>
      <fill>
        <patternFill>
          <bgColor rgb="FFFFE0B2"/>
        </patternFill>
      </fill>
    </dxf>
    <dxf>
      <font>
        <b/>
        <color rgb="FF0D47A1"/>
      </font>
      <fill>
        <patternFill>
          <bgColor rgb="FFBBDEFB"/>
        </patternFill>
      </fill>
    </dxf>
    <dxf>
      <font>
        <b/>
        <color rgb="FFBF360C"/>
      </font>
      <fill>
        <patternFill>
          <bgColor rgb="FFFFE0B2"/>
        </patternFill>
      </fill>
    </dxf>
    <dxf>
      <font>
        <color rgb="FFB71C1C"/>
      </font>
      <fill>
        <patternFill>
          <bgColor rgb="FFFFCDD2"/>
        </patternFill>
      </fill>
    </dxf>
    <dxf>
      <font>
        <color rgb="FFB71C1C"/>
      </font>
      <fill>
        <patternFill>
          <bgColor rgb="FFFFCDD2"/>
        </patternFill>
      </fill>
    </dxf>
    <dxf>
      <font>
        <color rgb="FFB71C1C"/>
      </font>
      <fill>
        <patternFill>
          <bgColor rgb="FFFFCDD2"/>
        </patternFill>
      </fill>
    </dxf>
    <dxf>
      <font>
        <color rgb="FF827717"/>
      </font>
      <fill>
        <patternFill>
          <bgColor rgb="FFFFF9C4"/>
        </patternFill>
      </fill>
    </dxf>
    <dxf>
      <font>
        <color rgb="FFB71C1C"/>
      </font>
      <fill>
        <patternFill>
          <bgColor rgb="FFFFCDD2"/>
        </patternFill>
      </fill>
    </dxf>
    <dxf>
      <font>
        <color rgb="FF455A64"/>
      </font>
      <fill>
        <patternFill>
          <bgColor rgb="FFECEFF1"/>
        </patternFill>
      </fill>
    </dxf>
    <dxf>
      <font>
        <color rgb="FF827717"/>
      </font>
      <fill>
        <patternFill>
          <bgColor rgb="FFFFF9C4"/>
        </patternFill>
      </fill>
    </dxf>
    <dxf>
      <font>
        <color rgb="FFB71C1C"/>
      </font>
      <fill>
        <patternFill>
          <bgColor rgb="FFFFCDD2"/>
        </patternFill>
      </fill>
    </dxf>
    <dxf>
      <font>
        <color rgb="FF1565C0"/>
      </font>
      <fill>
        <patternFill>
          <bgColor rgb="FFBBDEFB"/>
        </patternFill>
      </fill>
    </dxf>
    <dxf>
      <font>
        <color rgb="FF2E7D32"/>
      </font>
      <fill>
        <patternFill>
          <bgColor rgb="FFC8E6C9"/>
        </patternFill>
      </fill>
    </dxf>
    <dxf>
      <font>
        <b/>
        <color rgb="FF4527A0"/>
      </font>
      <fill>
        <patternFill>
          <bgColor rgb="FFEDE7F6"/>
        </patternFill>
      </fill>
    </dxf>
    <dxf>
      <font>
        <color rgb="FF455A64"/>
      </font>
      <fill>
        <patternFill>
          <bgColor rgb="FFECEFF1"/>
        </patternFill>
      </fill>
    </dxf>
    <dxf>
      <font>
        <color rgb="FFE65100"/>
      </font>
      <fill>
        <patternFill>
          <bgColor rgb="FFFFE0B2"/>
        </patternFill>
      </fill>
    </dxf>
    <dxf>
      <font>
        <b/>
        <color rgb="FF0D47A1"/>
      </font>
      <fill>
        <patternFill>
          <bgColor rgb="FFBBDEFB"/>
        </patternFill>
      </fill>
    </dxf>
    <dxf>
      <font>
        <b/>
        <color rgb="FFBF360C"/>
      </font>
      <fill>
        <patternFill>
          <bgColor rgb="FFFFE0B2"/>
        </patternFill>
      </fill>
    </dxf>
    <dxf>
      <font>
        <color rgb="FFB71C1C"/>
      </font>
      <fill>
        <patternFill>
          <bgColor rgb="FFFFCDD2"/>
        </patternFill>
      </fill>
    </dxf>
    <dxf>
      <font>
        <color rgb="FFB71C1C"/>
      </font>
      <fill>
        <patternFill>
          <bgColor rgb="FFFFCDD2"/>
        </patternFill>
      </fill>
    </dxf>
    <dxf>
      <font>
        <color rgb="FFB71C1C"/>
      </font>
      <fill>
        <patternFill>
          <bgColor rgb="FFFFCDD2"/>
        </patternFill>
      </fill>
    </dxf>
    <dxf>
      <font>
        <color rgb="FF827717"/>
      </font>
      <fill>
        <patternFill>
          <bgColor rgb="FFFFF9C4"/>
        </patternFill>
      </fill>
    </dxf>
    <dxf>
      <font>
        <color rgb="FFB71C1C"/>
      </font>
      <fill>
        <patternFill>
          <bgColor rgb="FFFFCDD2"/>
        </patternFill>
      </fill>
    </dxf>
    <dxf>
      <font>
        <color rgb="FF455A64"/>
      </font>
      <fill>
        <patternFill>
          <bgColor rgb="FFECEFF1"/>
        </patternFill>
      </fill>
    </dxf>
    <dxf>
      <font>
        <color rgb="FF827717"/>
      </font>
      <fill>
        <patternFill>
          <bgColor rgb="FFFFF9C4"/>
        </patternFill>
      </fill>
    </dxf>
    <dxf>
      <font>
        <color rgb="FFB71C1C"/>
      </font>
      <fill>
        <patternFill>
          <bgColor rgb="FFFFCDD2"/>
        </patternFill>
      </fill>
    </dxf>
    <dxf>
      <font>
        <color rgb="FF1565C0"/>
      </font>
      <fill>
        <patternFill>
          <bgColor rgb="FFBBDEFB"/>
        </patternFill>
      </fill>
    </dxf>
    <dxf>
      <font>
        <color rgb="FF2E7D32"/>
      </font>
      <fill>
        <patternFill>
          <bgColor rgb="FFC8E6C9"/>
        </patternFill>
      </fill>
    </dxf>
    <dxf>
      <font>
        <b/>
        <color rgb="FF4527A0"/>
      </font>
      <fill>
        <patternFill>
          <bgColor rgb="FFEDE7F6"/>
        </patternFill>
      </fill>
    </dxf>
    <dxf>
      <font>
        <color rgb="FF455A64"/>
      </font>
      <fill>
        <patternFill>
          <bgColor rgb="FFECEFF1"/>
        </patternFill>
      </fill>
    </dxf>
    <dxf>
      <font>
        <color rgb="FFE65100"/>
      </font>
      <fill>
        <patternFill>
          <bgColor rgb="FFFFE0B2"/>
        </patternFill>
      </fill>
    </dxf>
    <dxf>
      <font>
        <b/>
        <color rgb="FF0D47A1"/>
      </font>
      <fill>
        <patternFill>
          <bgColor rgb="FFBBDEFB"/>
        </patternFill>
      </fill>
    </dxf>
    <dxf>
      <font>
        <b/>
        <color rgb="FFBF360C"/>
      </font>
      <fill>
        <patternFill>
          <bgColor rgb="FFFFE0B2"/>
        </patternFill>
      </fill>
    </dxf>
    <dxf>
      <font>
        <color rgb="FFB71C1C"/>
      </font>
      <fill>
        <patternFill>
          <bgColor rgb="FFFFCDD2"/>
        </patternFill>
      </fill>
    </dxf>
    <dxf>
      <font>
        <color rgb="FFB71C1C"/>
      </font>
      <fill>
        <patternFill>
          <bgColor rgb="FFFFCDD2"/>
        </patternFill>
      </fill>
    </dxf>
    <dxf>
      <font>
        <color rgb="FFB71C1C"/>
      </font>
      <fill>
        <patternFill>
          <bgColor rgb="FFFFCDD2"/>
        </patternFill>
      </fill>
    </dxf>
    <dxf>
      <font>
        <color rgb="FF827717"/>
      </font>
      <fill>
        <patternFill>
          <bgColor rgb="FFFFF9C4"/>
        </patternFill>
      </fill>
    </dxf>
    <dxf>
      <font>
        <color rgb="FFB71C1C"/>
      </font>
      <fill>
        <patternFill>
          <bgColor rgb="FFFFCDD2"/>
        </patternFill>
      </fill>
    </dxf>
    <dxf>
      <font>
        <color rgb="FF455A64"/>
      </font>
      <fill>
        <patternFill>
          <bgColor rgb="FFECEFF1"/>
        </patternFill>
      </fill>
    </dxf>
    <dxf>
      <font>
        <color rgb="FF827717"/>
      </font>
      <fill>
        <patternFill>
          <bgColor rgb="FFFFF9C4"/>
        </patternFill>
      </fill>
    </dxf>
    <dxf>
      <font>
        <color rgb="FFB71C1C"/>
      </font>
      <fill>
        <patternFill>
          <bgColor rgb="FFFFCDD2"/>
        </patternFill>
      </fill>
    </dxf>
    <dxf>
      <font>
        <color rgb="FF1565C0"/>
      </font>
      <fill>
        <patternFill>
          <bgColor rgb="FFBBDEFB"/>
        </patternFill>
      </fill>
    </dxf>
    <dxf>
      <font>
        <color rgb="FF2E7D32"/>
      </font>
      <fill>
        <patternFill>
          <bgColor rgb="FFC8E6C9"/>
        </patternFill>
      </fill>
    </dxf>
    <dxf>
      <font>
        <b/>
        <color rgb="FF4527A0"/>
      </font>
      <fill>
        <patternFill>
          <bgColor rgb="FFEDE7F6"/>
        </patternFill>
      </fill>
    </dxf>
    <dxf>
      <font>
        <color rgb="FF455A64"/>
      </font>
      <fill>
        <patternFill>
          <bgColor rgb="FFECEFF1"/>
        </patternFill>
      </fill>
    </dxf>
    <dxf>
      <font>
        <color rgb="FFE65100"/>
      </font>
      <fill>
        <patternFill>
          <bgColor rgb="FFFFE0B2"/>
        </patternFill>
      </fill>
    </dxf>
    <dxf>
      <font>
        <b/>
        <color rgb="FF0D47A1"/>
      </font>
      <fill>
        <patternFill>
          <bgColor rgb="FFBBDEFB"/>
        </patternFill>
      </fill>
    </dxf>
    <dxf>
      <font>
        <b/>
        <color rgb="FFBF360C"/>
      </font>
      <fill>
        <patternFill>
          <bgColor rgb="FFFFE0B2"/>
        </patternFill>
      </fill>
    </dxf>
    <dxf>
      <font>
        <color rgb="FFB71C1C"/>
      </font>
      <fill>
        <patternFill>
          <bgColor rgb="FFFFCDD2"/>
        </patternFill>
      </fill>
    </dxf>
    <dxf>
      <font>
        <color rgb="FFB71C1C"/>
      </font>
      <fill>
        <patternFill>
          <bgColor rgb="FFFFCDD2"/>
        </patternFill>
      </fill>
    </dxf>
    <dxf>
      <font>
        <color rgb="FFB71C1C"/>
      </font>
      <fill>
        <patternFill>
          <bgColor rgb="FFFFCDD2"/>
        </patternFill>
      </fill>
    </dxf>
    <dxf>
      <font>
        <color rgb="FF827717"/>
      </font>
      <fill>
        <patternFill>
          <bgColor rgb="FFFFF9C4"/>
        </patternFill>
      </fill>
    </dxf>
    <dxf>
      <font>
        <color rgb="FFB71C1C"/>
      </font>
      <fill>
        <patternFill>
          <bgColor rgb="FFFFCDD2"/>
        </patternFill>
      </fill>
    </dxf>
    <dxf>
      <font>
        <color rgb="FF455A64"/>
      </font>
      <fill>
        <patternFill>
          <bgColor rgb="FFECEFF1"/>
        </patternFill>
      </fill>
    </dxf>
    <dxf>
      <font>
        <color rgb="FF827717"/>
      </font>
      <fill>
        <patternFill>
          <bgColor rgb="FFFFF9C4"/>
        </patternFill>
      </fill>
    </dxf>
    <dxf>
      <font>
        <color rgb="FFB71C1C"/>
      </font>
      <fill>
        <patternFill>
          <bgColor rgb="FFFFCDD2"/>
        </patternFill>
      </fill>
    </dxf>
    <dxf>
      <font>
        <color rgb="FF1565C0"/>
      </font>
      <fill>
        <patternFill>
          <bgColor rgb="FFBBDEFB"/>
        </patternFill>
      </fill>
    </dxf>
    <dxf>
      <font>
        <color rgb="FF2E7D32"/>
      </font>
      <fill>
        <patternFill>
          <bgColor rgb="FFC8E6C9"/>
        </patternFill>
      </fill>
    </dxf>
    <dxf>
      <font>
        <b/>
        <color rgb="FF4527A0"/>
      </font>
      <fill>
        <patternFill>
          <bgColor rgb="FFEDE7F6"/>
        </patternFill>
      </fill>
    </dxf>
    <dxf>
      <font>
        <color rgb="FF455A64"/>
      </font>
      <fill>
        <patternFill>
          <bgColor rgb="FFECEFF1"/>
        </patternFill>
      </fill>
    </dxf>
    <dxf>
      <font>
        <color rgb="FFE65100"/>
      </font>
      <fill>
        <patternFill>
          <bgColor rgb="FFFFE0B2"/>
        </patternFill>
      </fill>
    </dxf>
    <dxf>
      <font>
        <b/>
        <color rgb="FF0D47A1"/>
      </font>
      <fill>
        <patternFill>
          <bgColor rgb="FFBBDEFB"/>
        </patternFill>
      </fill>
    </dxf>
    <dxf>
      <font>
        <b/>
        <color rgb="FFBF360C"/>
      </font>
      <fill>
        <patternFill>
          <bgColor rgb="FFFFE0B2"/>
        </patternFill>
      </fill>
    </dxf>
    <dxf>
      <font>
        <color rgb="FFB71C1C"/>
      </font>
      <fill>
        <patternFill>
          <bgColor rgb="FFFFCDD2"/>
        </patternFill>
      </fill>
    </dxf>
    <dxf>
      <font>
        <color rgb="FFB71C1C"/>
      </font>
      <fill>
        <patternFill>
          <bgColor rgb="FFFFCDD2"/>
        </patternFill>
      </fill>
    </dxf>
    <dxf>
      <font>
        <color rgb="FFB71C1C"/>
      </font>
      <fill>
        <patternFill>
          <bgColor rgb="FFFFCDD2"/>
        </patternFill>
      </fill>
    </dxf>
    <dxf>
      <font>
        <color rgb="FF827717"/>
      </font>
      <fill>
        <patternFill>
          <bgColor rgb="FFFFF9C4"/>
        </patternFill>
      </fill>
    </dxf>
    <dxf>
      <font>
        <color rgb="FFB71C1C"/>
      </font>
      <fill>
        <patternFill>
          <bgColor rgb="FFFFCDD2"/>
        </patternFill>
      </fill>
    </dxf>
    <dxf>
      <font>
        <color rgb="FF455A64"/>
      </font>
      <fill>
        <patternFill>
          <bgColor rgb="FFECEFF1"/>
        </patternFill>
      </fill>
    </dxf>
    <dxf>
      <font>
        <color rgb="FF827717"/>
      </font>
      <fill>
        <patternFill>
          <bgColor rgb="FFFFF9C4"/>
        </patternFill>
      </fill>
    </dxf>
    <dxf>
      <font>
        <color rgb="FFB71C1C"/>
      </font>
      <fill>
        <patternFill>
          <bgColor rgb="FFFFCDD2"/>
        </patternFill>
      </fill>
    </dxf>
    <dxf>
      <font>
        <color rgb="FF1565C0"/>
      </font>
      <fill>
        <patternFill>
          <bgColor rgb="FFBBDEFB"/>
        </patternFill>
      </fill>
    </dxf>
    <dxf>
      <font>
        <color rgb="FF2E7D32"/>
      </font>
      <fill>
        <patternFill>
          <bgColor rgb="FFC8E6C9"/>
        </patternFill>
      </fill>
    </dxf>
    <dxf>
      <font>
        <b/>
        <color rgb="FF4527A0"/>
      </font>
      <fill>
        <patternFill>
          <bgColor rgb="FFEDE7F6"/>
        </patternFill>
      </fill>
    </dxf>
    <dxf>
      <font>
        <color rgb="FF455A64"/>
      </font>
      <fill>
        <patternFill>
          <bgColor rgb="FFECEFF1"/>
        </patternFill>
      </fill>
    </dxf>
    <dxf>
      <font>
        <color rgb="FFE65100"/>
      </font>
      <fill>
        <patternFill>
          <bgColor rgb="FFFFE0B2"/>
        </patternFill>
      </fill>
    </dxf>
    <dxf>
      <font>
        <b/>
        <color rgb="FF0D47A1"/>
      </font>
      <fill>
        <patternFill>
          <bgColor rgb="FFBBDEFB"/>
        </patternFill>
      </fill>
    </dxf>
    <dxf>
      <font>
        <b/>
        <color rgb="FFBF360C"/>
      </font>
      <fill>
        <patternFill>
          <bgColor rgb="FFFFE0B2"/>
        </patternFill>
      </fill>
    </dxf>
    <dxf>
      <font>
        <color rgb="FFB71C1C"/>
      </font>
      <fill>
        <patternFill>
          <bgColor rgb="FFFFCDD2"/>
        </patternFill>
      </fill>
    </dxf>
    <dxf>
      <font>
        <color rgb="FFB71C1C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FEF2E8"/>
      <rgbColor rgb="FF0000FF"/>
      <rgbColor rgb="FFD7E4BD"/>
      <rgbColor rgb="FFFF00FF"/>
      <rgbColor rgb="FFEBF1DE"/>
      <rgbColor rgb="FF800000"/>
      <rgbColor rgb="FF008000"/>
      <rgbColor rgb="FF000080"/>
      <rgbColor rgb="FF827717"/>
      <rgbColor rgb="FF800080"/>
      <rgbColor rgb="FFFFEBEE"/>
      <rgbColor rgb="FFBFBFBF"/>
      <rgbColor rgb="FF4F81BD"/>
      <rgbColor rgb="FFAAAAAA"/>
      <rgbColor rgb="FFB71C1C"/>
      <rgbColor rgb="FFFFF9C4"/>
      <rgbColor rgb="FFDBEEF4"/>
      <rgbColor rgb="FF660066"/>
      <rgbColor rgb="FFEDE7F6"/>
      <rgbColor rgb="FF0070C0"/>
      <rgbColor rgb="FFB9CDE5"/>
      <rgbColor rgb="FF000080"/>
      <rgbColor rgb="FFFF00FF"/>
      <rgbColor rgb="FFFDEADA"/>
      <rgbColor rgb="FFECEFF1"/>
      <rgbColor rgb="FF800080"/>
      <rgbColor rgb="FF800000"/>
      <rgbColor rgb="FFF9FBF9"/>
      <rgbColor rgb="FF0000FF"/>
      <rgbColor rgb="FFF2F2F2"/>
      <rgbColor rgb="FFDCE6F2"/>
      <rgbColor rgb="FFC8E6C9"/>
      <rgbColor rgb="FFFFF2CC"/>
      <rgbColor rgb="FFBBDEFB"/>
      <rgbColor rgb="FFFFCDD2"/>
      <rgbColor rgb="FFBDBDBD"/>
      <rgbColor rgb="FFFFE0B2"/>
      <rgbColor rgb="FF1565C0"/>
      <rgbColor rgb="FF9BBB59"/>
      <rgbColor rgb="FF92D050"/>
      <rgbColor rgb="FFFFD966"/>
      <rgbColor rgb="FFF79646"/>
      <rgbColor rgb="FFE65100"/>
      <rgbColor rgb="FF455A64"/>
      <rgbColor rgb="FFA6A6A6"/>
      <rgbColor rgb="FF1F3864"/>
      <rgbColor rgb="FF2E7D32"/>
      <rgbColor rgb="FF003300"/>
      <rgbColor rgb="FF333300"/>
      <rgbColor rgb="FFBF360C"/>
      <rgbColor rgb="FF7F6000"/>
      <rgbColor rgb="FF4527A0"/>
      <rgbColor rgb="FF0D47A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67"/>
  <sheetViews>
    <sheetView showGridLines="0" zoomScaleNormal="100" workbookViewId="0">
      <pane xSplit="1" ySplit="1" topLeftCell="B30" activePane="bottomRight" state="frozen"/>
      <selection pane="topRight" activeCell="B1" sqref="B1"/>
      <selection pane="bottomLeft" activeCell="A34" sqref="A34"/>
      <selection pane="bottomRight" activeCell="C71" sqref="C71"/>
    </sheetView>
  </sheetViews>
  <sheetFormatPr baseColWidth="10" defaultColWidth="9.140625" defaultRowHeight="15" x14ac:dyDescent="0.25"/>
  <cols>
    <col min="1" max="1" width="2" style="13" customWidth="1"/>
    <col min="2" max="2" width="23.7109375" style="13" customWidth="1"/>
    <col min="3" max="3" width="28" style="13" customWidth="1"/>
    <col min="4" max="4" width="30" style="13" customWidth="1"/>
    <col min="5" max="5" width="16" style="13" customWidth="1"/>
    <col min="6" max="6" width="30" style="13" customWidth="1"/>
    <col min="7" max="16384" width="9.140625" style="13"/>
  </cols>
  <sheetData>
    <row r="1" spans="2:6" ht="27.75" customHeight="1" x14ac:dyDescent="0.25">
      <c r="B1" s="11" t="s">
        <v>0</v>
      </c>
      <c r="C1" s="11"/>
      <c r="D1" s="11"/>
      <c r="E1" s="11"/>
      <c r="F1" s="11"/>
    </row>
    <row r="3" spans="2:6" ht="21.75" customHeight="1" x14ac:dyDescent="0.25">
      <c r="B3" s="10" t="s">
        <v>1</v>
      </c>
      <c r="C3" s="10"/>
      <c r="D3" s="10"/>
      <c r="E3" s="10"/>
      <c r="F3" s="10"/>
    </row>
    <row r="4" spans="2:6" ht="24" customHeight="1" x14ac:dyDescent="0.25">
      <c r="B4" s="14" t="s">
        <v>2</v>
      </c>
      <c r="C4" s="14" t="s">
        <v>3</v>
      </c>
      <c r="D4" s="9" t="s">
        <v>4</v>
      </c>
      <c r="E4" s="9"/>
      <c r="F4" s="14" t="s">
        <v>5</v>
      </c>
    </row>
    <row r="5" spans="2:6" ht="30" customHeight="1" x14ac:dyDescent="0.25">
      <c r="B5" s="15" t="s">
        <v>6</v>
      </c>
      <c r="C5" s="16" t="s">
        <v>7</v>
      </c>
      <c r="D5" s="8" t="s">
        <v>8</v>
      </c>
      <c r="E5" s="8"/>
      <c r="F5" s="16" t="s">
        <v>9</v>
      </c>
    </row>
    <row r="6" spans="2:6" ht="30" customHeight="1" x14ac:dyDescent="0.25">
      <c r="B6" s="17" t="s">
        <v>10</v>
      </c>
      <c r="C6" s="16" t="s">
        <v>11</v>
      </c>
      <c r="D6" s="8" t="s">
        <v>12</v>
      </c>
      <c r="E6" s="8"/>
      <c r="F6" s="16" t="s">
        <v>13</v>
      </c>
    </row>
    <row r="7" spans="2:6" ht="30" customHeight="1" x14ac:dyDescent="0.25">
      <c r="B7" s="18" t="s">
        <v>14</v>
      </c>
      <c r="C7" s="16" t="s">
        <v>15</v>
      </c>
      <c r="D7" s="8" t="s">
        <v>16</v>
      </c>
      <c r="E7" s="8"/>
      <c r="F7" s="16" t="s">
        <v>17</v>
      </c>
    </row>
    <row r="8" spans="2:6" ht="30" customHeight="1" x14ac:dyDescent="0.25">
      <c r="B8" s="19" t="s">
        <v>18</v>
      </c>
      <c r="C8" s="16" t="s">
        <v>19</v>
      </c>
      <c r="D8" s="8" t="s">
        <v>20</v>
      </c>
      <c r="E8" s="8"/>
      <c r="F8" s="16" t="s">
        <v>21</v>
      </c>
    </row>
    <row r="9" spans="2:6" ht="30" customHeight="1" x14ac:dyDescent="0.25">
      <c r="B9" s="20" t="s">
        <v>22</v>
      </c>
      <c r="C9" s="16" t="s">
        <v>23</v>
      </c>
      <c r="D9" s="8" t="s">
        <v>24</v>
      </c>
      <c r="E9" s="8"/>
      <c r="F9" s="16" t="s">
        <v>25</v>
      </c>
    </row>
    <row r="10" spans="2:6" ht="30" customHeight="1" x14ac:dyDescent="0.25">
      <c r="B10" s="18" t="s">
        <v>26</v>
      </c>
      <c r="C10" s="16" t="s">
        <v>27</v>
      </c>
      <c r="D10" s="8" t="s">
        <v>28</v>
      </c>
      <c r="E10" s="8"/>
      <c r="F10" s="16" t="s">
        <v>17</v>
      </c>
    </row>
    <row r="11" spans="2:6" ht="30" customHeight="1" x14ac:dyDescent="0.25">
      <c r="B11" s="18" t="s">
        <v>29</v>
      </c>
      <c r="C11" s="16" t="s">
        <v>30</v>
      </c>
      <c r="D11" s="8" t="s">
        <v>31</v>
      </c>
      <c r="E11" s="8"/>
      <c r="F11" s="16" t="s">
        <v>17</v>
      </c>
    </row>
    <row r="12" spans="2:6" ht="30" customHeight="1" x14ac:dyDescent="0.25">
      <c r="B12" s="20" t="s">
        <v>32</v>
      </c>
      <c r="C12" s="16" t="s">
        <v>33</v>
      </c>
      <c r="D12" s="8" t="s">
        <v>34</v>
      </c>
      <c r="E12" s="8"/>
      <c r="F12" s="16" t="s">
        <v>25</v>
      </c>
    </row>
    <row r="13" spans="2:6" ht="30" customHeight="1" x14ac:dyDescent="0.25">
      <c r="B13" s="18" t="s">
        <v>35</v>
      </c>
      <c r="C13" s="16" t="s">
        <v>36</v>
      </c>
      <c r="D13" s="8" t="s">
        <v>37</v>
      </c>
      <c r="E13" s="8"/>
      <c r="F13" s="16" t="s">
        <v>17</v>
      </c>
    </row>
    <row r="14" spans="2:6" ht="30" customHeight="1" x14ac:dyDescent="0.25">
      <c r="B14" s="19" t="s">
        <v>38</v>
      </c>
      <c r="C14" s="16" t="s">
        <v>39</v>
      </c>
      <c r="D14" s="8" t="s">
        <v>40</v>
      </c>
      <c r="E14" s="8"/>
      <c r="F14" s="16" t="s">
        <v>21</v>
      </c>
    </row>
    <row r="15" spans="2:6" ht="30" customHeight="1" x14ac:dyDescent="0.25">
      <c r="B15" s="18" t="s">
        <v>41</v>
      </c>
      <c r="C15" s="16" t="s">
        <v>42</v>
      </c>
      <c r="D15" s="8" t="s">
        <v>43</v>
      </c>
      <c r="E15" s="8"/>
      <c r="F15" s="16" t="s">
        <v>17</v>
      </c>
    </row>
    <row r="16" spans="2:6" ht="30" customHeight="1" x14ac:dyDescent="0.25">
      <c r="B16" s="21" t="s">
        <v>44</v>
      </c>
      <c r="C16" s="16" t="s">
        <v>45</v>
      </c>
      <c r="D16" s="8" t="s">
        <v>46</v>
      </c>
      <c r="E16" s="8"/>
      <c r="F16" s="16" t="s">
        <v>47</v>
      </c>
    </row>
    <row r="17" spans="2:6" ht="30" customHeight="1" x14ac:dyDescent="0.25">
      <c r="B17" s="22" t="s">
        <v>48</v>
      </c>
      <c r="C17" s="16" t="s">
        <v>49</v>
      </c>
      <c r="D17" s="8" t="s">
        <v>50</v>
      </c>
      <c r="E17" s="8"/>
      <c r="F17" s="16" t="s">
        <v>51</v>
      </c>
    </row>
    <row r="18" spans="2:6" ht="30" customHeight="1" x14ac:dyDescent="0.25">
      <c r="B18" s="23" t="s">
        <v>52</v>
      </c>
      <c r="C18" s="16" t="s">
        <v>53</v>
      </c>
      <c r="D18" s="8" t="s">
        <v>54</v>
      </c>
      <c r="E18" s="8"/>
      <c r="F18" s="16" t="s">
        <v>55</v>
      </c>
    </row>
    <row r="19" spans="2:6" ht="30" customHeight="1" x14ac:dyDescent="0.25">
      <c r="B19" s="24" t="s">
        <v>56</v>
      </c>
      <c r="C19" s="16" t="s">
        <v>57</v>
      </c>
      <c r="D19" s="8" t="s">
        <v>58</v>
      </c>
      <c r="E19" s="8"/>
      <c r="F19" s="16" t="s">
        <v>59</v>
      </c>
    </row>
    <row r="21" spans="2:6" ht="21.75" customHeight="1" x14ac:dyDescent="0.25">
      <c r="B21" s="7" t="s">
        <v>60</v>
      </c>
      <c r="C21" s="7"/>
      <c r="D21" s="7"/>
      <c r="E21" s="7"/>
      <c r="F21" s="7"/>
    </row>
    <row r="22" spans="2:6" ht="24" customHeight="1" x14ac:dyDescent="0.25">
      <c r="B22" s="25" t="s">
        <v>61</v>
      </c>
      <c r="C22" s="25" t="s">
        <v>62</v>
      </c>
      <c r="D22" s="25" t="s">
        <v>63</v>
      </c>
      <c r="E22" s="25" t="s">
        <v>64</v>
      </c>
      <c r="F22" s="25" t="s">
        <v>65</v>
      </c>
    </row>
    <row r="23" spans="2:6" ht="30" customHeight="1" x14ac:dyDescent="0.25">
      <c r="B23" s="26" t="s">
        <v>66</v>
      </c>
      <c r="C23" s="26" t="s">
        <v>67</v>
      </c>
      <c r="D23" s="26" t="s">
        <v>68</v>
      </c>
      <c r="E23" s="26" t="s">
        <v>69</v>
      </c>
      <c r="F23" s="26" t="s">
        <v>70</v>
      </c>
    </row>
    <row r="24" spans="2:6" ht="30" customHeight="1" x14ac:dyDescent="0.25">
      <c r="B24" s="26" t="s">
        <v>71</v>
      </c>
      <c r="C24" s="26" t="s">
        <v>72</v>
      </c>
      <c r="D24" s="26" t="s">
        <v>68</v>
      </c>
      <c r="E24" s="26" t="s">
        <v>73</v>
      </c>
      <c r="F24" s="26" t="s">
        <v>74</v>
      </c>
    </row>
    <row r="25" spans="2:6" ht="30" customHeight="1" x14ac:dyDescent="0.25">
      <c r="B25" s="26" t="s">
        <v>75</v>
      </c>
      <c r="C25" s="26" t="s">
        <v>76</v>
      </c>
      <c r="D25" s="26" t="s">
        <v>68</v>
      </c>
      <c r="E25" s="26" t="s">
        <v>77</v>
      </c>
      <c r="F25" s="26" t="s">
        <v>78</v>
      </c>
    </row>
    <row r="26" spans="2:6" ht="30" customHeight="1" x14ac:dyDescent="0.25">
      <c r="B26" s="26" t="s">
        <v>79</v>
      </c>
      <c r="C26" s="26" t="s">
        <v>80</v>
      </c>
      <c r="D26" s="26" t="s">
        <v>68</v>
      </c>
      <c r="E26" s="26" t="s">
        <v>81</v>
      </c>
      <c r="F26" s="26" t="s">
        <v>82</v>
      </c>
    </row>
    <row r="27" spans="2:6" ht="30" customHeight="1" x14ac:dyDescent="0.25">
      <c r="B27" s="26" t="s">
        <v>83</v>
      </c>
      <c r="C27" s="26" t="s">
        <v>84</v>
      </c>
      <c r="D27" s="26" t="s">
        <v>68</v>
      </c>
      <c r="E27" s="26" t="s">
        <v>81</v>
      </c>
      <c r="F27" s="26" t="s">
        <v>85</v>
      </c>
    </row>
    <row r="28" spans="2:6" ht="30" customHeight="1" x14ac:dyDescent="0.25">
      <c r="B28" s="26" t="s">
        <v>86</v>
      </c>
      <c r="C28" s="26" t="s">
        <v>87</v>
      </c>
      <c r="D28" s="26" t="s">
        <v>68</v>
      </c>
      <c r="E28" s="26" t="s">
        <v>77</v>
      </c>
      <c r="F28" s="26" t="s">
        <v>88</v>
      </c>
    </row>
    <row r="29" spans="2:6" ht="30" customHeight="1" x14ac:dyDescent="0.25">
      <c r="B29" s="26" t="s">
        <v>89</v>
      </c>
      <c r="C29" s="26" t="s">
        <v>90</v>
      </c>
      <c r="D29" s="26" t="s">
        <v>91</v>
      </c>
      <c r="E29" s="26" t="s">
        <v>92</v>
      </c>
      <c r="F29" s="26" t="s">
        <v>93</v>
      </c>
    </row>
    <row r="30" spans="2:6" ht="30" customHeight="1" x14ac:dyDescent="0.25">
      <c r="B30" s="26" t="s">
        <v>94</v>
      </c>
      <c r="C30" s="26" t="s">
        <v>95</v>
      </c>
      <c r="D30" s="26" t="s">
        <v>96</v>
      </c>
      <c r="E30" s="26" t="s">
        <v>97</v>
      </c>
      <c r="F30" s="26" t="s">
        <v>98</v>
      </c>
    </row>
    <row r="31" spans="2:6" ht="30" customHeight="1" x14ac:dyDescent="0.25">
      <c r="B31" s="26" t="s">
        <v>99</v>
      </c>
      <c r="C31" s="26" t="s">
        <v>100</v>
      </c>
      <c r="D31" s="26" t="s">
        <v>96</v>
      </c>
      <c r="E31" s="26" t="s">
        <v>101</v>
      </c>
      <c r="F31" s="26" t="s">
        <v>102</v>
      </c>
    </row>
    <row r="32" spans="2:6" ht="30" customHeight="1" x14ac:dyDescent="0.25">
      <c r="B32" s="26" t="s">
        <v>103</v>
      </c>
      <c r="C32" s="26" t="s">
        <v>104</v>
      </c>
      <c r="D32" s="26" t="s">
        <v>105</v>
      </c>
      <c r="E32" s="26" t="s">
        <v>106</v>
      </c>
      <c r="F32" s="26" t="s">
        <v>107</v>
      </c>
    </row>
    <row r="34" spans="2:6" ht="21.75" customHeight="1" x14ac:dyDescent="0.25">
      <c r="B34" s="6" t="s">
        <v>108</v>
      </c>
      <c r="C34" s="6"/>
      <c r="D34" s="6"/>
      <c r="E34" s="6"/>
      <c r="F34" s="6"/>
    </row>
    <row r="35" spans="2:6" ht="18" customHeight="1" x14ac:dyDescent="0.25">
      <c r="B35" s="5" t="s">
        <v>109</v>
      </c>
      <c r="C35" s="5"/>
      <c r="D35" s="5"/>
      <c r="E35" s="5"/>
      <c r="F35" s="5"/>
    </row>
    <row r="36" spans="2:6" ht="30" customHeight="1" x14ac:dyDescent="0.25">
      <c r="B36" s="27" t="s">
        <v>110</v>
      </c>
      <c r="C36" s="4" t="s">
        <v>111</v>
      </c>
      <c r="D36" s="4"/>
      <c r="E36" s="4"/>
      <c r="F36" s="4"/>
    </row>
    <row r="37" spans="2:6" ht="30" customHeight="1" x14ac:dyDescent="0.25">
      <c r="B37" s="27" t="s">
        <v>112</v>
      </c>
      <c r="C37" s="4" t="s">
        <v>113</v>
      </c>
      <c r="D37" s="4"/>
      <c r="E37" s="4"/>
      <c r="F37" s="4"/>
    </row>
    <row r="38" spans="2:6" ht="30" customHeight="1" x14ac:dyDescent="0.25">
      <c r="B38" s="27" t="s">
        <v>114</v>
      </c>
      <c r="C38" s="4" t="s">
        <v>115</v>
      </c>
      <c r="D38" s="4"/>
      <c r="E38" s="4"/>
      <c r="F38" s="4"/>
    </row>
    <row r="39" spans="2:6" ht="30" customHeight="1" x14ac:dyDescent="0.25">
      <c r="B39" s="27" t="s">
        <v>116</v>
      </c>
      <c r="C39" s="4" t="s">
        <v>117</v>
      </c>
      <c r="D39" s="4"/>
      <c r="E39" s="4"/>
      <c r="F39" s="4"/>
    </row>
    <row r="40" spans="2:6" ht="30" customHeight="1" x14ac:dyDescent="0.25">
      <c r="B40" s="27" t="s">
        <v>118</v>
      </c>
      <c r="C40" s="4" t="s">
        <v>119</v>
      </c>
      <c r="D40" s="4"/>
      <c r="E40" s="4"/>
      <c r="F40" s="4"/>
    </row>
    <row r="42" spans="2:6" ht="21.75" customHeight="1" x14ac:dyDescent="0.25">
      <c r="B42" s="3" t="s">
        <v>120</v>
      </c>
      <c r="C42" s="3"/>
      <c r="D42" s="3"/>
      <c r="E42" s="3"/>
      <c r="F42" s="3"/>
    </row>
    <row r="43" spans="2:6" ht="19.5" customHeight="1" x14ac:dyDescent="0.25">
      <c r="B43" s="28" t="s">
        <v>121</v>
      </c>
      <c r="C43" s="2" t="s">
        <v>122</v>
      </c>
      <c r="D43" s="2"/>
      <c r="E43" s="2"/>
      <c r="F43" s="2"/>
    </row>
    <row r="44" spans="2:6" ht="19.5" customHeight="1" x14ac:dyDescent="0.25">
      <c r="B44" s="28" t="s">
        <v>123</v>
      </c>
      <c r="C44" s="2" t="s">
        <v>124</v>
      </c>
      <c r="D44" s="2"/>
      <c r="E44" s="2"/>
      <c r="F44" s="2"/>
    </row>
    <row r="45" spans="2:6" ht="19.5" customHeight="1" x14ac:dyDescent="0.25">
      <c r="B45" s="28" t="s">
        <v>125</v>
      </c>
      <c r="C45" s="2" t="s">
        <v>126</v>
      </c>
      <c r="D45" s="2"/>
      <c r="E45" s="2"/>
      <c r="F45" s="2"/>
    </row>
    <row r="46" spans="2:6" ht="19.5" customHeight="1" x14ac:dyDescent="0.25">
      <c r="B46" s="28" t="s">
        <v>127</v>
      </c>
      <c r="C46" s="2" t="s">
        <v>128</v>
      </c>
      <c r="D46" s="2"/>
      <c r="E46" s="2"/>
      <c r="F46" s="2"/>
    </row>
    <row r="47" spans="2:6" ht="19.5" customHeight="1" x14ac:dyDescent="0.25">
      <c r="B47" s="28" t="s">
        <v>129</v>
      </c>
      <c r="C47" s="2" t="s">
        <v>130</v>
      </c>
      <c r="D47" s="2"/>
      <c r="E47" s="2"/>
      <c r="F47" s="2"/>
    </row>
    <row r="48" spans="2:6" ht="19.5" customHeight="1" x14ac:dyDescent="0.25">
      <c r="B48" s="28" t="s">
        <v>131</v>
      </c>
      <c r="C48" s="2" t="s">
        <v>132</v>
      </c>
      <c r="D48" s="2"/>
      <c r="E48" s="2"/>
      <c r="F48" s="2"/>
    </row>
    <row r="49" spans="2:6" ht="19.5" customHeight="1" x14ac:dyDescent="0.25">
      <c r="B49" s="28" t="s">
        <v>133</v>
      </c>
      <c r="C49" s="2" t="s">
        <v>134</v>
      </c>
      <c r="D49" s="2"/>
      <c r="E49" s="2"/>
      <c r="F49" s="2"/>
    </row>
    <row r="50" spans="2:6" ht="19.5" customHeight="1" x14ac:dyDescent="0.25">
      <c r="B50" s="28" t="s">
        <v>135</v>
      </c>
      <c r="C50" s="2" t="s">
        <v>136</v>
      </c>
      <c r="D50" s="2"/>
      <c r="E50" s="2"/>
      <c r="F50" s="2"/>
    </row>
    <row r="51" spans="2:6" ht="19.5" customHeight="1" x14ac:dyDescent="0.25">
      <c r="B51" s="28" t="s">
        <v>137</v>
      </c>
      <c r="C51" s="2" t="s">
        <v>138</v>
      </c>
      <c r="D51" s="2"/>
      <c r="E51" s="2"/>
      <c r="F51" s="2"/>
    </row>
    <row r="52" spans="2:6" ht="19.5" customHeight="1" x14ac:dyDescent="0.25">
      <c r="B52" s="28" t="s">
        <v>139</v>
      </c>
      <c r="C52" s="2" t="s">
        <v>140</v>
      </c>
      <c r="D52" s="2"/>
      <c r="E52" s="2"/>
      <c r="F52" s="2"/>
    </row>
    <row r="53" spans="2:6" ht="19.5" customHeight="1" x14ac:dyDescent="0.25">
      <c r="B53" s="28" t="s">
        <v>141</v>
      </c>
      <c r="C53" s="2" t="s">
        <v>142</v>
      </c>
      <c r="D53" s="2"/>
      <c r="E53" s="2"/>
      <c r="F53" s="2"/>
    </row>
    <row r="54" spans="2:6" ht="19.5" customHeight="1" x14ac:dyDescent="0.25">
      <c r="B54" s="28" t="s">
        <v>143</v>
      </c>
      <c r="C54" s="2" t="s">
        <v>144</v>
      </c>
      <c r="D54" s="2"/>
      <c r="E54" s="2"/>
      <c r="F54" s="2"/>
    </row>
    <row r="55" spans="2:6" ht="19.5" customHeight="1" x14ac:dyDescent="0.25">
      <c r="B55" s="28" t="s">
        <v>145</v>
      </c>
      <c r="C55" s="2" t="s">
        <v>146</v>
      </c>
      <c r="D55" s="2"/>
      <c r="E55" s="2"/>
      <c r="F55" s="2"/>
    </row>
    <row r="56" spans="2:6" ht="19.5" customHeight="1" x14ac:dyDescent="0.25">
      <c r="B56" s="28" t="s">
        <v>147</v>
      </c>
      <c r="C56" s="2" t="s">
        <v>148</v>
      </c>
      <c r="D56" s="2"/>
      <c r="E56" s="2"/>
      <c r="F56" s="2"/>
    </row>
    <row r="58" spans="2:6" ht="25.5" customHeight="1" x14ac:dyDescent="0.25">
      <c r="B58" s="6" t="s">
        <v>149</v>
      </c>
      <c r="C58" s="6"/>
      <c r="D58" s="6"/>
      <c r="E58" s="6"/>
      <c r="F58" s="6"/>
    </row>
    <row r="59" spans="2:6" ht="30" customHeight="1" x14ac:dyDescent="0.25">
      <c r="B59" s="27" t="s">
        <v>150</v>
      </c>
      <c r="C59" s="4" t="s">
        <v>151</v>
      </c>
      <c r="D59" s="4"/>
      <c r="E59" s="4"/>
      <c r="F59" s="4"/>
    </row>
    <row r="60" spans="2:6" ht="30" customHeight="1" x14ac:dyDescent="0.25">
      <c r="B60" s="27" t="s">
        <v>152</v>
      </c>
      <c r="C60" s="4" t="s">
        <v>153</v>
      </c>
      <c r="D60" s="4"/>
      <c r="E60" s="4"/>
      <c r="F60" s="4"/>
    </row>
    <row r="61" spans="2:6" ht="30" customHeight="1" x14ac:dyDescent="0.25">
      <c r="B61" s="27" t="s">
        <v>154</v>
      </c>
      <c r="C61" s="4" t="s">
        <v>155</v>
      </c>
      <c r="D61" s="4"/>
      <c r="E61" s="4"/>
      <c r="F61" s="4"/>
    </row>
    <row r="62" spans="2:6" ht="30" customHeight="1" x14ac:dyDescent="0.25">
      <c r="B62" s="27" t="s">
        <v>156</v>
      </c>
      <c r="C62" s="4" t="s">
        <v>157</v>
      </c>
      <c r="D62" s="4"/>
      <c r="E62" s="4"/>
      <c r="F62" s="4"/>
    </row>
    <row r="63" spans="2:6" ht="25.5" customHeight="1" x14ac:dyDescent="0.25">
      <c r="B63" s="6" t="s">
        <v>158</v>
      </c>
      <c r="C63" s="6"/>
      <c r="D63" s="6"/>
      <c r="E63" s="6"/>
      <c r="F63" s="6"/>
    </row>
    <row r="64" spans="2:6" ht="30" customHeight="1" x14ac:dyDescent="0.25">
      <c r="B64" s="27" t="s">
        <v>159</v>
      </c>
      <c r="C64" s="4" t="s">
        <v>160</v>
      </c>
      <c r="D64" s="4"/>
      <c r="E64" s="4"/>
      <c r="F64" s="4"/>
    </row>
    <row r="65" spans="2:6" ht="30" customHeight="1" x14ac:dyDescent="0.25">
      <c r="B65" s="27" t="s">
        <v>161</v>
      </c>
      <c r="C65" s="4" t="s">
        <v>162</v>
      </c>
      <c r="D65" s="4"/>
      <c r="E65" s="4"/>
      <c r="F65" s="4"/>
    </row>
    <row r="66" spans="2:6" ht="30" customHeight="1" x14ac:dyDescent="0.25">
      <c r="B66" s="27" t="s">
        <v>163</v>
      </c>
      <c r="C66" s="4" t="s">
        <v>164</v>
      </c>
      <c r="D66" s="4"/>
      <c r="E66" s="4"/>
      <c r="F66" s="4"/>
    </row>
    <row r="67" spans="2:6" ht="30" customHeight="1" x14ac:dyDescent="0.25">
      <c r="B67" s="27" t="s">
        <v>103</v>
      </c>
      <c r="C67" s="4" t="s">
        <v>165</v>
      </c>
      <c r="D67" s="4"/>
      <c r="E67" s="4"/>
      <c r="F67" s="4"/>
    </row>
  </sheetData>
  <mergeCells count="51">
    <mergeCell ref="C67:F67"/>
    <mergeCell ref="C62:F62"/>
    <mergeCell ref="B63:F63"/>
    <mergeCell ref="C64:F64"/>
    <mergeCell ref="C65:F65"/>
    <mergeCell ref="C66:F66"/>
    <mergeCell ref="C56:F56"/>
    <mergeCell ref="B58:F58"/>
    <mergeCell ref="C59:F59"/>
    <mergeCell ref="C60:F60"/>
    <mergeCell ref="C61:F61"/>
    <mergeCell ref="C51:F51"/>
    <mergeCell ref="C52:F52"/>
    <mergeCell ref="C53:F53"/>
    <mergeCell ref="C54:F54"/>
    <mergeCell ref="C55:F55"/>
    <mergeCell ref="C46:F46"/>
    <mergeCell ref="C47:F47"/>
    <mergeCell ref="C48:F48"/>
    <mergeCell ref="C49:F49"/>
    <mergeCell ref="C50:F50"/>
    <mergeCell ref="C40:F40"/>
    <mergeCell ref="B42:F42"/>
    <mergeCell ref="C43:F43"/>
    <mergeCell ref="C44:F44"/>
    <mergeCell ref="C45:F45"/>
    <mergeCell ref="B35:F35"/>
    <mergeCell ref="C36:F36"/>
    <mergeCell ref="C37:F37"/>
    <mergeCell ref="C38:F38"/>
    <mergeCell ref="C39:F39"/>
    <mergeCell ref="D17:E17"/>
    <mergeCell ref="D18:E18"/>
    <mergeCell ref="D19:E19"/>
    <mergeCell ref="B21:F21"/>
    <mergeCell ref="B34:F34"/>
    <mergeCell ref="D12:E12"/>
    <mergeCell ref="D13:E13"/>
    <mergeCell ref="D14:E14"/>
    <mergeCell ref="D15:E15"/>
    <mergeCell ref="D16:E16"/>
    <mergeCell ref="D7:E7"/>
    <mergeCell ref="D8:E8"/>
    <mergeCell ref="D9:E9"/>
    <mergeCell ref="D10:E10"/>
    <mergeCell ref="D11:E11"/>
    <mergeCell ref="B1:F1"/>
    <mergeCell ref="B3:F3"/>
    <mergeCell ref="D4:E4"/>
    <mergeCell ref="D5:E5"/>
    <mergeCell ref="D6:E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38"/>
  <sheetViews>
    <sheetView zoomScaleNormal="100" workbookViewId="0">
      <pane ySplit="3" topLeftCell="A4" activePane="bottomLeft" state="frozen"/>
      <selection pane="bottomLeft" activeCell="A2" sqref="A2:M2"/>
    </sheetView>
  </sheetViews>
  <sheetFormatPr baseColWidth="10" defaultColWidth="9.140625" defaultRowHeight="15" x14ac:dyDescent="0.25"/>
  <cols>
    <col min="1" max="1" width="42.85546875" customWidth="1"/>
    <col min="2" max="2" width="14.7109375" style="29" bestFit="1" customWidth="1"/>
    <col min="3" max="3" width="8" customWidth="1"/>
    <col min="4" max="4" width="10" customWidth="1"/>
    <col min="5" max="5" width="15" customWidth="1"/>
    <col min="6" max="12" width="5" customWidth="1"/>
    <col min="13" max="13" width="9" customWidth="1"/>
    <col min="14" max="15" width="11" customWidth="1"/>
    <col min="16" max="16" width="12" customWidth="1"/>
    <col min="17" max="17" width="41.85546875" customWidth="1"/>
  </cols>
  <sheetData>
    <row r="1" spans="1:17" ht="30" customHeight="1" thickBot="1" x14ac:dyDescent="0.3">
      <c r="A1" s="49" t="s">
        <v>166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</row>
    <row r="2" spans="1:17" s="33" customFormat="1" ht="18" customHeight="1" x14ac:dyDescent="0.25">
      <c r="A2" s="30" t="s">
        <v>167</v>
      </c>
      <c r="B2" s="31" t="s">
        <v>168</v>
      </c>
      <c r="C2" s="32" t="s">
        <v>169</v>
      </c>
      <c r="E2" s="31" t="s">
        <v>255</v>
      </c>
      <c r="F2" s="50"/>
      <c r="G2" s="50"/>
      <c r="H2" s="50"/>
      <c r="I2" s="50"/>
      <c r="J2" s="50"/>
      <c r="K2" s="50"/>
      <c r="L2" s="50"/>
      <c r="M2" s="50"/>
    </row>
    <row r="3" spans="1:17" ht="3.75" customHeight="1" x14ac:dyDescent="0.25"/>
    <row r="4" spans="1:17" ht="19.5" customHeight="1" x14ac:dyDescent="0.25">
      <c r="A4" s="12" t="s">
        <v>170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ht="40.5" customHeight="1" x14ac:dyDescent="0.25">
      <c r="A5" s="52" t="s">
        <v>171</v>
      </c>
      <c r="B5" s="52" t="s">
        <v>172</v>
      </c>
      <c r="C5" s="52" t="s">
        <v>173</v>
      </c>
      <c r="D5" s="52" t="s">
        <v>174</v>
      </c>
      <c r="E5" s="52" t="s">
        <v>175</v>
      </c>
      <c r="F5" s="34" t="s">
        <v>176</v>
      </c>
      <c r="G5" s="34" t="s">
        <v>177</v>
      </c>
      <c r="H5" s="34" t="s">
        <v>178</v>
      </c>
      <c r="I5" s="34" t="s">
        <v>179</v>
      </c>
      <c r="J5" s="34" t="s">
        <v>180</v>
      </c>
      <c r="K5" s="34" t="s">
        <v>181</v>
      </c>
      <c r="L5" s="34" t="s">
        <v>182</v>
      </c>
      <c r="M5" s="35" t="s">
        <v>183</v>
      </c>
      <c r="N5" s="35" t="s">
        <v>184</v>
      </c>
      <c r="O5" s="35" t="s">
        <v>185</v>
      </c>
      <c r="P5" s="35" t="s">
        <v>94</v>
      </c>
      <c r="Q5" s="35" t="s">
        <v>103</v>
      </c>
    </row>
    <row r="6" spans="1:17" ht="16.5" customHeight="1" x14ac:dyDescent="0.25">
      <c r="A6" s="53"/>
      <c r="B6" s="54" t="s">
        <v>186</v>
      </c>
      <c r="C6" s="53"/>
      <c r="D6" s="55"/>
      <c r="E6" s="53"/>
      <c r="F6" s="51"/>
      <c r="G6" s="37"/>
      <c r="H6" s="37"/>
      <c r="I6" s="37"/>
      <c r="J6" s="37"/>
      <c r="K6" s="37"/>
      <c r="L6" s="37"/>
      <c r="M6" s="38"/>
      <c r="N6" s="38"/>
      <c r="O6" s="38"/>
      <c r="P6" s="36"/>
      <c r="Q6" s="39"/>
    </row>
    <row r="7" spans="1:17" ht="16.5" customHeight="1" x14ac:dyDescent="0.25">
      <c r="A7" s="53"/>
      <c r="B7" s="54" t="s">
        <v>186</v>
      </c>
      <c r="C7" s="53"/>
      <c r="D7" s="55"/>
      <c r="E7" s="53"/>
      <c r="F7" s="51"/>
      <c r="G7" s="37"/>
      <c r="H7" s="37"/>
      <c r="I7" s="37"/>
      <c r="J7" s="37"/>
      <c r="K7" s="37"/>
      <c r="L7" s="37"/>
      <c r="M7" s="38"/>
      <c r="N7" s="38"/>
      <c r="O7" s="38"/>
      <c r="P7" s="36"/>
      <c r="Q7" s="39"/>
    </row>
    <row r="8" spans="1:17" ht="16.5" customHeight="1" x14ac:dyDescent="0.25">
      <c r="A8" s="53"/>
      <c r="B8" s="54" t="s">
        <v>186</v>
      </c>
      <c r="C8" s="53"/>
      <c r="D8" s="55"/>
      <c r="E8" s="53"/>
      <c r="F8" s="51"/>
      <c r="G8" s="37"/>
      <c r="H8" s="37"/>
      <c r="I8" s="37"/>
      <c r="J8" s="37"/>
      <c r="K8" s="37"/>
      <c r="L8" s="37"/>
      <c r="M8" s="38"/>
      <c r="N8" s="38"/>
      <c r="O8" s="38"/>
      <c r="P8" s="36"/>
      <c r="Q8" s="39"/>
    </row>
    <row r="9" spans="1:17" ht="16.5" customHeight="1" x14ac:dyDescent="0.25">
      <c r="A9" s="53"/>
      <c r="B9" s="54" t="s">
        <v>186</v>
      </c>
      <c r="C9" s="53"/>
      <c r="D9" s="55"/>
      <c r="E9" s="53"/>
      <c r="F9" s="51"/>
      <c r="G9" s="37"/>
      <c r="H9" s="37"/>
      <c r="I9" s="37"/>
      <c r="J9" s="37"/>
      <c r="K9" s="37"/>
      <c r="L9" s="37"/>
      <c r="M9" s="38"/>
      <c r="N9" s="38"/>
      <c r="O9" s="38"/>
      <c r="P9" s="36"/>
      <c r="Q9" s="39"/>
    </row>
    <row r="10" spans="1:17" ht="16.5" customHeight="1" x14ac:dyDescent="0.25">
      <c r="A10" s="53"/>
      <c r="B10" s="54" t="s">
        <v>186</v>
      </c>
      <c r="C10" s="53"/>
      <c r="D10" s="55"/>
      <c r="E10" s="53"/>
      <c r="F10" s="51"/>
      <c r="G10" s="37"/>
      <c r="H10" s="37"/>
      <c r="I10" s="37"/>
      <c r="J10" s="37"/>
      <c r="K10" s="37"/>
      <c r="L10" s="37"/>
      <c r="M10" s="38"/>
      <c r="N10" s="38"/>
      <c r="O10" s="38"/>
      <c r="P10" s="36"/>
      <c r="Q10" s="39"/>
    </row>
    <row r="11" spans="1:17" ht="16.5" customHeight="1" x14ac:dyDescent="0.25">
      <c r="A11" s="53"/>
      <c r="B11" s="54" t="s">
        <v>186</v>
      </c>
      <c r="C11" s="53"/>
      <c r="D11" s="55"/>
      <c r="E11" s="53"/>
      <c r="F11" s="51"/>
      <c r="G11" s="37"/>
      <c r="H11" s="37"/>
      <c r="I11" s="37"/>
      <c r="J11" s="37"/>
      <c r="K11" s="37"/>
      <c r="L11" s="37"/>
      <c r="M11" s="38"/>
      <c r="N11" s="38"/>
      <c r="O11" s="38"/>
      <c r="P11" s="36"/>
      <c r="Q11" s="39"/>
    </row>
    <row r="12" spans="1:17" ht="16.5" customHeight="1" x14ac:dyDescent="0.25">
      <c r="A12" s="53"/>
      <c r="B12" s="54" t="s">
        <v>186</v>
      </c>
      <c r="C12" s="53"/>
      <c r="D12" s="55"/>
      <c r="E12" s="53"/>
      <c r="F12" s="51"/>
      <c r="G12" s="37"/>
      <c r="H12" s="37"/>
      <c r="I12" s="37"/>
      <c r="J12" s="37"/>
      <c r="K12" s="37"/>
      <c r="L12" s="37"/>
      <c r="M12" s="38"/>
      <c r="N12" s="38"/>
      <c r="O12" s="38"/>
      <c r="P12" s="36"/>
      <c r="Q12" s="39"/>
    </row>
    <row r="13" spans="1:17" ht="16.5" customHeight="1" x14ac:dyDescent="0.25">
      <c r="A13" s="53"/>
      <c r="B13" s="54" t="s">
        <v>186</v>
      </c>
      <c r="C13" s="53"/>
      <c r="D13" s="55"/>
      <c r="E13" s="53"/>
      <c r="F13" s="51"/>
      <c r="G13" s="37"/>
      <c r="H13" s="37"/>
      <c r="I13" s="37"/>
      <c r="J13" s="37"/>
      <c r="K13" s="37"/>
      <c r="L13" s="37"/>
      <c r="M13" s="38"/>
      <c r="N13" s="38"/>
      <c r="O13" s="38"/>
      <c r="P13" s="36"/>
      <c r="Q13" s="39"/>
    </row>
    <row r="14" spans="1:17" ht="16.5" customHeight="1" x14ac:dyDescent="0.25">
      <c r="A14" s="53"/>
      <c r="B14" s="54" t="s">
        <v>186</v>
      </c>
      <c r="C14" s="53"/>
      <c r="D14" s="55"/>
      <c r="E14" s="53"/>
      <c r="F14" s="51"/>
      <c r="G14" s="37"/>
      <c r="H14" s="37"/>
      <c r="I14" s="37"/>
      <c r="J14" s="37"/>
      <c r="K14" s="37"/>
      <c r="L14" s="37"/>
      <c r="M14" s="38"/>
      <c r="N14" s="38"/>
      <c r="O14" s="38"/>
      <c r="P14" s="36"/>
      <c r="Q14" s="39"/>
    </row>
    <row r="15" spans="1:17" ht="16.5" customHeight="1" x14ac:dyDescent="0.25">
      <c r="A15" s="53"/>
      <c r="B15" s="54" t="s">
        <v>186</v>
      </c>
      <c r="C15" s="53"/>
      <c r="D15" s="55"/>
      <c r="E15" s="53"/>
      <c r="F15" s="51"/>
      <c r="G15" s="37"/>
      <c r="H15" s="37"/>
      <c r="I15" s="37"/>
      <c r="J15" s="37"/>
      <c r="K15" s="37"/>
      <c r="L15" s="37"/>
      <c r="M15" s="38"/>
      <c r="N15" s="38"/>
      <c r="O15" s="38"/>
      <c r="P15" s="36"/>
      <c r="Q15" s="39"/>
    </row>
    <row r="16" spans="1:17" ht="16.5" customHeight="1" x14ac:dyDescent="0.25">
      <c r="A16" s="53"/>
      <c r="B16" s="54" t="s">
        <v>186</v>
      </c>
      <c r="C16" s="53"/>
      <c r="D16" s="55"/>
      <c r="E16" s="53"/>
      <c r="F16" s="51"/>
      <c r="G16" s="37"/>
      <c r="H16" s="37"/>
      <c r="I16" s="37"/>
      <c r="J16" s="37"/>
      <c r="K16" s="37"/>
      <c r="L16" s="37"/>
      <c r="M16" s="38"/>
      <c r="N16" s="38"/>
      <c r="O16" s="38"/>
      <c r="P16" s="36"/>
      <c r="Q16" s="39"/>
    </row>
    <row r="17" spans="1:17" ht="16.5" customHeight="1" x14ac:dyDescent="0.25">
      <c r="A17" s="53"/>
      <c r="B17" s="54" t="s">
        <v>186</v>
      </c>
      <c r="C17" s="53"/>
      <c r="D17" s="55"/>
      <c r="E17" s="53"/>
      <c r="F17" s="51"/>
      <c r="G17" s="37"/>
      <c r="H17" s="37"/>
      <c r="I17" s="37"/>
      <c r="J17" s="37"/>
      <c r="K17" s="37"/>
      <c r="L17" s="37"/>
      <c r="M17" s="38"/>
      <c r="N17" s="38"/>
      <c r="O17" s="38"/>
      <c r="P17" s="36"/>
      <c r="Q17" s="39"/>
    </row>
    <row r="18" spans="1:17" ht="16.5" customHeight="1" x14ac:dyDescent="0.25">
      <c r="A18" s="53"/>
      <c r="B18" s="54" t="s">
        <v>186</v>
      </c>
      <c r="C18" s="53"/>
      <c r="D18" s="55"/>
      <c r="E18" s="53"/>
      <c r="F18" s="51"/>
      <c r="G18" s="37"/>
      <c r="H18" s="37"/>
      <c r="I18" s="37"/>
      <c r="J18" s="37"/>
      <c r="K18" s="37"/>
      <c r="L18" s="37"/>
      <c r="M18" s="38"/>
      <c r="N18" s="38"/>
      <c r="O18" s="38"/>
      <c r="P18" s="36"/>
      <c r="Q18" s="39"/>
    </row>
    <row r="19" spans="1:17" ht="16.5" customHeight="1" x14ac:dyDescent="0.25">
      <c r="A19" s="53"/>
      <c r="B19" s="54" t="s">
        <v>186</v>
      </c>
      <c r="C19" s="53"/>
      <c r="D19" s="55"/>
      <c r="E19" s="53"/>
      <c r="F19" s="51"/>
      <c r="G19" s="37"/>
      <c r="H19" s="37"/>
      <c r="I19" s="37"/>
      <c r="J19" s="37"/>
      <c r="K19" s="37"/>
      <c r="L19" s="37"/>
      <c r="M19" s="38"/>
      <c r="N19" s="38"/>
      <c r="O19" s="38"/>
      <c r="P19" s="36"/>
      <c r="Q19" s="39"/>
    </row>
    <row r="20" spans="1:17" ht="16.5" customHeight="1" x14ac:dyDescent="0.25">
      <c r="A20" s="53"/>
      <c r="B20" s="54" t="s">
        <v>186</v>
      </c>
      <c r="C20" s="53"/>
      <c r="D20" s="55"/>
      <c r="E20" s="53"/>
      <c r="F20" s="51"/>
      <c r="G20" s="37"/>
      <c r="H20" s="37"/>
      <c r="I20" s="37"/>
      <c r="J20" s="37"/>
      <c r="K20" s="37"/>
      <c r="L20" s="37"/>
      <c r="M20" s="38"/>
      <c r="N20" s="38"/>
      <c r="O20" s="38"/>
      <c r="P20" s="36"/>
      <c r="Q20" s="39"/>
    </row>
    <row r="21" spans="1:17" ht="16.5" customHeight="1" x14ac:dyDescent="0.25">
      <c r="A21" s="53"/>
      <c r="B21" s="54" t="s">
        <v>186</v>
      </c>
      <c r="C21" s="53"/>
      <c r="D21" s="55"/>
      <c r="E21" s="53"/>
      <c r="F21" s="51"/>
      <c r="G21" s="37"/>
      <c r="H21" s="37"/>
      <c r="I21" s="37"/>
      <c r="J21" s="37"/>
      <c r="K21" s="37"/>
      <c r="L21" s="37"/>
      <c r="M21" s="38"/>
      <c r="N21" s="38"/>
      <c r="O21" s="38"/>
      <c r="P21" s="36"/>
      <c r="Q21" s="39"/>
    </row>
    <row r="22" spans="1:17" ht="16.5" customHeight="1" x14ac:dyDescent="0.25">
      <c r="A22" s="53"/>
      <c r="B22" s="54" t="s">
        <v>186</v>
      </c>
      <c r="C22" s="53"/>
      <c r="D22" s="55"/>
      <c r="E22" s="53"/>
      <c r="F22" s="51"/>
      <c r="G22" s="37"/>
      <c r="H22" s="37"/>
      <c r="I22" s="37"/>
      <c r="J22" s="37"/>
      <c r="K22" s="37"/>
      <c r="L22" s="37"/>
      <c r="M22" s="38"/>
      <c r="N22" s="38"/>
      <c r="O22" s="38"/>
      <c r="P22" s="36"/>
      <c r="Q22" s="39"/>
    </row>
    <row r="23" spans="1:17" ht="16.5" customHeight="1" x14ac:dyDescent="0.25">
      <c r="A23" s="53"/>
      <c r="B23" s="54" t="s">
        <v>186</v>
      </c>
      <c r="C23" s="53"/>
      <c r="D23" s="55"/>
      <c r="E23" s="53"/>
      <c r="F23" s="51"/>
      <c r="G23" s="37"/>
      <c r="H23" s="37"/>
      <c r="I23" s="37"/>
      <c r="J23" s="37"/>
      <c r="K23" s="37"/>
      <c r="L23" s="37"/>
      <c r="M23" s="38"/>
      <c r="N23" s="38"/>
      <c r="O23" s="38"/>
      <c r="P23" s="36"/>
      <c r="Q23" s="39"/>
    </row>
    <row r="24" spans="1:17" ht="16.5" customHeight="1" x14ac:dyDescent="0.25">
      <c r="A24" s="53"/>
      <c r="B24" s="54" t="s">
        <v>186</v>
      </c>
      <c r="C24" s="53"/>
      <c r="D24" s="55"/>
      <c r="E24" s="53"/>
      <c r="F24" s="51"/>
      <c r="G24" s="37"/>
      <c r="H24" s="37"/>
      <c r="I24" s="37"/>
      <c r="J24" s="37"/>
      <c r="K24" s="37"/>
      <c r="L24" s="37"/>
      <c r="M24" s="38"/>
      <c r="N24" s="38"/>
      <c r="O24" s="38"/>
      <c r="P24" s="36"/>
      <c r="Q24" s="39"/>
    </row>
    <row r="25" spans="1:17" ht="16.5" customHeight="1" x14ac:dyDescent="0.25">
      <c r="A25" s="53"/>
      <c r="B25" s="54" t="s">
        <v>186</v>
      </c>
      <c r="C25" s="53"/>
      <c r="D25" s="55"/>
      <c r="E25" s="53"/>
      <c r="F25" s="51"/>
      <c r="G25" s="37"/>
      <c r="H25" s="37"/>
      <c r="I25" s="37"/>
      <c r="J25" s="37"/>
      <c r="K25" s="37"/>
      <c r="L25" s="37"/>
      <c r="M25" s="38"/>
      <c r="N25" s="38"/>
      <c r="O25" s="38"/>
      <c r="P25" s="36"/>
      <c r="Q25" s="39"/>
    </row>
    <row r="26" spans="1:17" ht="16.5" customHeight="1" x14ac:dyDescent="0.25">
      <c r="A26" s="53"/>
      <c r="B26" s="54" t="s">
        <v>186</v>
      </c>
      <c r="C26" s="53"/>
      <c r="D26" s="55"/>
      <c r="E26" s="53"/>
      <c r="F26" s="51"/>
      <c r="G26" s="37"/>
      <c r="H26" s="37"/>
      <c r="I26" s="37"/>
      <c r="J26" s="37"/>
      <c r="K26" s="37"/>
      <c r="L26" s="37"/>
      <c r="M26" s="38"/>
      <c r="N26" s="38"/>
      <c r="O26" s="38"/>
      <c r="P26" s="36"/>
      <c r="Q26" s="39"/>
    </row>
    <row r="27" spans="1:17" ht="16.5" customHeight="1" x14ac:dyDescent="0.25">
      <c r="A27" s="53"/>
      <c r="B27" s="54" t="s">
        <v>186</v>
      </c>
      <c r="C27" s="53"/>
      <c r="D27" s="55"/>
      <c r="E27" s="53"/>
      <c r="F27" s="51"/>
      <c r="G27" s="37"/>
      <c r="H27" s="37"/>
      <c r="I27" s="37"/>
      <c r="J27" s="37"/>
      <c r="K27" s="37"/>
      <c r="L27" s="37"/>
      <c r="M27" s="38"/>
      <c r="N27" s="38"/>
      <c r="O27" s="38"/>
      <c r="P27" s="36"/>
      <c r="Q27" s="39"/>
    </row>
    <row r="28" spans="1:17" ht="16.5" customHeight="1" x14ac:dyDescent="0.25">
      <c r="A28" s="53"/>
      <c r="B28" s="54" t="s">
        <v>186</v>
      </c>
      <c r="C28" s="53"/>
      <c r="D28" s="55"/>
      <c r="E28" s="53"/>
      <c r="F28" s="51"/>
      <c r="G28" s="37"/>
      <c r="H28" s="37"/>
      <c r="I28" s="37"/>
      <c r="J28" s="37"/>
      <c r="K28" s="37"/>
      <c r="L28" s="37"/>
      <c r="M28" s="38"/>
      <c r="N28" s="38"/>
      <c r="O28" s="38"/>
      <c r="P28" s="36"/>
      <c r="Q28" s="39"/>
    </row>
    <row r="29" spans="1:17" ht="16.5" customHeight="1" x14ac:dyDescent="0.25">
      <c r="A29" s="53"/>
      <c r="B29" s="54" t="s">
        <v>186</v>
      </c>
      <c r="C29" s="53"/>
      <c r="D29" s="55"/>
      <c r="E29" s="53"/>
      <c r="F29" s="51"/>
      <c r="G29" s="37"/>
      <c r="H29" s="37"/>
      <c r="I29" s="37"/>
      <c r="J29" s="37"/>
      <c r="K29" s="37"/>
      <c r="L29" s="37"/>
      <c r="M29" s="38"/>
      <c r="N29" s="38"/>
      <c r="O29" s="38"/>
      <c r="P29" s="36"/>
      <c r="Q29" s="39"/>
    </row>
    <row r="30" spans="1:17" ht="16.5" customHeight="1" x14ac:dyDescent="0.25">
      <c r="A30" s="53"/>
      <c r="B30" s="54" t="s">
        <v>186</v>
      </c>
      <c r="C30" s="53"/>
      <c r="D30" s="55"/>
      <c r="E30" s="53"/>
      <c r="F30" s="51"/>
      <c r="G30" s="37"/>
      <c r="H30" s="37"/>
      <c r="I30" s="37"/>
      <c r="J30" s="37"/>
      <c r="K30" s="37"/>
      <c r="L30" s="37"/>
      <c r="M30" s="38"/>
      <c r="N30" s="38"/>
      <c r="O30" s="38"/>
      <c r="P30" s="36"/>
      <c r="Q30" s="39"/>
    </row>
    <row r="31" spans="1:17" ht="16.5" customHeight="1" x14ac:dyDescent="0.25">
      <c r="A31" s="53"/>
      <c r="B31" s="54" t="s">
        <v>186</v>
      </c>
      <c r="C31" s="53"/>
      <c r="D31" s="55"/>
      <c r="E31" s="53"/>
      <c r="F31" s="51"/>
      <c r="G31" s="37"/>
      <c r="H31" s="37"/>
      <c r="I31" s="37"/>
      <c r="J31" s="37"/>
      <c r="K31" s="37"/>
      <c r="L31" s="37"/>
      <c r="M31" s="38"/>
      <c r="N31" s="38"/>
      <c r="O31" s="38"/>
      <c r="P31" s="36"/>
      <c r="Q31" s="39"/>
    </row>
    <row r="32" spans="1:17" ht="16.5" customHeight="1" x14ac:dyDescent="0.25">
      <c r="A32" s="53"/>
      <c r="B32" s="54" t="s">
        <v>186</v>
      </c>
      <c r="C32" s="53"/>
      <c r="D32" s="55"/>
      <c r="E32" s="53"/>
      <c r="F32" s="51"/>
      <c r="G32" s="37"/>
      <c r="H32" s="37"/>
      <c r="I32" s="37"/>
      <c r="J32" s="37"/>
      <c r="K32" s="37"/>
      <c r="L32" s="37"/>
      <c r="M32" s="38"/>
      <c r="N32" s="38"/>
      <c r="O32" s="38"/>
      <c r="P32" s="36"/>
      <c r="Q32" s="39"/>
    </row>
    <row r="33" spans="1:17" ht="16.5" customHeight="1" x14ac:dyDescent="0.25">
      <c r="A33" s="53"/>
      <c r="B33" s="54" t="s">
        <v>186</v>
      </c>
      <c r="C33" s="53"/>
      <c r="D33" s="55"/>
      <c r="E33" s="53"/>
      <c r="F33" s="51"/>
      <c r="G33" s="37"/>
      <c r="H33" s="37"/>
      <c r="I33" s="37"/>
      <c r="J33" s="37"/>
      <c r="K33" s="37"/>
      <c r="L33" s="37"/>
      <c r="M33" s="38"/>
      <c r="N33" s="38"/>
      <c r="O33" s="38"/>
      <c r="P33" s="36"/>
      <c r="Q33" s="39"/>
    </row>
    <row r="34" spans="1:17" ht="16.5" customHeight="1" x14ac:dyDescent="0.25">
      <c r="A34" s="53"/>
      <c r="B34" s="54" t="s">
        <v>186</v>
      </c>
      <c r="C34" s="53"/>
      <c r="D34" s="55"/>
      <c r="E34" s="53"/>
      <c r="F34" s="51"/>
      <c r="G34" s="37"/>
      <c r="H34" s="37"/>
      <c r="I34" s="37"/>
      <c r="J34" s="37"/>
      <c r="K34" s="37"/>
      <c r="L34" s="37"/>
      <c r="M34" s="38"/>
      <c r="N34" s="38"/>
      <c r="O34" s="38"/>
      <c r="P34" s="36"/>
      <c r="Q34" s="39"/>
    </row>
    <row r="35" spans="1:17" ht="16.5" customHeight="1" x14ac:dyDescent="0.25">
      <c r="A35" s="53"/>
      <c r="B35" s="54" t="s">
        <v>186</v>
      </c>
      <c r="C35" s="53"/>
      <c r="D35" s="55"/>
      <c r="E35" s="53"/>
      <c r="F35" s="51"/>
      <c r="G35" s="37"/>
      <c r="H35" s="37"/>
      <c r="I35" s="37"/>
      <c r="J35" s="37"/>
      <c r="K35" s="37"/>
      <c r="L35" s="37"/>
      <c r="M35" s="38"/>
      <c r="N35" s="38"/>
      <c r="O35" s="38"/>
      <c r="P35" s="36"/>
      <c r="Q35" s="39"/>
    </row>
    <row r="36" spans="1:17" ht="16.5" customHeight="1" x14ac:dyDescent="0.25">
      <c r="A36" s="53"/>
      <c r="B36" s="54" t="s">
        <v>186</v>
      </c>
      <c r="C36" s="53"/>
      <c r="D36" s="55"/>
      <c r="E36" s="53"/>
      <c r="F36" s="51"/>
      <c r="G36" s="37"/>
      <c r="H36" s="37"/>
      <c r="I36" s="37"/>
      <c r="J36" s="37"/>
      <c r="K36" s="37"/>
      <c r="L36" s="37"/>
      <c r="M36" s="38"/>
      <c r="N36" s="38"/>
      <c r="O36" s="38"/>
      <c r="P36" s="36"/>
      <c r="Q36" s="39"/>
    </row>
    <row r="37" spans="1:17" ht="16.5" customHeight="1" x14ac:dyDescent="0.25">
      <c r="A37" s="53"/>
      <c r="B37" s="54" t="s">
        <v>186</v>
      </c>
      <c r="C37" s="53"/>
      <c r="D37" s="55"/>
      <c r="E37" s="53"/>
      <c r="F37" s="51"/>
      <c r="G37" s="37"/>
      <c r="H37" s="37"/>
      <c r="I37" s="37"/>
      <c r="J37" s="37"/>
      <c r="K37" s="37"/>
      <c r="L37" s="37"/>
      <c r="M37" s="38"/>
      <c r="N37" s="38"/>
      <c r="O37" s="38"/>
      <c r="P37" s="36"/>
      <c r="Q37" s="39"/>
    </row>
    <row r="38" spans="1:17" ht="16.5" customHeight="1" x14ac:dyDescent="0.25">
      <c r="A38" s="53"/>
      <c r="B38" s="54" t="s">
        <v>186</v>
      </c>
      <c r="C38" s="53"/>
      <c r="D38" s="55"/>
      <c r="E38" s="53"/>
      <c r="F38" s="51"/>
      <c r="G38" s="37"/>
      <c r="H38" s="37"/>
      <c r="I38" s="37"/>
      <c r="J38" s="37"/>
      <c r="K38" s="37"/>
      <c r="L38" s="37"/>
      <c r="M38" s="38"/>
      <c r="N38" s="38"/>
      <c r="O38" s="38"/>
      <c r="P38" s="36"/>
      <c r="Q38" s="39"/>
    </row>
    <row r="39" spans="1:17" ht="16.5" customHeight="1" x14ac:dyDescent="0.25">
      <c r="A39" s="53"/>
      <c r="B39" s="54" t="s">
        <v>186</v>
      </c>
      <c r="C39" s="53"/>
      <c r="D39" s="55"/>
      <c r="E39" s="53"/>
      <c r="F39" s="51"/>
      <c r="G39" s="37"/>
      <c r="H39" s="37"/>
      <c r="I39" s="37"/>
      <c r="J39" s="37"/>
      <c r="K39" s="37"/>
      <c r="L39" s="37"/>
      <c r="M39" s="38"/>
      <c r="N39" s="38"/>
      <c r="O39" s="38"/>
      <c r="P39" s="36"/>
      <c r="Q39" s="39"/>
    </row>
    <row r="40" spans="1:17" ht="16.5" customHeight="1" x14ac:dyDescent="0.25">
      <c r="A40" s="53"/>
      <c r="B40" s="54" t="s">
        <v>186</v>
      </c>
      <c r="C40" s="53"/>
      <c r="D40" s="55"/>
      <c r="E40" s="53"/>
      <c r="F40" s="51"/>
      <c r="G40" s="37"/>
      <c r="H40" s="37"/>
      <c r="I40" s="37"/>
      <c r="J40" s="37"/>
      <c r="K40" s="37"/>
      <c r="L40" s="37"/>
      <c r="M40" s="38"/>
      <c r="N40" s="38"/>
      <c r="O40" s="38"/>
      <c r="P40" s="36"/>
      <c r="Q40" s="39"/>
    </row>
    <row r="41" spans="1:17" ht="16.5" customHeight="1" x14ac:dyDescent="0.25">
      <c r="A41" s="53"/>
      <c r="B41" s="54" t="s">
        <v>186</v>
      </c>
      <c r="C41" s="53"/>
      <c r="D41" s="55"/>
      <c r="E41" s="53"/>
      <c r="F41" s="51"/>
      <c r="G41" s="37"/>
      <c r="H41" s="37"/>
      <c r="I41" s="37"/>
      <c r="J41" s="37"/>
      <c r="K41" s="37"/>
      <c r="L41" s="37"/>
      <c r="M41" s="38"/>
      <c r="N41" s="38"/>
      <c r="O41" s="38"/>
      <c r="P41" s="36"/>
      <c r="Q41" s="39"/>
    </row>
    <row r="42" spans="1:17" ht="16.5" customHeight="1" x14ac:dyDescent="0.25">
      <c r="A42" s="53"/>
      <c r="B42" s="54" t="s">
        <v>186</v>
      </c>
      <c r="C42" s="53"/>
      <c r="D42" s="55"/>
      <c r="E42" s="53"/>
      <c r="F42" s="51"/>
      <c r="G42" s="37"/>
      <c r="H42" s="37"/>
      <c r="I42" s="37"/>
      <c r="J42" s="37"/>
      <c r="K42" s="37"/>
      <c r="L42" s="37"/>
      <c r="M42" s="38"/>
      <c r="N42" s="38"/>
      <c r="O42" s="38"/>
      <c r="P42" s="36"/>
      <c r="Q42" s="39"/>
    </row>
    <row r="43" spans="1:17" ht="16.5" customHeight="1" x14ac:dyDescent="0.25">
      <c r="A43" s="53"/>
      <c r="B43" s="54" t="s">
        <v>186</v>
      </c>
      <c r="C43" s="53"/>
      <c r="D43" s="55"/>
      <c r="E43" s="53"/>
      <c r="F43" s="51"/>
      <c r="G43" s="37"/>
      <c r="H43" s="37"/>
      <c r="I43" s="37"/>
      <c r="J43" s="37"/>
      <c r="K43" s="37"/>
      <c r="L43" s="37"/>
      <c r="M43" s="38"/>
      <c r="N43" s="38"/>
      <c r="O43" s="38"/>
      <c r="P43" s="36"/>
      <c r="Q43" s="39"/>
    </row>
    <row r="44" spans="1:17" ht="16.5" customHeight="1" x14ac:dyDescent="0.25">
      <c r="A44" s="53"/>
      <c r="B44" s="54" t="s">
        <v>186</v>
      </c>
      <c r="C44" s="53"/>
      <c r="D44" s="55"/>
      <c r="E44" s="53"/>
      <c r="F44" s="51"/>
      <c r="G44" s="37"/>
      <c r="H44" s="37"/>
      <c r="I44" s="37"/>
      <c r="J44" s="37"/>
      <c r="K44" s="37"/>
      <c r="L44" s="37"/>
      <c r="M44" s="38"/>
      <c r="N44" s="38"/>
      <c r="O44" s="38"/>
      <c r="P44" s="36"/>
      <c r="Q44" s="39"/>
    </row>
    <row r="45" spans="1:17" ht="16.5" customHeight="1" x14ac:dyDescent="0.25">
      <c r="A45" s="53"/>
      <c r="B45" s="54" t="s">
        <v>186</v>
      </c>
      <c r="C45" s="53"/>
      <c r="D45" s="55"/>
      <c r="E45" s="53"/>
      <c r="F45" s="51"/>
      <c r="G45" s="37"/>
      <c r="H45" s="37"/>
      <c r="I45" s="37"/>
      <c r="J45" s="37"/>
      <c r="K45" s="37"/>
      <c r="L45" s="37"/>
      <c r="M45" s="38"/>
      <c r="N45" s="38"/>
      <c r="O45" s="38"/>
      <c r="P45" s="36"/>
      <c r="Q45" s="39"/>
    </row>
    <row r="46" spans="1:17" ht="19.5" customHeight="1" x14ac:dyDescent="0.25">
      <c r="A46" s="12" t="s">
        <v>187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</row>
    <row r="47" spans="1:17" ht="40.5" customHeight="1" x14ac:dyDescent="0.25">
      <c r="A47" s="52" t="s">
        <v>171</v>
      </c>
      <c r="B47" s="52" t="s">
        <v>172</v>
      </c>
      <c r="C47" s="52" t="s">
        <v>173</v>
      </c>
      <c r="D47" s="52" t="s">
        <v>174</v>
      </c>
      <c r="E47" s="52" t="s">
        <v>175</v>
      </c>
      <c r="F47" s="34" t="s">
        <v>176</v>
      </c>
      <c r="G47" s="34" t="s">
        <v>177</v>
      </c>
      <c r="H47" s="34" t="s">
        <v>178</v>
      </c>
      <c r="I47" s="34" t="s">
        <v>179</v>
      </c>
      <c r="J47" s="34" t="s">
        <v>180</v>
      </c>
      <c r="K47" s="34" t="s">
        <v>181</v>
      </c>
      <c r="L47" s="34" t="s">
        <v>182</v>
      </c>
      <c r="M47" s="35" t="s">
        <v>183</v>
      </c>
      <c r="N47" s="35" t="s">
        <v>184</v>
      </c>
      <c r="O47" s="35" t="s">
        <v>185</v>
      </c>
      <c r="P47" s="35" t="s">
        <v>94</v>
      </c>
      <c r="Q47" s="35" t="s">
        <v>103</v>
      </c>
    </row>
    <row r="48" spans="1:17" ht="16.5" customHeight="1" x14ac:dyDescent="0.25">
      <c r="A48" s="53"/>
      <c r="B48" s="54" t="s">
        <v>188</v>
      </c>
      <c r="C48" s="53"/>
      <c r="D48" s="55"/>
      <c r="E48" s="53"/>
      <c r="F48" s="51"/>
      <c r="G48" s="37"/>
      <c r="H48" s="37"/>
      <c r="I48" s="37"/>
      <c r="J48" s="37"/>
      <c r="K48" s="37"/>
      <c r="L48" s="37"/>
      <c r="M48" s="38"/>
      <c r="N48" s="38"/>
      <c r="O48" s="38"/>
      <c r="P48" s="36"/>
      <c r="Q48" s="39"/>
    </row>
    <row r="49" spans="1:17" ht="16.5" customHeight="1" x14ac:dyDescent="0.25">
      <c r="A49" s="53"/>
      <c r="B49" s="54" t="s">
        <v>188</v>
      </c>
      <c r="C49" s="53"/>
      <c r="D49" s="55"/>
      <c r="E49" s="53"/>
      <c r="F49" s="51"/>
      <c r="G49" s="37"/>
      <c r="H49" s="37"/>
      <c r="I49" s="37"/>
      <c r="J49" s="37"/>
      <c r="K49" s="37"/>
      <c r="L49" s="37"/>
      <c r="M49" s="38"/>
      <c r="N49" s="38"/>
      <c r="O49" s="38"/>
      <c r="P49" s="36"/>
      <c r="Q49" s="39"/>
    </row>
    <row r="50" spans="1:17" ht="16.5" customHeight="1" x14ac:dyDescent="0.25">
      <c r="A50" s="53"/>
      <c r="B50" s="54" t="s">
        <v>188</v>
      </c>
      <c r="C50" s="53"/>
      <c r="D50" s="55"/>
      <c r="E50" s="53"/>
      <c r="F50" s="51"/>
      <c r="G50" s="37"/>
      <c r="H50" s="37"/>
      <c r="I50" s="37"/>
      <c r="J50" s="37"/>
      <c r="K50" s="37"/>
      <c r="L50" s="37"/>
      <c r="M50" s="38"/>
      <c r="N50" s="38"/>
      <c r="O50" s="38"/>
      <c r="P50" s="36"/>
      <c r="Q50" s="39"/>
    </row>
    <row r="51" spans="1:17" ht="16.5" customHeight="1" x14ac:dyDescent="0.25">
      <c r="A51" s="53"/>
      <c r="B51" s="54" t="s">
        <v>188</v>
      </c>
      <c r="C51" s="53"/>
      <c r="D51" s="55"/>
      <c r="E51" s="53"/>
      <c r="F51" s="51"/>
      <c r="G51" s="37"/>
      <c r="H51" s="37"/>
      <c r="I51" s="37"/>
      <c r="J51" s="37"/>
      <c r="K51" s="37"/>
      <c r="L51" s="37"/>
      <c r="M51" s="38"/>
      <c r="N51" s="38"/>
      <c r="O51" s="38"/>
      <c r="P51" s="36"/>
      <c r="Q51" s="39"/>
    </row>
    <row r="52" spans="1:17" ht="16.5" customHeight="1" x14ac:dyDescent="0.25">
      <c r="A52" s="53"/>
      <c r="B52" s="54" t="s">
        <v>188</v>
      </c>
      <c r="C52" s="53"/>
      <c r="D52" s="55"/>
      <c r="E52" s="53"/>
      <c r="F52" s="51"/>
      <c r="G52" s="37"/>
      <c r="H52" s="37"/>
      <c r="I52" s="37"/>
      <c r="J52" s="37"/>
      <c r="K52" s="37"/>
      <c r="L52" s="37"/>
      <c r="M52" s="38"/>
      <c r="N52" s="38"/>
      <c r="O52" s="38"/>
      <c r="P52" s="36"/>
      <c r="Q52" s="39"/>
    </row>
    <row r="53" spans="1:17" ht="16.5" customHeight="1" x14ac:dyDescent="0.25">
      <c r="A53" s="53"/>
      <c r="B53" s="54" t="s">
        <v>188</v>
      </c>
      <c r="C53" s="53"/>
      <c r="D53" s="55"/>
      <c r="E53" s="53"/>
      <c r="F53" s="51"/>
      <c r="G53" s="37"/>
      <c r="H53" s="37"/>
      <c r="I53" s="37"/>
      <c r="J53" s="37"/>
      <c r="K53" s="37"/>
      <c r="L53" s="37"/>
      <c r="M53" s="38"/>
      <c r="N53" s="38"/>
      <c r="O53" s="38"/>
      <c r="P53" s="36"/>
      <c r="Q53" s="39"/>
    </row>
    <row r="54" spans="1:17" ht="16.5" customHeight="1" x14ac:dyDescent="0.25">
      <c r="A54" s="53"/>
      <c r="B54" s="54" t="s">
        <v>188</v>
      </c>
      <c r="C54" s="53"/>
      <c r="D54" s="55"/>
      <c r="E54" s="53"/>
      <c r="F54" s="51"/>
      <c r="G54" s="37"/>
      <c r="H54" s="37"/>
      <c r="I54" s="37"/>
      <c r="J54" s="37"/>
      <c r="K54" s="37"/>
      <c r="L54" s="37"/>
      <c r="M54" s="38"/>
      <c r="N54" s="38"/>
      <c r="O54" s="38"/>
      <c r="P54" s="36"/>
      <c r="Q54" s="39"/>
    </row>
    <row r="55" spans="1:17" ht="16.5" customHeight="1" x14ac:dyDescent="0.25">
      <c r="A55" s="53"/>
      <c r="B55" s="54" t="s">
        <v>188</v>
      </c>
      <c r="C55" s="53"/>
      <c r="D55" s="55"/>
      <c r="E55" s="53"/>
      <c r="F55" s="51"/>
      <c r="G55" s="37"/>
      <c r="H55" s="37"/>
      <c r="I55" s="37"/>
      <c r="J55" s="37"/>
      <c r="K55" s="37"/>
      <c r="L55" s="37"/>
      <c r="M55" s="38"/>
      <c r="N55" s="38"/>
      <c r="O55" s="38"/>
      <c r="P55" s="36"/>
      <c r="Q55" s="39"/>
    </row>
    <row r="56" spans="1:17" ht="16.5" customHeight="1" x14ac:dyDescent="0.25">
      <c r="A56" s="53"/>
      <c r="B56" s="54" t="s">
        <v>188</v>
      </c>
      <c r="C56" s="53"/>
      <c r="D56" s="55"/>
      <c r="E56" s="53"/>
      <c r="F56" s="51"/>
      <c r="G56" s="37"/>
      <c r="H56" s="37"/>
      <c r="I56" s="37"/>
      <c r="J56" s="37"/>
      <c r="K56" s="37"/>
      <c r="L56" s="37"/>
      <c r="M56" s="38"/>
      <c r="N56" s="38"/>
      <c r="O56" s="38"/>
      <c r="P56" s="36"/>
      <c r="Q56" s="39"/>
    </row>
    <row r="57" spans="1:17" ht="16.5" customHeight="1" x14ac:dyDescent="0.25">
      <c r="A57" s="53"/>
      <c r="B57" s="54" t="s">
        <v>188</v>
      </c>
      <c r="C57" s="53"/>
      <c r="D57" s="55"/>
      <c r="E57" s="53"/>
      <c r="F57" s="51"/>
      <c r="G57" s="37"/>
      <c r="H57" s="37"/>
      <c r="I57" s="37"/>
      <c r="J57" s="37"/>
      <c r="K57" s="37"/>
      <c r="L57" s="37"/>
      <c r="M57" s="38"/>
      <c r="N57" s="38"/>
      <c r="O57" s="38"/>
      <c r="P57" s="36"/>
      <c r="Q57" s="39"/>
    </row>
    <row r="58" spans="1:17" ht="16.5" customHeight="1" x14ac:dyDescent="0.25">
      <c r="A58" s="53"/>
      <c r="B58" s="54" t="s">
        <v>188</v>
      </c>
      <c r="C58" s="53"/>
      <c r="D58" s="55"/>
      <c r="E58" s="53"/>
      <c r="F58" s="51"/>
      <c r="G58" s="37"/>
      <c r="H58" s="37"/>
      <c r="I58" s="37"/>
      <c r="J58" s="37"/>
      <c r="K58" s="37"/>
      <c r="L58" s="37"/>
      <c r="M58" s="38"/>
      <c r="N58" s="38"/>
      <c r="O58" s="38"/>
      <c r="P58" s="36"/>
      <c r="Q58" s="39"/>
    </row>
    <row r="59" spans="1:17" ht="16.5" customHeight="1" x14ac:dyDescent="0.25">
      <c r="A59" s="53"/>
      <c r="B59" s="54" t="s">
        <v>188</v>
      </c>
      <c r="C59" s="53"/>
      <c r="D59" s="55"/>
      <c r="E59" s="53"/>
      <c r="F59" s="51"/>
      <c r="G59" s="37"/>
      <c r="H59" s="37"/>
      <c r="I59" s="37"/>
      <c r="J59" s="37"/>
      <c r="K59" s="37"/>
      <c r="L59" s="37"/>
      <c r="M59" s="38"/>
      <c r="N59" s="38"/>
      <c r="O59" s="38"/>
      <c r="P59" s="36"/>
      <c r="Q59" s="39"/>
    </row>
    <row r="60" spans="1:17" ht="16.5" customHeight="1" x14ac:dyDescent="0.25">
      <c r="A60" s="53"/>
      <c r="B60" s="54" t="s">
        <v>188</v>
      </c>
      <c r="C60" s="53"/>
      <c r="D60" s="55"/>
      <c r="E60" s="53"/>
      <c r="F60" s="51"/>
      <c r="G60" s="37"/>
      <c r="H60" s="37"/>
      <c r="I60" s="37"/>
      <c r="J60" s="37"/>
      <c r="K60" s="37"/>
      <c r="L60" s="37"/>
      <c r="M60" s="38"/>
      <c r="N60" s="38"/>
      <c r="O60" s="38"/>
      <c r="P60" s="36"/>
      <c r="Q60" s="39"/>
    </row>
    <row r="61" spans="1:17" ht="16.5" customHeight="1" x14ac:dyDescent="0.25">
      <c r="A61" s="53"/>
      <c r="B61" s="54" t="s">
        <v>188</v>
      </c>
      <c r="C61" s="53"/>
      <c r="D61" s="55"/>
      <c r="E61" s="53"/>
      <c r="F61" s="51"/>
      <c r="G61" s="37"/>
      <c r="H61" s="37"/>
      <c r="I61" s="37"/>
      <c r="J61" s="37"/>
      <c r="K61" s="37"/>
      <c r="L61" s="37"/>
      <c r="M61" s="38"/>
      <c r="N61" s="38"/>
      <c r="O61" s="38"/>
      <c r="P61" s="36"/>
      <c r="Q61" s="39"/>
    </row>
    <row r="62" spans="1:17" ht="16.5" customHeight="1" x14ac:dyDescent="0.25">
      <c r="A62" s="53"/>
      <c r="B62" s="54" t="s">
        <v>188</v>
      </c>
      <c r="C62" s="53"/>
      <c r="D62" s="55"/>
      <c r="E62" s="53"/>
      <c r="F62" s="51"/>
      <c r="G62" s="37"/>
      <c r="H62" s="37"/>
      <c r="I62" s="37"/>
      <c r="J62" s="37"/>
      <c r="K62" s="37"/>
      <c r="L62" s="37"/>
      <c r="M62" s="38"/>
      <c r="N62" s="38"/>
      <c r="O62" s="38"/>
      <c r="P62" s="36"/>
      <c r="Q62" s="39"/>
    </row>
    <row r="63" spans="1:17" ht="16.5" customHeight="1" x14ac:dyDescent="0.25">
      <c r="A63" s="53"/>
      <c r="B63" s="54" t="s">
        <v>188</v>
      </c>
      <c r="C63" s="53"/>
      <c r="D63" s="55"/>
      <c r="E63" s="53"/>
      <c r="F63" s="51"/>
      <c r="G63" s="37"/>
      <c r="H63" s="37"/>
      <c r="I63" s="37"/>
      <c r="J63" s="37"/>
      <c r="K63" s="37"/>
      <c r="L63" s="37"/>
      <c r="M63" s="38"/>
      <c r="N63" s="38"/>
      <c r="O63" s="38"/>
      <c r="P63" s="36"/>
      <c r="Q63" s="39"/>
    </row>
    <row r="64" spans="1:17" ht="16.5" customHeight="1" x14ac:dyDescent="0.25">
      <c r="A64" s="53"/>
      <c r="B64" s="54" t="s">
        <v>188</v>
      </c>
      <c r="C64" s="53"/>
      <c r="D64" s="55"/>
      <c r="E64" s="53"/>
      <c r="F64" s="51"/>
      <c r="G64" s="37"/>
      <c r="H64" s="37"/>
      <c r="I64" s="37"/>
      <c r="J64" s="37"/>
      <c r="K64" s="37"/>
      <c r="L64" s="37"/>
      <c r="M64" s="38"/>
      <c r="N64" s="38"/>
      <c r="O64" s="38"/>
      <c r="P64" s="36"/>
      <c r="Q64" s="39"/>
    </row>
    <row r="65" spans="1:17" ht="16.5" customHeight="1" x14ac:dyDescent="0.25">
      <c r="A65" s="53"/>
      <c r="B65" s="54" t="s">
        <v>188</v>
      </c>
      <c r="C65" s="53"/>
      <c r="D65" s="55"/>
      <c r="E65" s="53"/>
      <c r="F65" s="51"/>
      <c r="G65" s="37"/>
      <c r="H65" s="37"/>
      <c r="I65" s="37"/>
      <c r="J65" s="37"/>
      <c r="K65" s="37"/>
      <c r="L65" s="37"/>
      <c r="M65" s="38"/>
      <c r="N65" s="38"/>
      <c r="O65" s="38"/>
      <c r="P65" s="36"/>
      <c r="Q65" s="39"/>
    </row>
    <row r="66" spans="1:17" ht="16.5" customHeight="1" x14ac:dyDescent="0.25">
      <c r="A66" s="53"/>
      <c r="B66" s="54" t="s">
        <v>188</v>
      </c>
      <c r="C66" s="53"/>
      <c r="D66" s="55"/>
      <c r="E66" s="53"/>
      <c r="F66" s="51"/>
      <c r="G66" s="37"/>
      <c r="H66" s="37"/>
      <c r="I66" s="37"/>
      <c r="J66" s="37"/>
      <c r="K66" s="37"/>
      <c r="L66" s="37"/>
      <c r="M66" s="38"/>
      <c r="N66" s="38"/>
      <c r="O66" s="38"/>
      <c r="P66" s="36"/>
      <c r="Q66" s="39"/>
    </row>
    <row r="67" spans="1:17" ht="16.5" customHeight="1" x14ac:dyDescent="0.25">
      <c r="A67" s="53"/>
      <c r="B67" s="54" t="s">
        <v>188</v>
      </c>
      <c r="C67" s="53"/>
      <c r="D67" s="55"/>
      <c r="E67" s="53"/>
      <c r="F67" s="51"/>
      <c r="G67" s="37"/>
      <c r="H67" s="37"/>
      <c r="I67" s="37"/>
      <c r="J67" s="37"/>
      <c r="K67" s="37"/>
      <c r="L67" s="37"/>
      <c r="M67" s="38"/>
      <c r="N67" s="38"/>
      <c r="O67" s="38"/>
      <c r="P67" s="36"/>
      <c r="Q67" s="39"/>
    </row>
    <row r="68" spans="1:17" ht="16.5" customHeight="1" x14ac:dyDescent="0.25">
      <c r="A68" s="53"/>
      <c r="B68" s="54" t="s">
        <v>188</v>
      </c>
      <c r="C68" s="53"/>
      <c r="D68" s="55"/>
      <c r="E68" s="53"/>
      <c r="F68" s="51"/>
      <c r="G68" s="37"/>
      <c r="H68" s="37"/>
      <c r="I68" s="37"/>
      <c r="J68" s="37"/>
      <c r="K68" s="37"/>
      <c r="L68" s="37"/>
      <c r="M68" s="38"/>
      <c r="N68" s="38"/>
      <c r="O68" s="38"/>
      <c r="P68" s="36"/>
      <c r="Q68" s="39"/>
    </row>
    <row r="69" spans="1:17" ht="16.5" customHeight="1" x14ac:dyDescent="0.25">
      <c r="A69" s="53"/>
      <c r="B69" s="54" t="s">
        <v>188</v>
      </c>
      <c r="C69" s="53"/>
      <c r="D69" s="55"/>
      <c r="E69" s="53"/>
      <c r="F69" s="51"/>
      <c r="G69" s="37"/>
      <c r="H69" s="37"/>
      <c r="I69" s="37"/>
      <c r="J69" s="37"/>
      <c r="K69" s="37"/>
      <c r="L69" s="37"/>
      <c r="M69" s="38"/>
      <c r="N69" s="38"/>
      <c r="O69" s="38"/>
      <c r="P69" s="36"/>
      <c r="Q69" s="39"/>
    </row>
    <row r="70" spans="1:17" ht="16.5" customHeight="1" x14ac:dyDescent="0.25">
      <c r="A70" s="53"/>
      <c r="B70" s="54" t="s">
        <v>188</v>
      </c>
      <c r="C70" s="53"/>
      <c r="D70" s="55"/>
      <c r="E70" s="53"/>
      <c r="F70" s="51"/>
      <c r="G70" s="37"/>
      <c r="H70" s="37"/>
      <c r="I70" s="37"/>
      <c r="J70" s="37"/>
      <c r="K70" s="37"/>
      <c r="L70" s="37"/>
      <c r="M70" s="38"/>
      <c r="N70" s="38"/>
      <c r="O70" s="38"/>
      <c r="P70" s="36"/>
      <c r="Q70" s="39"/>
    </row>
    <row r="71" spans="1:17" ht="16.5" customHeight="1" x14ac:dyDescent="0.25">
      <c r="A71" s="53"/>
      <c r="B71" s="54" t="s">
        <v>188</v>
      </c>
      <c r="C71" s="53"/>
      <c r="D71" s="55"/>
      <c r="E71" s="53"/>
      <c r="F71" s="51"/>
      <c r="G71" s="37"/>
      <c r="H71" s="37"/>
      <c r="I71" s="37"/>
      <c r="J71" s="37"/>
      <c r="K71" s="37"/>
      <c r="L71" s="37"/>
      <c r="M71" s="38"/>
      <c r="N71" s="38"/>
      <c r="O71" s="38"/>
      <c r="P71" s="36"/>
      <c r="Q71" s="39"/>
    </row>
    <row r="72" spans="1:17" ht="16.5" customHeight="1" x14ac:dyDescent="0.25">
      <c r="A72" s="53"/>
      <c r="B72" s="54" t="s">
        <v>188</v>
      </c>
      <c r="C72" s="53"/>
      <c r="D72" s="55"/>
      <c r="E72" s="53"/>
      <c r="F72" s="51"/>
      <c r="G72" s="37"/>
      <c r="H72" s="37"/>
      <c r="I72" s="37"/>
      <c r="J72" s="37"/>
      <c r="K72" s="37"/>
      <c r="L72" s="37"/>
      <c r="M72" s="38"/>
      <c r="N72" s="38"/>
      <c r="O72" s="38"/>
      <c r="P72" s="36"/>
      <c r="Q72" s="39"/>
    </row>
    <row r="73" spans="1:17" ht="16.5" customHeight="1" x14ac:dyDescent="0.25">
      <c r="A73" s="53"/>
      <c r="B73" s="54" t="s">
        <v>188</v>
      </c>
      <c r="C73" s="53"/>
      <c r="D73" s="55"/>
      <c r="E73" s="53"/>
      <c r="F73" s="51"/>
      <c r="G73" s="37"/>
      <c r="H73" s="37"/>
      <c r="I73" s="37"/>
      <c r="J73" s="37"/>
      <c r="K73" s="37"/>
      <c r="L73" s="37"/>
      <c r="M73" s="38"/>
      <c r="N73" s="38"/>
      <c r="O73" s="38"/>
      <c r="P73" s="36"/>
      <c r="Q73" s="39"/>
    </row>
    <row r="74" spans="1:17" ht="16.5" customHeight="1" x14ac:dyDescent="0.25">
      <c r="A74" s="53"/>
      <c r="B74" s="54" t="s">
        <v>188</v>
      </c>
      <c r="C74" s="53"/>
      <c r="D74" s="55"/>
      <c r="E74" s="53"/>
      <c r="F74" s="51"/>
      <c r="G74" s="37"/>
      <c r="H74" s="37"/>
      <c r="I74" s="37"/>
      <c r="J74" s="37"/>
      <c r="K74" s="37"/>
      <c r="L74" s="37"/>
      <c r="M74" s="38"/>
      <c r="N74" s="38"/>
      <c r="O74" s="38"/>
      <c r="P74" s="36"/>
      <c r="Q74" s="39"/>
    </row>
    <row r="75" spans="1:17" ht="16.5" customHeight="1" x14ac:dyDescent="0.25">
      <c r="A75" s="53"/>
      <c r="B75" s="54" t="s">
        <v>188</v>
      </c>
      <c r="C75" s="53"/>
      <c r="D75" s="55"/>
      <c r="E75" s="53"/>
      <c r="F75" s="51"/>
      <c r="G75" s="37"/>
      <c r="H75" s="37"/>
      <c r="I75" s="37"/>
      <c r="J75" s="37"/>
      <c r="K75" s="37"/>
      <c r="L75" s="37"/>
      <c r="M75" s="38"/>
      <c r="N75" s="38"/>
      <c r="O75" s="38"/>
      <c r="P75" s="36"/>
      <c r="Q75" s="39"/>
    </row>
    <row r="76" spans="1:17" ht="16.5" customHeight="1" x14ac:dyDescent="0.25">
      <c r="A76" s="53"/>
      <c r="B76" s="54" t="s">
        <v>188</v>
      </c>
      <c r="C76" s="53"/>
      <c r="D76" s="55"/>
      <c r="E76" s="53"/>
      <c r="F76" s="51"/>
      <c r="G76" s="37"/>
      <c r="H76" s="37"/>
      <c r="I76" s="37"/>
      <c r="J76" s="37"/>
      <c r="K76" s="37"/>
      <c r="L76" s="37"/>
      <c r="M76" s="38"/>
      <c r="N76" s="38"/>
      <c r="O76" s="38"/>
      <c r="P76" s="36"/>
      <c r="Q76" s="39"/>
    </row>
    <row r="77" spans="1:17" ht="16.5" customHeight="1" x14ac:dyDescent="0.25">
      <c r="A77" s="53"/>
      <c r="B77" s="54" t="s">
        <v>188</v>
      </c>
      <c r="C77" s="53"/>
      <c r="D77" s="55"/>
      <c r="E77" s="53"/>
      <c r="F77" s="51"/>
      <c r="G77" s="37"/>
      <c r="H77" s="37"/>
      <c r="I77" s="37"/>
      <c r="J77" s="37"/>
      <c r="K77" s="37"/>
      <c r="L77" s="37"/>
      <c r="M77" s="38"/>
      <c r="N77" s="38"/>
      <c r="O77" s="38"/>
      <c r="P77" s="36"/>
      <c r="Q77" s="39"/>
    </row>
    <row r="78" spans="1:17" ht="16.5" customHeight="1" x14ac:dyDescent="0.25">
      <c r="A78" s="53"/>
      <c r="B78" s="54" t="s">
        <v>188</v>
      </c>
      <c r="C78" s="53"/>
      <c r="D78" s="55"/>
      <c r="E78" s="53"/>
      <c r="F78" s="51"/>
      <c r="G78" s="37"/>
      <c r="H78" s="37"/>
      <c r="I78" s="37"/>
      <c r="J78" s="37"/>
      <c r="K78" s="37"/>
      <c r="L78" s="37"/>
      <c r="M78" s="38"/>
      <c r="N78" s="38"/>
      <c r="O78" s="38"/>
      <c r="P78" s="36"/>
      <c r="Q78" s="39"/>
    </row>
    <row r="79" spans="1:17" ht="16.5" customHeight="1" x14ac:dyDescent="0.25">
      <c r="A79" s="53"/>
      <c r="B79" s="54" t="s">
        <v>188</v>
      </c>
      <c r="C79" s="53"/>
      <c r="D79" s="55"/>
      <c r="E79" s="53"/>
      <c r="F79" s="51"/>
      <c r="G79" s="37"/>
      <c r="H79" s="37"/>
      <c r="I79" s="37"/>
      <c r="J79" s="37"/>
      <c r="K79" s="37"/>
      <c r="L79" s="37"/>
      <c r="M79" s="38"/>
      <c r="N79" s="38"/>
      <c r="O79" s="38"/>
      <c r="P79" s="36"/>
      <c r="Q79" s="39"/>
    </row>
    <row r="80" spans="1:17" ht="16.5" customHeight="1" x14ac:dyDescent="0.25">
      <c r="A80" s="53"/>
      <c r="B80" s="54" t="s">
        <v>188</v>
      </c>
      <c r="C80" s="53"/>
      <c r="D80" s="55"/>
      <c r="E80" s="53"/>
      <c r="F80" s="51"/>
      <c r="G80" s="37"/>
      <c r="H80" s="37"/>
      <c r="I80" s="37"/>
      <c r="J80" s="37"/>
      <c r="K80" s="37"/>
      <c r="L80" s="37"/>
      <c r="M80" s="38"/>
      <c r="N80" s="38"/>
      <c r="O80" s="38"/>
      <c r="P80" s="36"/>
      <c r="Q80" s="39"/>
    </row>
    <row r="81" spans="1:17" ht="16.5" customHeight="1" x14ac:dyDescent="0.25">
      <c r="A81" s="53"/>
      <c r="B81" s="54" t="s">
        <v>188</v>
      </c>
      <c r="C81" s="53"/>
      <c r="D81" s="55"/>
      <c r="E81" s="53"/>
      <c r="F81" s="51"/>
      <c r="G81" s="37"/>
      <c r="H81" s="37"/>
      <c r="I81" s="37"/>
      <c r="J81" s="37"/>
      <c r="K81" s="37"/>
      <c r="L81" s="37"/>
      <c r="M81" s="38"/>
      <c r="N81" s="38"/>
      <c r="O81" s="38"/>
      <c r="P81" s="36"/>
      <c r="Q81" s="39"/>
    </row>
    <row r="82" spans="1:17" ht="16.5" customHeight="1" x14ac:dyDescent="0.25">
      <c r="A82" s="53"/>
      <c r="B82" s="54" t="s">
        <v>188</v>
      </c>
      <c r="C82" s="53"/>
      <c r="D82" s="55"/>
      <c r="E82" s="53"/>
      <c r="F82" s="51"/>
      <c r="G82" s="37"/>
      <c r="H82" s="37"/>
      <c r="I82" s="37"/>
      <c r="J82" s="37"/>
      <c r="K82" s="37"/>
      <c r="L82" s="37"/>
      <c r="M82" s="38"/>
      <c r="N82" s="38"/>
      <c r="O82" s="38"/>
      <c r="P82" s="36"/>
      <c r="Q82" s="39"/>
    </row>
    <row r="83" spans="1:17" ht="16.5" customHeight="1" x14ac:dyDescent="0.25">
      <c r="A83" s="53"/>
      <c r="B83" s="54" t="s">
        <v>188</v>
      </c>
      <c r="C83" s="53"/>
      <c r="D83" s="55"/>
      <c r="E83" s="53"/>
      <c r="F83" s="51"/>
      <c r="G83" s="37"/>
      <c r="H83" s="37"/>
      <c r="I83" s="37"/>
      <c r="J83" s="37"/>
      <c r="K83" s="37"/>
      <c r="L83" s="37"/>
      <c r="M83" s="38"/>
      <c r="N83" s="38"/>
      <c r="O83" s="38"/>
      <c r="P83" s="36"/>
      <c r="Q83" s="39"/>
    </row>
    <row r="84" spans="1:17" ht="16.5" customHeight="1" x14ac:dyDescent="0.25">
      <c r="A84" s="53"/>
      <c r="B84" s="54" t="s">
        <v>188</v>
      </c>
      <c r="C84" s="53"/>
      <c r="D84" s="55"/>
      <c r="E84" s="53"/>
      <c r="F84" s="51"/>
      <c r="G84" s="37"/>
      <c r="H84" s="37"/>
      <c r="I84" s="37"/>
      <c r="J84" s="37"/>
      <c r="K84" s="37"/>
      <c r="L84" s="37"/>
      <c r="M84" s="38"/>
      <c r="N84" s="38"/>
      <c r="O84" s="38"/>
      <c r="P84" s="36"/>
      <c r="Q84" s="39"/>
    </row>
    <row r="85" spans="1:17" ht="16.5" customHeight="1" x14ac:dyDescent="0.25">
      <c r="A85" s="53"/>
      <c r="B85" s="54" t="s">
        <v>188</v>
      </c>
      <c r="C85" s="53"/>
      <c r="D85" s="55"/>
      <c r="E85" s="53"/>
      <c r="F85" s="51"/>
      <c r="G85" s="37"/>
      <c r="H85" s="37"/>
      <c r="I85" s="37"/>
      <c r="J85" s="37"/>
      <c r="K85" s="37"/>
      <c r="L85" s="37"/>
      <c r="M85" s="38"/>
      <c r="N85" s="38"/>
      <c r="O85" s="38"/>
      <c r="P85" s="36"/>
      <c r="Q85" s="39"/>
    </row>
    <row r="86" spans="1:17" ht="16.5" customHeight="1" x14ac:dyDescent="0.25">
      <c r="A86" s="53"/>
      <c r="B86" s="54" t="s">
        <v>188</v>
      </c>
      <c r="C86" s="53"/>
      <c r="D86" s="55"/>
      <c r="E86" s="53"/>
      <c r="F86" s="51"/>
      <c r="G86" s="37"/>
      <c r="H86" s="37"/>
      <c r="I86" s="37"/>
      <c r="J86" s="37"/>
      <c r="K86" s="37"/>
      <c r="L86" s="37"/>
      <c r="M86" s="38"/>
      <c r="N86" s="38"/>
      <c r="O86" s="38"/>
      <c r="P86" s="36"/>
      <c r="Q86" s="39"/>
    </row>
    <row r="87" spans="1:17" ht="16.5" customHeight="1" x14ac:dyDescent="0.25">
      <c r="A87" s="53"/>
      <c r="B87" s="54" t="s">
        <v>188</v>
      </c>
      <c r="C87" s="53"/>
      <c r="D87" s="55"/>
      <c r="E87" s="53"/>
      <c r="F87" s="51"/>
      <c r="G87" s="37"/>
      <c r="H87" s="37"/>
      <c r="I87" s="37"/>
      <c r="J87" s="37"/>
      <c r="K87" s="37"/>
      <c r="L87" s="37"/>
      <c r="M87" s="38"/>
      <c r="N87" s="38"/>
      <c r="O87" s="38"/>
      <c r="P87" s="36"/>
      <c r="Q87" s="39"/>
    </row>
    <row r="88" spans="1:17" ht="19.5" customHeight="1" x14ac:dyDescent="0.25">
      <c r="A88" s="12" t="s">
        <v>189</v>
      </c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</row>
    <row r="89" spans="1:17" ht="40.5" customHeight="1" x14ac:dyDescent="0.25">
      <c r="A89" s="52" t="s">
        <v>171</v>
      </c>
      <c r="B89" s="52" t="s">
        <v>172</v>
      </c>
      <c r="C89" s="52" t="s">
        <v>173</v>
      </c>
      <c r="D89" s="52" t="s">
        <v>174</v>
      </c>
      <c r="E89" s="52" t="s">
        <v>175</v>
      </c>
      <c r="F89" s="34" t="s">
        <v>176</v>
      </c>
      <c r="G89" s="34" t="s">
        <v>177</v>
      </c>
      <c r="H89" s="34" t="s">
        <v>178</v>
      </c>
      <c r="I89" s="34" t="s">
        <v>179</v>
      </c>
      <c r="J89" s="34" t="s">
        <v>180</v>
      </c>
      <c r="K89" s="34" t="s">
        <v>181</v>
      </c>
      <c r="L89" s="34" t="s">
        <v>182</v>
      </c>
      <c r="M89" s="35" t="s">
        <v>183</v>
      </c>
      <c r="N89" s="35" t="s">
        <v>184</v>
      </c>
      <c r="O89" s="35" t="s">
        <v>185</v>
      </c>
      <c r="P89" s="35" t="s">
        <v>94</v>
      </c>
      <c r="Q89" s="35" t="s">
        <v>103</v>
      </c>
    </row>
    <row r="90" spans="1:17" ht="16.5" customHeight="1" x14ac:dyDescent="0.25">
      <c r="A90" s="53"/>
      <c r="B90" s="54" t="s">
        <v>190</v>
      </c>
      <c r="C90" s="53"/>
      <c r="D90" s="55"/>
      <c r="E90" s="53"/>
      <c r="F90" s="51"/>
      <c r="G90" s="37"/>
      <c r="H90" s="37"/>
      <c r="I90" s="37"/>
      <c r="J90" s="37"/>
      <c r="K90" s="37"/>
      <c r="L90" s="37"/>
      <c r="M90" s="38"/>
      <c r="N90" s="38"/>
      <c r="O90" s="38"/>
      <c r="P90" s="36"/>
      <c r="Q90" s="39"/>
    </row>
    <row r="91" spans="1:17" ht="16.5" customHeight="1" x14ac:dyDescent="0.25">
      <c r="A91" s="53"/>
      <c r="B91" s="54" t="s">
        <v>190</v>
      </c>
      <c r="C91" s="53"/>
      <c r="D91" s="55"/>
      <c r="E91" s="53"/>
      <c r="F91" s="51"/>
      <c r="G91" s="37"/>
      <c r="H91" s="37"/>
      <c r="I91" s="37"/>
      <c r="J91" s="37"/>
      <c r="K91" s="37"/>
      <c r="L91" s="37"/>
      <c r="M91" s="38"/>
      <c r="N91" s="38"/>
      <c r="O91" s="38"/>
      <c r="P91" s="36"/>
      <c r="Q91" s="39"/>
    </row>
    <row r="92" spans="1:17" ht="16.5" customHeight="1" x14ac:dyDescent="0.25">
      <c r="A92" s="53"/>
      <c r="B92" s="54" t="s">
        <v>190</v>
      </c>
      <c r="C92" s="53"/>
      <c r="D92" s="55"/>
      <c r="E92" s="53"/>
      <c r="F92" s="51"/>
      <c r="G92" s="37"/>
      <c r="H92" s="37"/>
      <c r="I92" s="37"/>
      <c r="J92" s="37"/>
      <c r="K92" s="37"/>
      <c r="L92" s="37"/>
      <c r="M92" s="38"/>
      <c r="N92" s="38"/>
      <c r="O92" s="38"/>
      <c r="P92" s="36"/>
      <c r="Q92" s="39"/>
    </row>
    <row r="93" spans="1:17" ht="16.5" customHeight="1" x14ac:dyDescent="0.25">
      <c r="A93" s="53"/>
      <c r="B93" s="54" t="s">
        <v>190</v>
      </c>
      <c r="C93" s="53"/>
      <c r="D93" s="55"/>
      <c r="E93" s="53"/>
      <c r="F93" s="51"/>
      <c r="G93" s="37"/>
      <c r="H93" s="37"/>
      <c r="I93" s="37"/>
      <c r="J93" s="37"/>
      <c r="K93" s="37"/>
      <c r="L93" s="37"/>
      <c r="M93" s="38"/>
      <c r="N93" s="38"/>
      <c r="O93" s="38"/>
      <c r="P93" s="36"/>
      <c r="Q93" s="39"/>
    </row>
    <row r="94" spans="1:17" ht="16.5" customHeight="1" x14ac:dyDescent="0.25">
      <c r="A94" s="53"/>
      <c r="B94" s="54" t="s">
        <v>190</v>
      </c>
      <c r="C94" s="53"/>
      <c r="D94" s="55"/>
      <c r="E94" s="53"/>
      <c r="F94" s="51"/>
      <c r="G94" s="37"/>
      <c r="H94" s="37"/>
      <c r="I94" s="37"/>
      <c r="J94" s="37"/>
      <c r="K94" s="37"/>
      <c r="L94" s="37"/>
      <c r="M94" s="38"/>
      <c r="N94" s="38"/>
      <c r="O94" s="38"/>
      <c r="P94" s="36"/>
      <c r="Q94" s="39"/>
    </row>
    <row r="95" spans="1:17" ht="16.5" customHeight="1" x14ac:dyDescent="0.25">
      <c r="A95" s="53"/>
      <c r="B95" s="54" t="s">
        <v>190</v>
      </c>
      <c r="C95" s="53"/>
      <c r="D95" s="55"/>
      <c r="E95" s="53"/>
      <c r="F95" s="51"/>
      <c r="G95" s="37"/>
      <c r="H95" s="37"/>
      <c r="I95" s="37"/>
      <c r="J95" s="37"/>
      <c r="K95" s="37"/>
      <c r="L95" s="37"/>
      <c r="M95" s="38"/>
      <c r="N95" s="38"/>
      <c r="O95" s="38"/>
      <c r="P95" s="36"/>
      <c r="Q95" s="39"/>
    </row>
    <row r="96" spans="1:17" ht="16.5" customHeight="1" x14ac:dyDescent="0.25">
      <c r="A96" s="53"/>
      <c r="B96" s="54" t="s">
        <v>190</v>
      </c>
      <c r="C96" s="53"/>
      <c r="D96" s="55"/>
      <c r="E96" s="53"/>
      <c r="F96" s="51"/>
      <c r="G96" s="37"/>
      <c r="H96" s="37"/>
      <c r="I96" s="37"/>
      <c r="J96" s="37"/>
      <c r="K96" s="37"/>
      <c r="L96" s="37"/>
      <c r="M96" s="38"/>
      <c r="N96" s="38"/>
      <c r="O96" s="38"/>
      <c r="P96" s="36"/>
      <c r="Q96" s="39"/>
    </row>
    <row r="97" spans="1:17" ht="16.5" customHeight="1" x14ac:dyDescent="0.25">
      <c r="A97" s="53"/>
      <c r="B97" s="54" t="s">
        <v>190</v>
      </c>
      <c r="C97" s="53"/>
      <c r="D97" s="55"/>
      <c r="E97" s="53"/>
      <c r="F97" s="51"/>
      <c r="G97" s="37"/>
      <c r="H97" s="37"/>
      <c r="I97" s="37"/>
      <c r="J97" s="37"/>
      <c r="K97" s="37"/>
      <c r="L97" s="37"/>
      <c r="M97" s="38"/>
      <c r="N97" s="38"/>
      <c r="O97" s="38"/>
      <c r="P97" s="36"/>
      <c r="Q97" s="39"/>
    </row>
    <row r="98" spans="1:17" ht="16.5" customHeight="1" x14ac:dyDescent="0.25">
      <c r="A98" s="53"/>
      <c r="B98" s="54" t="s">
        <v>190</v>
      </c>
      <c r="C98" s="53"/>
      <c r="D98" s="55"/>
      <c r="E98" s="53"/>
      <c r="F98" s="51"/>
      <c r="G98" s="37"/>
      <c r="H98" s="37"/>
      <c r="I98" s="37"/>
      <c r="J98" s="37"/>
      <c r="K98" s="37"/>
      <c r="L98" s="37"/>
      <c r="M98" s="38"/>
      <c r="N98" s="38"/>
      <c r="O98" s="38"/>
      <c r="P98" s="36"/>
      <c r="Q98" s="39"/>
    </row>
    <row r="99" spans="1:17" ht="16.5" customHeight="1" x14ac:dyDescent="0.25">
      <c r="A99" s="53"/>
      <c r="B99" s="54" t="s">
        <v>190</v>
      </c>
      <c r="C99" s="53"/>
      <c r="D99" s="55"/>
      <c r="E99" s="53"/>
      <c r="F99" s="51"/>
      <c r="G99" s="37"/>
      <c r="H99" s="37"/>
      <c r="I99" s="37"/>
      <c r="J99" s="37"/>
      <c r="K99" s="37"/>
      <c r="L99" s="37"/>
      <c r="M99" s="38"/>
      <c r="N99" s="38"/>
      <c r="O99" s="38"/>
      <c r="P99" s="36"/>
      <c r="Q99" s="39"/>
    </row>
    <row r="100" spans="1:17" ht="16.5" customHeight="1" x14ac:dyDescent="0.25">
      <c r="A100" s="53"/>
      <c r="B100" s="54" t="s">
        <v>190</v>
      </c>
      <c r="C100" s="53"/>
      <c r="D100" s="55"/>
      <c r="E100" s="53"/>
      <c r="F100" s="51"/>
      <c r="G100" s="37"/>
      <c r="H100" s="37"/>
      <c r="I100" s="37"/>
      <c r="J100" s="37"/>
      <c r="K100" s="37"/>
      <c r="L100" s="37"/>
      <c r="M100" s="38"/>
      <c r="N100" s="38"/>
      <c r="O100" s="38"/>
      <c r="P100" s="36"/>
      <c r="Q100" s="39"/>
    </row>
    <row r="101" spans="1:17" ht="16.5" customHeight="1" x14ac:dyDescent="0.25">
      <c r="A101" s="53"/>
      <c r="B101" s="54" t="s">
        <v>190</v>
      </c>
      <c r="C101" s="53"/>
      <c r="D101" s="55"/>
      <c r="E101" s="53"/>
      <c r="F101" s="51"/>
      <c r="G101" s="37"/>
      <c r="H101" s="37"/>
      <c r="I101" s="37"/>
      <c r="J101" s="37"/>
      <c r="K101" s="37"/>
      <c r="L101" s="37"/>
      <c r="M101" s="38"/>
      <c r="N101" s="38"/>
      <c r="O101" s="38"/>
      <c r="P101" s="36"/>
      <c r="Q101" s="39"/>
    </row>
    <row r="102" spans="1:17" ht="16.5" customHeight="1" x14ac:dyDescent="0.25">
      <c r="A102" s="53"/>
      <c r="B102" s="54" t="s">
        <v>190</v>
      </c>
      <c r="C102" s="53"/>
      <c r="D102" s="55"/>
      <c r="E102" s="53"/>
      <c r="F102" s="51"/>
      <c r="G102" s="37"/>
      <c r="H102" s="37"/>
      <c r="I102" s="37"/>
      <c r="J102" s="37"/>
      <c r="K102" s="37"/>
      <c r="L102" s="37"/>
      <c r="M102" s="38"/>
      <c r="N102" s="38"/>
      <c r="O102" s="38"/>
      <c r="P102" s="36"/>
      <c r="Q102" s="39"/>
    </row>
    <row r="103" spans="1:17" ht="16.5" customHeight="1" x14ac:dyDescent="0.25">
      <c r="A103" s="53"/>
      <c r="B103" s="54" t="s">
        <v>190</v>
      </c>
      <c r="C103" s="53"/>
      <c r="D103" s="55"/>
      <c r="E103" s="53"/>
      <c r="F103" s="51"/>
      <c r="G103" s="37"/>
      <c r="H103" s="37"/>
      <c r="I103" s="37"/>
      <c r="J103" s="37"/>
      <c r="K103" s="37"/>
      <c r="L103" s="37"/>
      <c r="M103" s="38"/>
      <c r="N103" s="38"/>
      <c r="O103" s="38"/>
      <c r="P103" s="36"/>
      <c r="Q103" s="39"/>
    </row>
    <row r="104" spans="1:17" ht="16.5" customHeight="1" x14ac:dyDescent="0.25">
      <c r="A104" s="53"/>
      <c r="B104" s="54" t="s">
        <v>190</v>
      </c>
      <c r="C104" s="53"/>
      <c r="D104" s="55"/>
      <c r="E104" s="53"/>
      <c r="F104" s="51"/>
      <c r="G104" s="37"/>
      <c r="H104" s="37"/>
      <c r="I104" s="37"/>
      <c r="J104" s="37"/>
      <c r="K104" s="37"/>
      <c r="L104" s="37"/>
      <c r="M104" s="38"/>
      <c r="N104" s="38"/>
      <c r="O104" s="38"/>
      <c r="P104" s="36"/>
      <c r="Q104" s="39"/>
    </row>
    <row r="105" spans="1:17" ht="16.5" customHeight="1" x14ac:dyDescent="0.25">
      <c r="A105" s="53"/>
      <c r="B105" s="54" t="s">
        <v>190</v>
      </c>
      <c r="C105" s="53"/>
      <c r="D105" s="55"/>
      <c r="E105" s="53"/>
      <c r="F105" s="51"/>
      <c r="G105" s="37"/>
      <c r="H105" s="37"/>
      <c r="I105" s="37"/>
      <c r="J105" s="37"/>
      <c r="K105" s="37"/>
      <c r="L105" s="37"/>
      <c r="M105" s="38"/>
      <c r="N105" s="38"/>
      <c r="O105" s="38"/>
      <c r="P105" s="36"/>
      <c r="Q105" s="39"/>
    </row>
    <row r="106" spans="1:17" ht="16.5" customHeight="1" x14ac:dyDescent="0.25">
      <c r="A106" s="53"/>
      <c r="B106" s="54" t="s">
        <v>190</v>
      </c>
      <c r="C106" s="53"/>
      <c r="D106" s="55"/>
      <c r="E106" s="53"/>
      <c r="F106" s="51"/>
      <c r="G106" s="37"/>
      <c r="H106" s="37"/>
      <c r="I106" s="37"/>
      <c r="J106" s="37"/>
      <c r="K106" s="37"/>
      <c r="L106" s="37"/>
      <c r="M106" s="38"/>
      <c r="N106" s="38"/>
      <c r="O106" s="38"/>
      <c r="P106" s="36"/>
      <c r="Q106" s="39"/>
    </row>
    <row r="107" spans="1:17" ht="16.5" customHeight="1" x14ac:dyDescent="0.25">
      <c r="A107" s="53"/>
      <c r="B107" s="54" t="s">
        <v>190</v>
      </c>
      <c r="C107" s="53"/>
      <c r="D107" s="55"/>
      <c r="E107" s="53"/>
      <c r="F107" s="51"/>
      <c r="G107" s="37"/>
      <c r="H107" s="37"/>
      <c r="I107" s="37"/>
      <c r="J107" s="37"/>
      <c r="K107" s="37"/>
      <c r="L107" s="37"/>
      <c r="M107" s="38"/>
      <c r="N107" s="38"/>
      <c r="O107" s="38"/>
      <c r="P107" s="36"/>
      <c r="Q107" s="39"/>
    </row>
    <row r="108" spans="1:17" ht="16.5" customHeight="1" x14ac:dyDescent="0.25">
      <c r="A108" s="53"/>
      <c r="B108" s="54" t="s">
        <v>190</v>
      </c>
      <c r="C108" s="53"/>
      <c r="D108" s="55"/>
      <c r="E108" s="53"/>
      <c r="F108" s="51"/>
      <c r="G108" s="37"/>
      <c r="H108" s="37"/>
      <c r="I108" s="37"/>
      <c r="J108" s="37"/>
      <c r="K108" s="37"/>
      <c r="L108" s="37"/>
      <c r="M108" s="38"/>
      <c r="N108" s="38"/>
      <c r="O108" s="38"/>
      <c r="P108" s="36"/>
      <c r="Q108" s="39"/>
    </row>
    <row r="109" spans="1:17" ht="16.5" customHeight="1" x14ac:dyDescent="0.25">
      <c r="A109" s="53"/>
      <c r="B109" s="54" t="s">
        <v>190</v>
      </c>
      <c r="C109" s="53"/>
      <c r="D109" s="55"/>
      <c r="E109" s="53"/>
      <c r="F109" s="51"/>
      <c r="G109" s="37"/>
      <c r="H109" s="37"/>
      <c r="I109" s="37"/>
      <c r="J109" s="37"/>
      <c r="K109" s="37"/>
      <c r="L109" s="37"/>
      <c r="M109" s="38"/>
      <c r="N109" s="38"/>
      <c r="O109" s="38"/>
      <c r="P109" s="36"/>
      <c r="Q109" s="39"/>
    </row>
    <row r="110" spans="1:17" ht="16.5" customHeight="1" x14ac:dyDescent="0.25">
      <c r="A110" s="53"/>
      <c r="B110" s="54" t="s">
        <v>190</v>
      </c>
      <c r="C110" s="53"/>
      <c r="D110" s="55"/>
      <c r="E110" s="53"/>
      <c r="F110" s="51"/>
      <c r="G110" s="37"/>
      <c r="H110" s="37"/>
      <c r="I110" s="37"/>
      <c r="J110" s="37"/>
      <c r="K110" s="37"/>
      <c r="L110" s="37"/>
      <c r="M110" s="38"/>
      <c r="N110" s="38"/>
      <c r="O110" s="38"/>
      <c r="P110" s="36"/>
      <c r="Q110" s="39"/>
    </row>
    <row r="111" spans="1:17" ht="16.5" customHeight="1" x14ac:dyDescent="0.25">
      <c r="A111" s="53"/>
      <c r="B111" s="54" t="s">
        <v>190</v>
      </c>
      <c r="C111" s="53"/>
      <c r="D111" s="55"/>
      <c r="E111" s="53"/>
      <c r="F111" s="51"/>
      <c r="G111" s="37"/>
      <c r="H111" s="37"/>
      <c r="I111" s="37"/>
      <c r="J111" s="37"/>
      <c r="K111" s="37"/>
      <c r="L111" s="37"/>
      <c r="M111" s="38"/>
      <c r="N111" s="38"/>
      <c r="O111" s="38"/>
      <c r="P111" s="36"/>
      <c r="Q111" s="39"/>
    </row>
    <row r="112" spans="1:17" ht="16.5" customHeight="1" x14ac:dyDescent="0.25">
      <c r="A112" s="53"/>
      <c r="B112" s="54" t="s">
        <v>190</v>
      </c>
      <c r="C112" s="53"/>
      <c r="D112" s="55"/>
      <c r="E112" s="53"/>
      <c r="F112" s="51"/>
      <c r="G112" s="37"/>
      <c r="H112" s="37"/>
      <c r="I112" s="37"/>
      <c r="J112" s="37"/>
      <c r="K112" s="37"/>
      <c r="L112" s="37"/>
      <c r="M112" s="38"/>
      <c r="N112" s="38"/>
      <c r="O112" s="38"/>
      <c r="P112" s="36"/>
      <c r="Q112" s="39"/>
    </row>
    <row r="113" spans="1:17" ht="16.5" customHeight="1" x14ac:dyDescent="0.25">
      <c r="A113" s="53"/>
      <c r="B113" s="54" t="s">
        <v>190</v>
      </c>
      <c r="C113" s="53"/>
      <c r="D113" s="55"/>
      <c r="E113" s="53"/>
      <c r="F113" s="51"/>
      <c r="G113" s="37"/>
      <c r="H113" s="37"/>
      <c r="I113" s="37"/>
      <c r="J113" s="37"/>
      <c r="K113" s="37"/>
      <c r="L113" s="37"/>
      <c r="M113" s="38"/>
      <c r="N113" s="38"/>
      <c r="O113" s="38"/>
      <c r="P113" s="36"/>
      <c r="Q113" s="39"/>
    </row>
    <row r="114" spans="1:17" ht="16.5" customHeight="1" x14ac:dyDescent="0.25">
      <c r="A114" s="53"/>
      <c r="B114" s="54" t="s">
        <v>190</v>
      </c>
      <c r="C114" s="53"/>
      <c r="D114" s="55"/>
      <c r="E114" s="53"/>
      <c r="F114" s="51"/>
      <c r="G114" s="37"/>
      <c r="H114" s="37"/>
      <c r="I114" s="37"/>
      <c r="J114" s="37"/>
      <c r="K114" s="37"/>
      <c r="L114" s="37"/>
      <c r="M114" s="38"/>
      <c r="N114" s="38"/>
      <c r="O114" s="38"/>
      <c r="P114" s="36"/>
      <c r="Q114" s="39"/>
    </row>
    <row r="115" spans="1:17" ht="16.5" customHeight="1" x14ac:dyDescent="0.25">
      <c r="A115" s="53"/>
      <c r="B115" s="54" t="s">
        <v>190</v>
      </c>
      <c r="C115" s="53"/>
      <c r="D115" s="55"/>
      <c r="E115" s="53"/>
      <c r="F115" s="51"/>
      <c r="G115" s="37"/>
      <c r="H115" s="37"/>
      <c r="I115" s="37"/>
      <c r="J115" s="37"/>
      <c r="K115" s="37"/>
      <c r="L115" s="37"/>
      <c r="M115" s="38"/>
      <c r="N115" s="38"/>
      <c r="O115" s="38"/>
      <c r="P115" s="36"/>
      <c r="Q115" s="39"/>
    </row>
    <row r="116" spans="1:17" ht="16.5" customHeight="1" x14ac:dyDescent="0.25">
      <c r="A116" s="53"/>
      <c r="B116" s="54" t="s">
        <v>190</v>
      </c>
      <c r="C116" s="53"/>
      <c r="D116" s="55"/>
      <c r="E116" s="53"/>
      <c r="F116" s="51"/>
      <c r="G116" s="37"/>
      <c r="H116" s="37"/>
      <c r="I116" s="37"/>
      <c r="J116" s="37"/>
      <c r="K116" s="37"/>
      <c r="L116" s="37"/>
      <c r="M116" s="38"/>
      <c r="N116" s="38"/>
      <c r="O116" s="38"/>
      <c r="P116" s="36"/>
      <c r="Q116" s="39"/>
    </row>
    <row r="117" spans="1:17" ht="16.5" customHeight="1" x14ac:dyDescent="0.25">
      <c r="A117" s="53"/>
      <c r="B117" s="54" t="s">
        <v>190</v>
      </c>
      <c r="C117" s="53"/>
      <c r="D117" s="55"/>
      <c r="E117" s="53"/>
      <c r="F117" s="51"/>
      <c r="G117" s="37"/>
      <c r="H117" s="37"/>
      <c r="I117" s="37"/>
      <c r="J117" s="37"/>
      <c r="K117" s="37"/>
      <c r="L117" s="37"/>
      <c r="M117" s="38"/>
      <c r="N117" s="38"/>
      <c r="O117" s="38"/>
      <c r="P117" s="36"/>
      <c r="Q117" s="39"/>
    </row>
    <row r="118" spans="1:17" ht="16.5" customHeight="1" x14ac:dyDescent="0.25">
      <c r="A118" s="53"/>
      <c r="B118" s="54" t="s">
        <v>190</v>
      </c>
      <c r="C118" s="53"/>
      <c r="D118" s="55"/>
      <c r="E118" s="53"/>
      <c r="F118" s="51"/>
      <c r="G118" s="37"/>
      <c r="H118" s="37"/>
      <c r="I118" s="37"/>
      <c r="J118" s="37"/>
      <c r="K118" s="37"/>
      <c r="L118" s="37"/>
      <c r="M118" s="38"/>
      <c r="N118" s="38"/>
      <c r="O118" s="38"/>
      <c r="P118" s="36"/>
      <c r="Q118" s="39"/>
    </row>
    <row r="119" spans="1:17" ht="16.5" customHeight="1" x14ac:dyDescent="0.25">
      <c r="A119" s="53"/>
      <c r="B119" s="54" t="s">
        <v>190</v>
      </c>
      <c r="C119" s="53"/>
      <c r="D119" s="55"/>
      <c r="E119" s="53"/>
      <c r="F119" s="51"/>
      <c r="G119" s="37"/>
      <c r="H119" s="37"/>
      <c r="I119" s="37"/>
      <c r="J119" s="37"/>
      <c r="K119" s="37"/>
      <c r="L119" s="37"/>
      <c r="M119" s="38"/>
      <c r="N119" s="38"/>
      <c r="O119" s="38"/>
      <c r="P119" s="36"/>
      <c r="Q119" s="39"/>
    </row>
    <row r="120" spans="1:17" ht="16.5" customHeight="1" x14ac:dyDescent="0.25">
      <c r="A120" s="53"/>
      <c r="B120" s="54" t="s">
        <v>190</v>
      </c>
      <c r="C120" s="53"/>
      <c r="D120" s="55"/>
      <c r="E120" s="53"/>
      <c r="F120" s="51"/>
      <c r="G120" s="37"/>
      <c r="H120" s="37"/>
      <c r="I120" s="37"/>
      <c r="J120" s="37"/>
      <c r="K120" s="37"/>
      <c r="L120" s="37"/>
      <c r="M120" s="38"/>
      <c r="N120" s="38"/>
      <c r="O120" s="38"/>
      <c r="P120" s="36"/>
      <c r="Q120" s="39"/>
    </row>
    <row r="121" spans="1:17" ht="16.5" customHeight="1" x14ac:dyDescent="0.25">
      <c r="A121" s="53"/>
      <c r="B121" s="54" t="s">
        <v>190</v>
      </c>
      <c r="C121" s="53"/>
      <c r="D121" s="55"/>
      <c r="E121" s="53"/>
      <c r="F121" s="51"/>
      <c r="G121" s="37"/>
      <c r="H121" s="37"/>
      <c r="I121" s="37"/>
      <c r="J121" s="37"/>
      <c r="K121" s="37"/>
      <c r="L121" s="37"/>
      <c r="M121" s="38"/>
      <c r="N121" s="38"/>
      <c r="O121" s="38"/>
      <c r="P121" s="36"/>
      <c r="Q121" s="39"/>
    </row>
    <row r="122" spans="1:17" ht="16.5" customHeight="1" x14ac:dyDescent="0.25">
      <c r="A122" s="53"/>
      <c r="B122" s="54" t="s">
        <v>190</v>
      </c>
      <c r="C122" s="53"/>
      <c r="D122" s="55"/>
      <c r="E122" s="53"/>
      <c r="F122" s="51"/>
      <c r="G122" s="37"/>
      <c r="H122" s="37"/>
      <c r="I122" s="37"/>
      <c r="J122" s="37"/>
      <c r="K122" s="37"/>
      <c r="L122" s="37"/>
      <c r="M122" s="38"/>
      <c r="N122" s="38"/>
      <c r="O122" s="38"/>
      <c r="P122" s="36"/>
      <c r="Q122" s="39"/>
    </row>
    <row r="123" spans="1:17" ht="16.5" customHeight="1" x14ac:dyDescent="0.25">
      <c r="A123" s="53"/>
      <c r="B123" s="54" t="s">
        <v>190</v>
      </c>
      <c r="C123" s="53"/>
      <c r="D123" s="55"/>
      <c r="E123" s="53"/>
      <c r="F123" s="51"/>
      <c r="G123" s="37"/>
      <c r="H123" s="37"/>
      <c r="I123" s="37"/>
      <c r="J123" s="37"/>
      <c r="K123" s="37"/>
      <c r="L123" s="37"/>
      <c r="M123" s="38"/>
      <c r="N123" s="38"/>
      <c r="O123" s="38"/>
      <c r="P123" s="36"/>
      <c r="Q123" s="39"/>
    </row>
    <row r="124" spans="1:17" ht="16.5" customHeight="1" x14ac:dyDescent="0.25">
      <c r="A124" s="53"/>
      <c r="B124" s="54" t="s">
        <v>190</v>
      </c>
      <c r="C124" s="53"/>
      <c r="D124" s="55"/>
      <c r="E124" s="53"/>
      <c r="F124" s="51"/>
      <c r="G124" s="37"/>
      <c r="H124" s="37"/>
      <c r="I124" s="37"/>
      <c r="J124" s="37"/>
      <c r="K124" s="37"/>
      <c r="L124" s="37"/>
      <c r="M124" s="38"/>
      <c r="N124" s="38"/>
      <c r="O124" s="38"/>
      <c r="P124" s="36"/>
      <c r="Q124" s="39"/>
    </row>
    <row r="125" spans="1:17" ht="16.5" customHeight="1" x14ac:dyDescent="0.25">
      <c r="A125" s="53"/>
      <c r="B125" s="54" t="s">
        <v>190</v>
      </c>
      <c r="C125" s="53"/>
      <c r="D125" s="55"/>
      <c r="E125" s="53"/>
      <c r="F125" s="51"/>
      <c r="G125" s="37"/>
      <c r="H125" s="37"/>
      <c r="I125" s="37"/>
      <c r="J125" s="37"/>
      <c r="K125" s="37"/>
      <c r="L125" s="37"/>
      <c r="M125" s="38"/>
      <c r="N125" s="38"/>
      <c r="O125" s="38"/>
      <c r="P125" s="36"/>
      <c r="Q125" s="39"/>
    </row>
    <row r="126" spans="1:17" ht="16.5" customHeight="1" x14ac:dyDescent="0.25">
      <c r="A126" s="53"/>
      <c r="B126" s="54" t="s">
        <v>190</v>
      </c>
      <c r="C126" s="53"/>
      <c r="D126" s="55"/>
      <c r="E126" s="53"/>
      <c r="F126" s="51"/>
      <c r="G126" s="37"/>
      <c r="H126" s="37"/>
      <c r="I126" s="37"/>
      <c r="J126" s="37"/>
      <c r="K126" s="37"/>
      <c r="L126" s="37"/>
      <c r="M126" s="38"/>
      <c r="N126" s="38"/>
      <c r="O126" s="38"/>
      <c r="P126" s="36"/>
      <c r="Q126" s="39"/>
    </row>
    <row r="127" spans="1:17" ht="16.5" customHeight="1" x14ac:dyDescent="0.25">
      <c r="A127" s="53"/>
      <c r="B127" s="54" t="s">
        <v>190</v>
      </c>
      <c r="C127" s="53"/>
      <c r="D127" s="55"/>
      <c r="E127" s="53"/>
      <c r="F127" s="51"/>
      <c r="G127" s="37"/>
      <c r="H127" s="37"/>
      <c r="I127" s="37"/>
      <c r="J127" s="37"/>
      <c r="K127" s="37"/>
      <c r="L127" s="37"/>
      <c r="M127" s="38"/>
      <c r="N127" s="38"/>
      <c r="O127" s="38"/>
      <c r="P127" s="36"/>
      <c r="Q127" s="39"/>
    </row>
    <row r="128" spans="1:17" ht="16.5" customHeight="1" x14ac:dyDescent="0.25">
      <c r="A128" s="53"/>
      <c r="B128" s="54" t="s">
        <v>190</v>
      </c>
      <c r="C128" s="53"/>
      <c r="D128" s="55"/>
      <c r="E128" s="53"/>
      <c r="F128" s="51"/>
      <c r="G128" s="37"/>
      <c r="H128" s="37"/>
      <c r="I128" s="37"/>
      <c r="J128" s="37"/>
      <c r="K128" s="37"/>
      <c r="L128" s="37"/>
      <c r="M128" s="38"/>
      <c r="N128" s="38"/>
      <c r="O128" s="38"/>
      <c r="P128" s="36"/>
      <c r="Q128" s="39"/>
    </row>
    <row r="129" spans="1:17" ht="16.5" customHeight="1" x14ac:dyDescent="0.25">
      <c r="A129" s="53"/>
      <c r="B129" s="54" t="s">
        <v>190</v>
      </c>
      <c r="C129" s="53"/>
      <c r="D129" s="55"/>
      <c r="E129" s="53"/>
      <c r="F129" s="51"/>
      <c r="G129" s="37"/>
      <c r="H129" s="37"/>
      <c r="I129" s="37"/>
      <c r="J129" s="37"/>
      <c r="K129" s="37"/>
      <c r="L129" s="37"/>
      <c r="M129" s="38"/>
      <c r="N129" s="38"/>
      <c r="O129" s="38"/>
      <c r="P129" s="36"/>
      <c r="Q129" s="39"/>
    </row>
    <row r="130" spans="1:17" ht="19.5" customHeight="1" x14ac:dyDescent="0.25">
      <c r="A130" s="12" t="s">
        <v>191</v>
      </c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</row>
    <row r="131" spans="1:17" ht="40.5" customHeight="1" x14ac:dyDescent="0.25">
      <c r="A131" s="52" t="s">
        <v>171</v>
      </c>
      <c r="B131" s="52" t="s">
        <v>172</v>
      </c>
      <c r="C131" s="52" t="s">
        <v>173</v>
      </c>
      <c r="D131" s="52" t="s">
        <v>174</v>
      </c>
      <c r="E131" s="52" t="s">
        <v>175</v>
      </c>
      <c r="F131" s="34" t="s">
        <v>176</v>
      </c>
      <c r="G131" s="34" t="s">
        <v>177</v>
      </c>
      <c r="H131" s="34" t="s">
        <v>178</v>
      </c>
      <c r="I131" s="34" t="s">
        <v>179</v>
      </c>
      <c r="J131" s="34" t="s">
        <v>180</v>
      </c>
      <c r="K131" s="34" t="s">
        <v>181</v>
      </c>
      <c r="L131" s="34" t="s">
        <v>182</v>
      </c>
      <c r="M131" s="35" t="s">
        <v>183</v>
      </c>
      <c r="N131" s="35" t="s">
        <v>184</v>
      </c>
      <c r="O131" s="35" t="s">
        <v>185</v>
      </c>
      <c r="P131" s="35" t="s">
        <v>94</v>
      </c>
      <c r="Q131" s="35" t="s">
        <v>103</v>
      </c>
    </row>
    <row r="132" spans="1:17" ht="16.5" customHeight="1" x14ac:dyDescent="0.25">
      <c r="A132" s="53"/>
      <c r="B132" s="54" t="s">
        <v>192</v>
      </c>
      <c r="C132" s="53"/>
      <c r="D132" s="55"/>
      <c r="E132" s="53"/>
      <c r="F132" s="51"/>
      <c r="G132" s="37"/>
      <c r="H132" s="37"/>
      <c r="I132" s="37"/>
      <c r="J132" s="37"/>
      <c r="K132" s="37"/>
      <c r="L132" s="37"/>
      <c r="M132" s="38"/>
      <c r="N132" s="38"/>
      <c r="O132" s="38"/>
      <c r="P132" s="36"/>
      <c r="Q132" s="39"/>
    </row>
    <row r="133" spans="1:17" ht="16.5" customHeight="1" x14ac:dyDescent="0.25">
      <c r="A133" s="53"/>
      <c r="B133" s="54" t="s">
        <v>192</v>
      </c>
      <c r="C133" s="53"/>
      <c r="D133" s="55"/>
      <c r="E133" s="53"/>
      <c r="F133" s="51"/>
      <c r="G133" s="37"/>
      <c r="H133" s="37"/>
      <c r="I133" s="37"/>
      <c r="J133" s="37"/>
      <c r="K133" s="37"/>
      <c r="L133" s="37"/>
      <c r="M133" s="38"/>
      <c r="N133" s="38"/>
      <c r="O133" s="38"/>
      <c r="P133" s="36"/>
      <c r="Q133" s="39"/>
    </row>
    <row r="134" spans="1:17" ht="16.5" customHeight="1" x14ac:dyDescent="0.25">
      <c r="A134" s="53"/>
      <c r="B134" s="54" t="s">
        <v>192</v>
      </c>
      <c r="C134" s="53"/>
      <c r="D134" s="55"/>
      <c r="E134" s="53"/>
      <c r="F134" s="51"/>
      <c r="G134" s="37"/>
      <c r="H134" s="37"/>
      <c r="I134" s="37"/>
      <c r="J134" s="37"/>
      <c r="K134" s="37"/>
      <c r="L134" s="37"/>
      <c r="M134" s="38"/>
      <c r="N134" s="38"/>
      <c r="O134" s="38"/>
      <c r="P134" s="36"/>
      <c r="Q134" s="39"/>
    </row>
    <row r="135" spans="1:17" ht="16.5" customHeight="1" x14ac:dyDescent="0.25">
      <c r="A135" s="53"/>
      <c r="B135" s="54" t="s">
        <v>192</v>
      </c>
      <c r="C135" s="53"/>
      <c r="D135" s="55"/>
      <c r="E135" s="53"/>
      <c r="F135" s="51"/>
      <c r="G135" s="37"/>
      <c r="H135" s="37"/>
      <c r="I135" s="37"/>
      <c r="J135" s="37"/>
      <c r="K135" s="37"/>
      <c r="L135" s="37"/>
      <c r="M135" s="38"/>
      <c r="N135" s="38"/>
      <c r="O135" s="38"/>
      <c r="P135" s="36"/>
      <c r="Q135" s="39"/>
    </row>
    <row r="136" spans="1:17" ht="16.5" customHeight="1" x14ac:dyDescent="0.25">
      <c r="A136" s="53"/>
      <c r="B136" s="54" t="s">
        <v>192</v>
      </c>
      <c r="C136" s="53"/>
      <c r="D136" s="55"/>
      <c r="E136" s="53"/>
      <c r="F136" s="51"/>
      <c r="G136" s="37"/>
      <c r="H136" s="37"/>
      <c r="I136" s="37"/>
      <c r="J136" s="37"/>
      <c r="K136" s="37"/>
      <c r="L136" s="37"/>
      <c r="M136" s="38"/>
      <c r="N136" s="38"/>
      <c r="O136" s="38"/>
      <c r="P136" s="36"/>
      <c r="Q136" s="39"/>
    </row>
    <row r="137" spans="1:17" ht="16.5" customHeight="1" x14ac:dyDescent="0.25">
      <c r="A137" s="53"/>
      <c r="B137" s="54" t="s">
        <v>192</v>
      </c>
      <c r="C137" s="53"/>
      <c r="D137" s="55"/>
      <c r="E137" s="53"/>
      <c r="F137" s="51"/>
      <c r="G137" s="37"/>
      <c r="H137" s="37"/>
      <c r="I137" s="37"/>
      <c r="J137" s="37"/>
      <c r="K137" s="37"/>
      <c r="L137" s="37"/>
      <c r="M137" s="38"/>
      <c r="N137" s="38"/>
      <c r="O137" s="38"/>
      <c r="P137" s="36"/>
      <c r="Q137" s="39"/>
    </row>
    <row r="138" spans="1:17" ht="16.5" customHeight="1" x14ac:dyDescent="0.25">
      <c r="A138" s="53"/>
      <c r="B138" s="54" t="s">
        <v>192</v>
      </c>
      <c r="C138" s="53"/>
      <c r="D138" s="55"/>
      <c r="E138" s="53"/>
      <c r="F138" s="51"/>
      <c r="G138" s="37"/>
      <c r="H138" s="37"/>
      <c r="I138" s="37"/>
      <c r="J138" s="37"/>
      <c r="K138" s="37"/>
      <c r="L138" s="37"/>
      <c r="M138" s="38"/>
      <c r="N138" s="38"/>
      <c r="O138" s="38"/>
      <c r="P138" s="36"/>
      <c r="Q138" s="39"/>
    </row>
    <row r="139" spans="1:17" ht="16.5" customHeight="1" x14ac:dyDescent="0.25">
      <c r="A139" s="53"/>
      <c r="B139" s="54" t="s">
        <v>192</v>
      </c>
      <c r="C139" s="53"/>
      <c r="D139" s="55"/>
      <c r="E139" s="53"/>
      <c r="F139" s="51"/>
      <c r="G139" s="37"/>
      <c r="H139" s="37"/>
      <c r="I139" s="37"/>
      <c r="J139" s="37"/>
      <c r="K139" s="37"/>
      <c r="L139" s="37"/>
      <c r="M139" s="38"/>
      <c r="N139" s="38"/>
      <c r="O139" s="38"/>
      <c r="P139" s="36"/>
      <c r="Q139" s="39"/>
    </row>
    <row r="140" spans="1:17" ht="16.5" customHeight="1" x14ac:dyDescent="0.25">
      <c r="A140" s="53"/>
      <c r="B140" s="54" t="s">
        <v>192</v>
      </c>
      <c r="C140" s="53"/>
      <c r="D140" s="55"/>
      <c r="E140" s="53"/>
      <c r="F140" s="51"/>
      <c r="G140" s="37"/>
      <c r="H140" s="37"/>
      <c r="I140" s="37"/>
      <c r="J140" s="37"/>
      <c r="K140" s="37"/>
      <c r="L140" s="37"/>
      <c r="M140" s="38"/>
      <c r="N140" s="38"/>
      <c r="O140" s="38"/>
      <c r="P140" s="36"/>
      <c r="Q140" s="39"/>
    </row>
    <row r="141" spans="1:17" ht="16.5" customHeight="1" x14ac:dyDescent="0.25">
      <c r="A141" s="53"/>
      <c r="B141" s="54" t="s">
        <v>192</v>
      </c>
      <c r="C141" s="53"/>
      <c r="D141" s="55"/>
      <c r="E141" s="53"/>
      <c r="F141" s="51"/>
      <c r="G141" s="37"/>
      <c r="H141" s="37"/>
      <c r="I141" s="37"/>
      <c r="J141" s="37"/>
      <c r="K141" s="37"/>
      <c r="L141" s="37"/>
      <c r="M141" s="38"/>
      <c r="N141" s="38"/>
      <c r="O141" s="38"/>
      <c r="P141" s="36"/>
      <c r="Q141" s="39"/>
    </row>
    <row r="142" spans="1:17" ht="16.5" customHeight="1" x14ac:dyDescent="0.25">
      <c r="A142" s="53"/>
      <c r="B142" s="54" t="s">
        <v>192</v>
      </c>
      <c r="C142" s="53"/>
      <c r="D142" s="55"/>
      <c r="E142" s="53"/>
      <c r="F142" s="51"/>
      <c r="G142" s="37"/>
      <c r="H142" s="37"/>
      <c r="I142" s="37"/>
      <c r="J142" s="37"/>
      <c r="K142" s="37"/>
      <c r="L142" s="37"/>
      <c r="M142" s="38"/>
      <c r="N142" s="38"/>
      <c r="O142" s="38"/>
      <c r="P142" s="36"/>
      <c r="Q142" s="39"/>
    </row>
    <row r="143" spans="1:17" ht="16.5" customHeight="1" x14ac:dyDescent="0.25">
      <c r="A143" s="53"/>
      <c r="B143" s="54" t="s">
        <v>192</v>
      </c>
      <c r="C143" s="53"/>
      <c r="D143" s="55"/>
      <c r="E143" s="53"/>
      <c r="F143" s="51"/>
      <c r="G143" s="37"/>
      <c r="H143" s="37"/>
      <c r="I143" s="37"/>
      <c r="J143" s="37"/>
      <c r="K143" s="37"/>
      <c r="L143" s="37"/>
      <c r="M143" s="38"/>
      <c r="N143" s="38"/>
      <c r="O143" s="38"/>
      <c r="P143" s="36"/>
      <c r="Q143" s="39"/>
    </row>
    <row r="144" spans="1:17" ht="16.5" customHeight="1" x14ac:dyDescent="0.25">
      <c r="A144" s="53"/>
      <c r="B144" s="54" t="s">
        <v>192</v>
      </c>
      <c r="C144" s="53"/>
      <c r="D144" s="55"/>
      <c r="E144" s="53"/>
      <c r="F144" s="51"/>
      <c r="G144" s="37"/>
      <c r="H144" s="37"/>
      <c r="I144" s="37"/>
      <c r="J144" s="37"/>
      <c r="K144" s="37"/>
      <c r="L144" s="37"/>
      <c r="M144" s="38"/>
      <c r="N144" s="38"/>
      <c r="O144" s="38"/>
      <c r="P144" s="36"/>
      <c r="Q144" s="39"/>
    </row>
    <row r="145" spans="1:17" ht="16.5" customHeight="1" x14ac:dyDescent="0.25">
      <c r="A145" s="53"/>
      <c r="B145" s="54" t="s">
        <v>192</v>
      </c>
      <c r="C145" s="53"/>
      <c r="D145" s="55"/>
      <c r="E145" s="53"/>
      <c r="F145" s="51"/>
      <c r="G145" s="37"/>
      <c r="H145" s="37"/>
      <c r="I145" s="37"/>
      <c r="J145" s="37"/>
      <c r="K145" s="37"/>
      <c r="L145" s="37"/>
      <c r="M145" s="38"/>
      <c r="N145" s="38"/>
      <c r="O145" s="38"/>
      <c r="P145" s="36"/>
      <c r="Q145" s="39"/>
    </row>
    <row r="146" spans="1:17" ht="16.5" customHeight="1" x14ac:dyDescent="0.25">
      <c r="A146" s="53"/>
      <c r="B146" s="54" t="s">
        <v>192</v>
      </c>
      <c r="C146" s="53"/>
      <c r="D146" s="55"/>
      <c r="E146" s="53"/>
      <c r="F146" s="51"/>
      <c r="G146" s="37"/>
      <c r="H146" s="37"/>
      <c r="I146" s="37"/>
      <c r="J146" s="37"/>
      <c r="K146" s="37"/>
      <c r="L146" s="37"/>
      <c r="M146" s="38"/>
      <c r="N146" s="38"/>
      <c r="O146" s="38"/>
      <c r="P146" s="36"/>
      <c r="Q146" s="39"/>
    </row>
    <row r="147" spans="1:17" ht="16.5" customHeight="1" x14ac:dyDescent="0.25">
      <c r="A147" s="53"/>
      <c r="B147" s="54" t="s">
        <v>192</v>
      </c>
      <c r="C147" s="53"/>
      <c r="D147" s="55"/>
      <c r="E147" s="53"/>
      <c r="F147" s="51"/>
      <c r="G147" s="37"/>
      <c r="H147" s="37"/>
      <c r="I147" s="37"/>
      <c r="J147" s="37"/>
      <c r="K147" s="37"/>
      <c r="L147" s="37"/>
      <c r="M147" s="38"/>
      <c r="N147" s="38"/>
      <c r="O147" s="38"/>
      <c r="P147" s="36"/>
      <c r="Q147" s="39"/>
    </row>
    <row r="148" spans="1:17" ht="16.5" customHeight="1" x14ac:dyDescent="0.25">
      <c r="A148" s="53"/>
      <c r="B148" s="54" t="s">
        <v>192</v>
      </c>
      <c r="C148" s="53"/>
      <c r="D148" s="55"/>
      <c r="E148" s="53"/>
      <c r="F148" s="51"/>
      <c r="G148" s="37"/>
      <c r="H148" s="37"/>
      <c r="I148" s="37"/>
      <c r="J148" s="37"/>
      <c r="K148" s="37"/>
      <c r="L148" s="37"/>
      <c r="M148" s="38"/>
      <c r="N148" s="38"/>
      <c r="O148" s="38"/>
      <c r="P148" s="36"/>
      <c r="Q148" s="39"/>
    </row>
    <row r="149" spans="1:17" ht="16.5" customHeight="1" x14ac:dyDescent="0.25">
      <c r="A149" s="53"/>
      <c r="B149" s="54" t="s">
        <v>192</v>
      </c>
      <c r="C149" s="53"/>
      <c r="D149" s="55"/>
      <c r="E149" s="53"/>
      <c r="F149" s="51"/>
      <c r="G149" s="37"/>
      <c r="H149" s="37"/>
      <c r="I149" s="37"/>
      <c r="J149" s="37"/>
      <c r="K149" s="37"/>
      <c r="L149" s="37"/>
      <c r="M149" s="38"/>
      <c r="N149" s="38"/>
      <c r="O149" s="38"/>
      <c r="P149" s="36"/>
      <c r="Q149" s="39"/>
    </row>
    <row r="150" spans="1:17" ht="16.5" customHeight="1" x14ac:dyDescent="0.25">
      <c r="A150" s="53"/>
      <c r="B150" s="54" t="s">
        <v>192</v>
      </c>
      <c r="C150" s="53"/>
      <c r="D150" s="55"/>
      <c r="E150" s="53"/>
      <c r="F150" s="51"/>
      <c r="G150" s="37"/>
      <c r="H150" s="37"/>
      <c r="I150" s="37"/>
      <c r="J150" s="37"/>
      <c r="K150" s="37"/>
      <c r="L150" s="37"/>
      <c r="M150" s="38"/>
      <c r="N150" s="38"/>
      <c r="O150" s="38"/>
      <c r="P150" s="36"/>
      <c r="Q150" s="39"/>
    </row>
    <row r="151" spans="1:17" ht="16.5" customHeight="1" x14ac:dyDescent="0.25">
      <c r="A151" s="53"/>
      <c r="B151" s="54" t="s">
        <v>192</v>
      </c>
      <c r="C151" s="53"/>
      <c r="D151" s="55"/>
      <c r="E151" s="53"/>
      <c r="F151" s="51"/>
      <c r="G151" s="37"/>
      <c r="H151" s="37"/>
      <c r="I151" s="37"/>
      <c r="J151" s="37"/>
      <c r="K151" s="37"/>
      <c r="L151" s="37"/>
      <c r="M151" s="38"/>
      <c r="N151" s="38"/>
      <c r="O151" s="38"/>
      <c r="P151" s="36"/>
      <c r="Q151" s="39"/>
    </row>
    <row r="152" spans="1:17" ht="16.5" customHeight="1" x14ac:dyDescent="0.25">
      <c r="A152" s="53"/>
      <c r="B152" s="54" t="s">
        <v>192</v>
      </c>
      <c r="C152" s="53"/>
      <c r="D152" s="55"/>
      <c r="E152" s="53"/>
      <c r="F152" s="51"/>
      <c r="G152" s="37"/>
      <c r="H152" s="37"/>
      <c r="I152" s="37"/>
      <c r="J152" s="37"/>
      <c r="K152" s="37"/>
      <c r="L152" s="37"/>
      <c r="M152" s="38"/>
      <c r="N152" s="38"/>
      <c r="O152" s="38"/>
      <c r="P152" s="36"/>
      <c r="Q152" s="39"/>
    </row>
    <row r="153" spans="1:17" ht="16.5" customHeight="1" x14ac:dyDescent="0.25">
      <c r="A153" s="53"/>
      <c r="B153" s="54" t="s">
        <v>192</v>
      </c>
      <c r="C153" s="53"/>
      <c r="D153" s="55"/>
      <c r="E153" s="53"/>
      <c r="F153" s="51"/>
      <c r="G153" s="37"/>
      <c r="H153" s="37"/>
      <c r="I153" s="37"/>
      <c r="J153" s="37"/>
      <c r="K153" s="37"/>
      <c r="L153" s="37"/>
      <c r="M153" s="38"/>
      <c r="N153" s="38"/>
      <c r="O153" s="38"/>
      <c r="P153" s="36"/>
      <c r="Q153" s="39"/>
    </row>
    <row r="154" spans="1:17" ht="16.5" customHeight="1" x14ac:dyDescent="0.25">
      <c r="A154" s="53"/>
      <c r="B154" s="54" t="s">
        <v>192</v>
      </c>
      <c r="C154" s="53"/>
      <c r="D154" s="55"/>
      <c r="E154" s="53"/>
      <c r="F154" s="51"/>
      <c r="G154" s="37"/>
      <c r="H154" s="37"/>
      <c r="I154" s="37"/>
      <c r="J154" s="37"/>
      <c r="K154" s="37"/>
      <c r="L154" s="37"/>
      <c r="M154" s="38"/>
      <c r="N154" s="38"/>
      <c r="O154" s="38"/>
      <c r="P154" s="36"/>
      <c r="Q154" s="39"/>
    </row>
    <row r="155" spans="1:17" ht="16.5" customHeight="1" x14ac:dyDescent="0.25">
      <c r="A155" s="53"/>
      <c r="B155" s="54" t="s">
        <v>192</v>
      </c>
      <c r="C155" s="53"/>
      <c r="D155" s="55"/>
      <c r="E155" s="53"/>
      <c r="F155" s="51"/>
      <c r="G155" s="37"/>
      <c r="H155" s="37"/>
      <c r="I155" s="37"/>
      <c r="J155" s="37"/>
      <c r="K155" s="37"/>
      <c r="L155" s="37"/>
      <c r="M155" s="38"/>
      <c r="N155" s="38"/>
      <c r="O155" s="38"/>
      <c r="P155" s="36"/>
      <c r="Q155" s="39"/>
    </row>
    <row r="156" spans="1:17" ht="16.5" customHeight="1" x14ac:dyDescent="0.25">
      <c r="A156" s="53"/>
      <c r="B156" s="54" t="s">
        <v>192</v>
      </c>
      <c r="C156" s="53"/>
      <c r="D156" s="55"/>
      <c r="E156" s="53"/>
      <c r="F156" s="51"/>
      <c r="G156" s="37"/>
      <c r="H156" s="37"/>
      <c r="I156" s="37"/>
      <c r="J156" s="37"/>
      <c r="K156" s="37"/>
      <c r="L156" s="37"/>
      <c r="M156" s="38"/>
      <c r="N156" s="38"/>
      <c r="O156" s="38"/>
      <c r="P156" s="36"/>
      <c r="Q156" s="39"/>
    </row>
    <row r="157" spans="1:17" ht="16.5" customHeight="1" x14ac:dyDescent="0.25">
      <c r="A157" s="53"/>
      <c r="B157" s="54" t="s">
        <v>192</v>
      </c>
      <c r="C157" s="53"/>
      <c r="D157" s="55"/>
      <c r="E157" s="53"/>
      <c r="F157" s="51"/>
      <c r="G157" s="37"/>
      <c r="H157" s="37"/>
      <c r="I157" s="37"/>
      <c r="J157" s="37"/>
      <c r="K157" s="37"/>
      <c r="L157" s="37"/>
      <c r="M157" s="38"/>
      <c r="N157" s="38"/>
      <c r="O157" s="38"/>
      <c r="P157" s="36"/>
      <c r="Q157" s="39"/>
    </row>
    <row r="158" spans="1:17" ht="16.5" customHeight="1" x14ac:dyDescent="0.25">
      <c r="A158" s="53"/>
      <c r="B158" s="54" t="s">
        <v>192</v>
      </c>
      <c r="C158" s="53"/>
      <c r="D158" s="55"/>
      <c r="E158" s="53"/>
      <c r="F158" s="51"/>
      <c r="G158" s="37"/>
      <c r="H158" s="37"/>
      <c r="I158" s="37"/>
      <c r="J158" s="37"/>
      <c r="K158" s="37"/>
      <c r="L158" s="37"/>
      <c r="M158" s="38"/>
      <c r="N158" s="38"/>
      <c r="O158" s="38"/>
      <c r="P158" s="36"/>
      <c r="Q158" s="39"/>
    </row>
    <row r="159" spans="1:17" ht="16.5" customHeight="1" x14ac:dyDescent="0.25">
      <c r="A159" s="53"/>
      <c r="B159" s="54" t="s">
        <v>192</v>
      </c>
      <c r="C159" s="53"/>
      <c r="D159" s="55"/>
      <c r="E159" s="53"/>
      <c r="F159" s="51"/>
      <c r="G159" s="37"/>
      <c r="H159" s="37"/>
      <c r="I159" s="37"/>
      <c r="J159" s="37"/>
      <c r="K159" s="37"/>
      <c r="L159" s="37"/>
      <c r="M159" s="38"/>
      <c r="N159" s="38"/>
      <c r="O159" s="38"/>
      <c r="P159" s="36"/>
      <c r="Q159" s="39"/>
    </row>
    <row r="160" spans="1:17" ht="16.5" customHeight="1" x14ac:dyDescent="0.25">
      <c r="A160" s="53"/>
      <c r="B160" s="54" t="s">
        <v>192</v>
      </c>
      <c r="C160" s="53"/>
      <c r="D160" s="55"/>
      <c r="E160" s="53"/>
      <c r="F160" s="51"/>
      <c r="G160" s="37"/>
      <c r="H160" s="37"/>
      <c r="I160" s="37"/>
      <c r="J160" s="37"/>
      <c r="K160" s="37"/>
      <c r="L160" s="37"/>
      <c r="M160" s="38"/>
      <c r="N160" s="38"/>
      <c r="O160" s="38"/>
      <c r="P160" s="36"/>
      <c r="Q160" s="39"/>
    </row>
    <row r="161" spans="1:17" ht="16.5" customHeight="1" x14ac:dyDescent="0.25">
      <c r="A161" s="53"/>
      <c r="B161" s="54" t="s">
        <v>192</v>
      </c>
      <c r="C161" s="53"/>
      <c r="D161" s="55"/>
      <c r="E161" s="53"/>
      <c r="F161" s="51"/>
      <c r="G161" s="37"/>
      <c r="H161" s="37"/>
      <c r="I161" s="37"/>
      <c r="J161" s="37"/>
      <c r="K161" s="37"/>
      <c r="L161" s="37"/>
      <c r="M161" s="38"/>
      <c r="N161" s="38"/>
      <c r="O161" s="38"/>
      <c r="P161" s="36"/>
      <c r="Q161" s="39"/>
    </row>
    <row r="162" spans="1:17" ht="16.5" customHeight="1" x14ac:dyDescent="0.25">
      <c r="A162" s="53"/>
      <c r="B162" s="54" t="s">
        <v>192</v>
      </c>
      <c r="C162" s="53"/>
      <c r="D162" s="55"/>
      <c r="E162" s="53"/>
      <c r="F162" s="51"/>
      <c r="G162" s="37"/>
      <c r="H162" s="37"/>
      <c r="I162" s="37"/>
      <c r="J162" s="37"/>
      <c r="K162" s="37"/>
      <c r="L162" s="37"/>
      <c r="M162" s="38"/>
      <c r="N162" s="38"/>
      <c r="O162" s="38"/>
      <c r="P162" s="36"/>
      <c r="Q162" s="39"/>
    </row>
    <row r="163" spans="1:17" ht="16.5" customHeight="1" x14ac:dyDescent="0.25">
      <c r="A163" s="53"/>
      <c r="B163" s="54" t="s">
        <v>192</v>
      </c>
      <c r="C163" s="53"/>
      <c r="D163" s="55"/>
      <c r="E163" s="53"/>
      <c r="F163" s="51"/>
      <c r="G163" s="37"/>
      <c r="H163" s="37"/>
      <c r="I163" s="37"/>
      <c r="J163" s="37"/>
      <c r="K163" s="37"/>
      <c r="L163" s="37"/>
      <c r="M163" s="38"/>
      <c r="N163" s="38"/>
      <c r="O163" s="38"/>
      <c r="P163" s="36"/>
      <c r="Q163" s="39"/>
    </row>
    <row r="164" spans="1:17" ht="16.5" customHeight="1" x14ac:dyDescent="0.25">
      <c r="A164" s="53"/>
      <c r="B164" s="54" t="s">
        <v>192</v>
      </c>
      <c r="C164" s="53"/>
      <c r="D164" s="55"/>
      <c r="E164" s="53"/>
      <c r="F164" s="51"/>
      <c r="G164" s="37"/>
      <c r="H164" s="37"/>
      <c r="I164" s="37"/>
      <c r="J164" s="37"/>
      <c r="K164" s="37"/>
      <c r="L164" s="37"/>
      <c r="M164" s="38"/>
      <c r="N164" s="38"/>
      <c r="O164" s="38"/>
      <c r="P164" s="36"/>
      <c r="Q164" s="39"/>
    </row>
    <row r="165" spans="1:17" ht="16.5" customHeight="1" x14ac:dyDescent="0.25">
      <c r="A165" s="53"/>
      <c r="B165" s="54" t="s">
        <v>192</v>
      </c>
      <c r="C165" s="53"/>
      <c r="D165" s="55"/>
      <c r="E165" s="53"/>
      <c r="F165" s="51"/>
      <c r="G165" s="37"/>
      <c r="H165" s="37"/>
      <c r="I165" s="37"/>
      <c r="J165" s="37"/>
      <c r="K165" s="37"/>
      <c r="L165" s="37"/>
      <c r="M165" s="38"/>
      <c r="N165" s="38"/>
      <c r="O165" s="38"/>
      <c r="P165" s="36"/>
      <c r="Q165" s="39"/>
    </row>
    <row r="166" spans="1:17" ht="16.5" customHeight="1" x14ac:dyDescent="0.25">
      <c r="A166" s="53"/>
      <c r="B166" s="54" t="s">
        <v>192</v>
      </c>
      <c r="C166" s="53"/>
      <c r="D166" s="55"/>
      <c r="E166" s="53"/>
      <c r="F166" s="51"/>
      <c r="G166" s="37"/>
      <c r="H166" s="37"/>
      <c r="I166" s="37"/>
      <c r="J166" s="37"/>
      <c r="K166" s="37"/>
      <c r="L166" s="37"/>
      <c r="M166" s="38"/>
      <c r="N166" s="38"/>
      <c r="O166" s="38"/>
      <c r="P166" s="36"/>
      <c r="Q166" s="39"/>
    </row>
    <row r="167" spans="1:17" ht="16.5" customHeight="1" x14ac:dyDescent="0.25">
      <c r="A167" s="53"/>
      <c r="B167" s="54" t="s">
        <v>192</v>
      </c>
      <c r="C167" s="53"/>
      <c r="D167" s="55"/>
      <c r="E167" s="53"/>
      <c r="F167" s="51"/>
      <c r="G167" s="37"/>
      <c r="H167" s="37"/>
      <c r="I167" s="37"/>
      <c r="J167" s="37"/>
      <c r="K167" s="37"/>
      <c r="L167" s="37"/>
      <c r="M167" s="38"/>
      <c r="N167" s="38"/>
      <c r="O167" s="38"/>
      <c r="P167" s="36"/>
      <c r="Q167" s="39"/>
    </row>
    <row r="168" spans="1:17" ht="16.5" customHeight="1" x14ac:dyDescent="0.25">
      <c r="A168" s="53"/>
      <c r="B168" s="54" t="s">
        <v>192</v>
      </c>
      <c r="C168" s="53"/>
      <c r="D168" s="55"/>
      <c r="E168" s="53"/>
      <c r="F168" s="51"/>
      <c r="G168" s="37"/>
      <c r="H168" s="37"/>
      <c r="I168" s="37"/>
      <c r="J168" s="37"/>
      <c r="K168" s="37"/>
      <c r="L168" s="37"/>
      <c r="M168" s="38"/>
      <c r="N168" s="38"/>
      <c r="O168" s="38"/>
      <c r="P168" s="36"/>
      <c r="Q168" s="39"/>
    </row>
    <row r="169" spans="1:17" ht="16.5" customHeight="1" x14ac:dyDescent="0.25">
      <c r="A169" s="53"/>
      <c r="B169" s="54" t="s">
        <v>192</v>
      </c>
      <c r="C169" s="53"/>
      <c r="D169" s="55"/>
      <c r="E169" s="53"/>
      <c r="F169" s="51"/>
      <c r="G169" s="37"/>
      <c r="H169" s="37"/>
      <c r="I169" s="37"/>
      <c r="J169" s="37"/>
      <c r="K169" s="37"/>
      <c r="L169" s="37"/>
      <c r="M169" s="38"/>
      <c r="N169" s="38"/>
      <c r="O169" s="38"/>
      <c r="P169" s="36"/>
      <c r="Q169" s="39"/>
    </row>
    <row r="170" spans="1:17" ht="16.5" customHeight="1" x14ac:dyDescent="0.25">
      <c r="A170" s="53"/>
      <c r="B170" s="54" t="s">
        <v>192</v>
      </c>
      <c r="C170" s="53"/>
      <c r="D170" s="55"/>
      <c r="E170" s="53"/>
      <c r="F170" s="51"/>
      <c r="G170" s="37"/>
      <c r="H170" s="37"/>
      <c r="I170" s="37"/>
      <c r="J170" s="37"/>
      <c r="K170" s="37"/>
      <c r="L170" s="37"/>
      <c r="M170" s="38"/>
      <c r="N170" s="38"/>
      <c r="O170" s="38"/>
      <c r="P170" s="36"/>
      <c r="Q170" s="39"/>
    </row>
    <row r="171" spans="1:17" ht="16.5" customHeight="1" x14ac:dyDescent="0.25">
      <c r="A171" s="53"/>
      <c r="B171" s="54" t="s">
        <v>192</v>
      </c>
      <c r="C171" s="53"/>
      <c r="D171" s="55"/>
      <c r="E171" s="53"/>
      <c r="F171" s="51"/>
      <c r="G171" s="37"/>
      <c r="H171" s="37"/>
      <c r="I171" s="37"/>
      <c r="J171" s="37"/>
      <c r="K171" s="37"/>
      <c r="L171" s="37"/>
      <c r="M171" s="38"/>
      <c r="N171" s="38"/>
      <c r="O171" s="38"/>
      <c r="P171" s="36"/>
      <c r="Q171" s="39"/>
    </row>
    <row r="172" spans="1:17" ht="19.5" customHeight="1" x14ac:dyDescent="0.25">
      <c r="A172" s="12" t="s">
        <v>193</v>
      </c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</row>
    <row r="173" spans="1:17" ht="40.5" customHeight="1" x14ac:dyDescent="0.25">
      <c r="A173" s="52" t="s">
        <v>171</v>
      </c>
      <c r="B173" s="52" t="s">
        <v>172</v>
      </c>
      <c r="C173" s="52" t="s">
        <v>173</v>
      </c>
      <c r="D173" s="52" t="s">
        <v>174</v>
      </c>
      <c r="E173" s="52" t="s">
        <v>175</v>
      </c>
      <c r="F173" s="34" t="s">
        <v>176</v>
      </c>
      <c r="G173" s="34" t="s">
        <v>177</v>
      </c>
      <c r="H173" s="34" t="s">
        <v>178</v>
      </c>
      <c r="I173" s="34" t="s">
        <v>179</v>
      </c>
      <c r="J173" s="34" t="s">
        <v>180</v>
      </c>
      <c r="K173" s="34" t="s">
        <v>181</v>
      </c>
      <c r="L173" s="34" t="s">
        <v>182</v>
      </c>
      <c r="M173" s="35" t="s">
        <v>183</v>
      </c>
      <c r="N173" s="35" t="s">
        <v>184</v>
      </c>
      <c r="O173" s="35" t="s">
        <v>185</v>
      </c>
      <c r="P173" s="35" t="s">
        <v>94</v>
      </c>
      <c r="Q173" s="35" t="s">
        <v>103</v>
      </c>
    </row>
    <row r="174" spans="1:17" ht="16.5" customHeight="1" x14ac:dyDescent="0.25">
      <c r="A174" s="53"/>
      <c r="B174" s="54" t="s">
        <v>194</v>
      </c>
      <c r="C174" s="53"/>
      <c r="D174" s="55"/>
      <c r="E174" s="53"/>
      <c r="F174" s="51"/>
      <c r="G174" s="37"/>
      <c r="H174" s="37"/>
      <c r="I174" s="37"/>
      <c r="J174" s="37"/>
      <c r="K174" s="37"/>
      <c r="L174" s="37"/>
      <c r="M174" s="38"/>
      <c r="N174" s="38"/>
      <c r="O174" s="38"/>
      <c r="P174" s="36"/>
      <c r="Q174" s="39"/>
    </row>
    <row r="175" spans="1:17" ht="16.5" customHeight="1" x14ac:dyDescent="0.25">
      <c r="A175" s="53"/>
      <c r="B175" s="54" t="s">
        <v>194</v>
      </c>
      <c r="C175" s="53"/>
      <c r="D175" s="55"/>
      <c r="E175" s="53"/>
      <c r="F175" s="51"/>
      <c r="G175" s="37"/>
      <c r="H175" s="37"/>
      <c r="I175" s="37"/>
      <c r="J175" s="37"/>
      <c r="K175" s="37"/>
      <c r="L175" s="37"/>
      <c r="M175" s="38"/>
      <c r="N175" s="38"/>
      <c r="O175" s="38"/>
      <c r="P175" s="36"/>
      <c r="Q175" s="39"/>
    </row>
    <row r="176" spans="1:17" ht="16.5" customHeight="1" x14ac:dyDescent="0.25">
      <c r="A176" s="53"/>
      <c r="B176" s="54" t="s">
        <v>194</v>
      </c>
      <c r="C176" s="53"/>
      <c r="D176" s="55"/>
      <c r="E176" s="53"/>
      <c r="F176" s="51"/>
      <c r="G176" s="37"/>
      <c r="H176" s="37"/>
      <c r="I176" s="37"/>
      <c r="J176" s="37"/>
      <c r="K176" s="37"/>
      <c r="L176" s="37"/>
      <c r="M176" s="38"/>
      <c r="N176" s="38"/>
      <c r="O176" s="38"/>
      <c r="P176" s="36"/>
      <c r="Q176" s="39"/>
    </row>
    <row r="177" spans="1:17" ht="16.5" customHeight="1" x14ac:dyDescent="0.25">
      <c r="A177" s="53"/>
      <c r="B177" s="54" t="s">
        <v>194</v>
      </c>
      <c r="C177" s="53"/>
      <c r="D177" s="55"/>
      <c r="E177" s="53"/>
      <c r="F177" s="51"/>
      <c r="G177" s="37"/>
      <c r="H177" s="37"/>
      <c r="I177" s="37"/>
      <c r="J177" s="37"/>
      <c r="K177" s="37"/>
      <c r="L177" s="37"/>
      <c r="M177" s="38"/>
      <c r="N177" s="38"/>
      <c r="O177" s="38"/>
      <c r="P177" s="36"/>
      <c r="Q177" s="39"/>
    </row>
    <row r="178" spans="1:17" ht="16.5" customHeight="1" x14ac:dyDescent="0.25">
      <c r="A178" s="53"/>
      <c r="B178" s="54" t="s">
        <v>194</v>
      </c>
      <c r="C178" s="53"/>
      <c r="D178" s="55"/>
      <c r="E178" s="53"/>
      <c r="F178" s="51"/>
      <c r="G178" s="37"/>
      <c r="H178" s="37"/>
      <c r="I178" s="37"/>
      <c r="J178" s="37"/>
      <c r="K178" s="37"/>
      <c r="L178" s="37"/>
      <c r="M178" s="38"/>
      <c r="N178" s="38"/>
      <c r="O178" s="38"/>
      <c r="P178" s="36"/>
      <c r="Q178" s="39"/>
    </row>
    <row r="179" spans="1:17" ht="16.5" customHeight="1" x14ac:dyDescent="0.25">
      <c r="A179" s="53"/>
      <c r="B179" s="54" t="s">
        <v>194</v>
      </c>
      <c r="C179" s="53"/>
      <c r="D179" s="55"/>
      <c r="E179" s="53"/>
      <c r="F179" s="51"/>
      <c r="G179" s="37"/>
      <c r="H179" s="37"/>
      <c r="I179" s="37"/>
      <c r="J179" s="37"/>
      <c r="K179" s="37"/>
      <c r="L179" s="37"/>
      <c r="M179" s="38"/>
      <c r="N179" s="38"/>
      <c r="O179" s="38"/>
      <c r="P179" s="36"/>
      <c r="Q179" s="39"/>
    </row>
    <row r="180" spans="1:17" ht="16.5" customHeight="1" x14ac:dyDescent="0.25">
      <c r="A180" s="53"/>
      <c r="B180" s="54" t="s">
        <v>194</v>
      </c>
      <c r="C180" s="53"/>
      <c r="D180" s="55"/>
      <c r="E180" s="53"/>
      <c r="F180" s="51"/>
      <c r="G180" s="37"/>
      <c r="H180" s="37"/>
      <c r="I180" s="37"/>
      <c r="J180" s="37"/>
      <c r="K180" s="37"/>
      <c r="L180" s="37"/>
      <c r="M180" s="38"/>
      <c r="N180" s="38"/>
      <c r="O180" s="38"/>
      <c r="P180" s="36"/>
      <c r="Q180" s="39"/>
    </row>
    <row r="181" spans="1:17" ht="16.5" customHeight="1" x14ac:dyDescent="0.25">
      <c r="A181" s="53"/>
      <c r="B181" s="54" t="s">
        <v>194</v>
      </c>
      <c r="C181" s="53"/>
      <c r="D181" s="55"/>
      <c r="E181" s="53"/>
      <c r="F181" s="51"/>
      <c r="G181" s="37"/>
      <c r="H181" s="37"/>
      <c r="I181" s="37"/>
      <c r="J181" s="37"/>
      <c r="K181" s="37"/>
      <c r="L181" s="37"/>
      <c r="M181" s="38"/>
      <c r="N181" s="38"/>
      <c r="O181" s="38"/>
      <c r="P181" s="36"/>
      <c r="Q181" s="39"/>
    </row>
    <row r="182" spans="1:17" ht="16.5" customHeight="1" x14ac:dyDescent="0.25">
      <c r="A182" s="53"/>
      <c r="B182" s="54" t="s">
        <v>194</v>
      </c>
      <c r="C182" s="53"/>
      <c r="D182" s="55"/>
      <c r="E182" s="53"/>
      <c r="F182" s="51"/>
      <c r="G182" s="37"/>
      <c r="H182" s="37"/>
      <c r="I182" s="37"/>
      <c r="J182" s="37"/>
      <c r="K182" s="37"/>
      <c r="L182" s="37"/>
      <c r="M182" s="38"/>
      <c r="N182" s="38"/>
      <c r="O182" s="38"/>
      <c r="P182" s="36"/>
      <c r="Q182" s="39"/>
    </row>
    <row r="183" spans="1:17" ht="16.5" customHeight="1" x14ac:dyDescent="0.25">
      <c r="A183" s="53"/>
      <c r="B183" s="54" t="s">
        <v>194</v>
      </c>
      <c r="C183" s="53"/>
      <c r="D183" s="55"/>
      <c r="E183" s="53"/>
      <c r="F183" s="51"/>
      <c r="G183" s="37"/>
      <c r="H183" s="37"/>
      <c r="I183" s="37"/>
      <c r="J183" s="37"/>
      <c r="K183" s="37"/>
      <c r="L183" s="37"/>
      <c r="M183" s="38"/>
      <c r="N183" s="38"/>
      <c r="O183" s="38"/>
      <c r="P183" s="36"/>
      <c r="Q183" s="39"/>
    </row>
    <row r="184" spans="1:17" ht="16.5" customHeight="1" x14ac:dyDescent="0.25">
      <c r="A184" s="53"/>
      <c r="B184" s="54" t="s">
        <v>194</v>
      </c>
      <c r="C184" s="53"/>
      <c r="D184" s="55"/>
      <c r="E184" s="53"/>
      <c r="F184" s="51"/>
      <c r="G184" s="37"/>
      <c r="H184" s="37"/>
      <c r="I184" s="37"/>
      <c r="J184" s="37"/>
      <c r="K184" s="37"/>
      <c r="L184" s="37"/>
      <c r="M184" s="38"/>
      <c r="N184" s="38"/>
      <c r="O184" s="38"/>
      <c r="P184" s="36"/>
      <c r="Q184" s="39"/>
    </row>
    <row r="185" spans="1:17" ht="16.5" customHeight="1" x14ac:dyDescent="0.25">
      <c r="A185" s="53"/>
      <c r="B185" s="54" t="s">
        <v>194</v>
      </c>
      <c r="C185" s="53"/>
      <c r="D185" s="55"/>
      <c r="E185" s="53"/>
      <c r="F185" s="51"/>
      <c r="G185" s="37"/>
      <c r="H185" s="37"/>
      <c r="I185" s="37"/>
      <c r="J185" s="37"/>
      <c r="K185" s="37"/>
      <c r="L185" s="37"/>
      <c r="M185" s="38"/>
      <c r="N185" s="38"/>
      <c r="O185" s="38"/>
      <c r="P185" s="36"/>
      <c r="Q185" s="39"/>
    </row>
    <row r="186" spans="1:17" ht="16.5" customHeight="1" x14ac:dyDescent="0.25">
      <c r="A186" s="53"/>
      <c r="B186" s="54" t="s">
        <v>194</v>
      </c>
      <c r="C186" s="53"/>
      <c r="D186" s="55"/>
      <c r="E186" s="53"/>
      <c r="F186" s="51"/>
      <c r="G186" s="37"/>
      <c r="H186" s="37"/>
      <c r="I186" s="37"/>
      <c r="J186" s="37"/>
      <c r="K186" s="37"/>
      <c r="L186" s="37"/>
      <c r="M186" s="38"/>
      <c r="N186" s="38"/>
      <c r="O186" s="38"/>
      <c r="P186" s="36"/>
      <c r="Q186" s="39"/>
    </row>
    <row r="187" spans="1:17" ht="16.5" customHeight="1" x14ac:dyDescent="0.25">
      <c r="A187" s="53"/>
      <c r="B187" s="54" t="s">
        <v>194</v>
      </c>
      <c r="C187" s="53"/>
      <c r="D187" s="55"/>
      <c r="E187" s="53"/>
      <c r="F187" s="51"/>
      <c r="G187" s="37"/>
      <c r="H187" s="37"/>
      <c r="I187" s="37"/>
      <c r="J187" s="37"/>
      <c r="K187" s="37"/>
      <c r="L187" s="37"/>
      <c r="M187" s="38"/>
      <c r="N187" s="38"/>
      <c r="O187" s="38"/>
      <c r="P187" s="36"/>
      <c r="Q187" s="39"/>
    </row>
    <row r="188" spans="1:17" ht="16.5" customHeight="1" x14ac:dyDescent="0.25">
      <c r="A188" s="53"/>
      <c r="B188" s="54" t="s">
        <v>194</v>
      </c>
      <c r="C188" s="53"/>
      <c r="D188" s="55"/>
      <c r="E188" s="53"/>
      <c r="F188" s="51"/>
      <c r="G188" s="37"/>
      <c r="H188" s="37"/>
      <c r="I188" s="37"/>
      <c r="J188" s="37"/>
      <c r="K188" s="37"/>
      <c r="L188" s="37"/>
      <c r="M188" s="38"/>
      <c r="N188" s="38"/>
      <c r="O188" s="38"/>
      <c r="P188" s="36"/>
      <c r="Q188" s="39"/>
    </row>
    <row r="189" spans="1:17" ht="16.5" customHeight="1" x14ac:dyDescent="0.25">
      <c r="A189" s="53"/>
      <c r="B189" s="54" t="s">
        <v>194</v>
      </c>
      <c r="C189" s="53"/>
      <c r="D189" s="55"/>
      <c r="E189" s="53"/>
      <c r="F189" s="51"/>
      <c r="G189" s="37"/>
      <c r="H189" s="37"/>
      <c r="I189" s="37"/>
      <c r="J189" s="37"/>
      <c r="K189" s="37"/>
      <c r="L189" s="37"/>
      <c r="M189" s="38"/>
      <c r="N189" s="38"/>
      <c r="O189" s="38"/>
      <c r="P189" s="36"/>
      <c r="Q189" s="39"/>
    </row>
    <row r="190" spans="1:17" ht="16.5" customHeight="1" x14ac:dyDescent="0.25">
      <c r="A190" s="53"/>
      <c r="B190" s="54" t="s">
        <v>194</v>
      </c>
      <c r="C190" s="53"/>
      <c r="D190" s="55"/>
      <c r="E190" s="53"/>
      <c r="F190" s="51"/>
      <c r="G190" s="37"/>
      <c r="H190" s="37"/>
      <c r="I190" s="37"/>
      <c r="J190" s="37"/>
      <c r="K190" s="37"/>
      <c r="L190" s="37"/>
      <c r="M190" s="38"/>
      <c r="N190" s="38"/>
      <c r="O190" s="38"/>
      <c r="P190" s="36"/>
      <c r="Q190" s="39"/>
    </row>
    <row r="191" spans="1:17" ht="16.5" customHeight="1" x14ac:dyDescent="0.25">
      <c r="A191" s="53"/>
      <c r="B191" s="54" t="s">
        <v>194</v>
      </c>
      <c r="C191" s="53"/>
      <c r="D191" s="55"/>
      <c r="E191" s="53"/>
      <c r="F191" s="51"/>
      <c r="G191" s="37"/>
      <c r="H191" s="37"/>
      <c r="I191" s="37"/>
      <c r="J191" s="37"/>
      <c r="K191" s="37"/>
      <c r="L191" s="37"/>
      <c r="M191" s="38"/>
      <c r="N191" s="38"/>
      <c r="O191" s="38"/>
      <c r="P191" s="36"/>
      <c r="Q191" s="39"/>
    </row>
    <row r="192" spans="1:17" ht="16.5" customHeight="1" x14ac:dyDescent="0.25">
      <c r="A192" s="53"/>
      <c r="B192" s="54" t="s">
        <v>194</v>
      </c>
      <c r="C192" s="53"/>
      <c r="D192" s="55"/>
      <c r="E192" s="53"/>
      <c r="F192" s="51"/>
      <c r="G192" s="37"/>
      <c r="H192" s="37"/>
      <c r="I192" s="37"/>
      <c r="J192" s="37"/>
      <c r="K192" s="37"/>
      <c r="L192" s="37"/>
      <c r="M192" s="38"/>
      <c r="N192" s="38"/>
      <c r="O192" s="38"/>
      <c r="P192" s="36"/>
      <c r="Q192" s="39"/>
    </row>
    <row r="193" spans="1:17" ht="16.5" customHeight="1" x14ac:dyDescent="0.25">
      <c r="A193" s="53"/>
      <c r="B193" s="54" t="s">
        <v>194</v>
      </c>
      <c r="C193" s="53"/>
      <c r="D193" s="55"/>
      <c r="E193" s="53"/>
      <c r="F193" s="51"/>
      <c r="G193" s="37"/>
      <c r="H193" s="37"/>
      <c r="I193" s="37"/>
      <c r="J193" s="37"/>
      <c r="K193" s="37"/>
      <c r="L193" s="37"/>
      <c r="M193" s="38"/>
      <c r="N193" s="38"/>
      <c r="O193" s="38"/>
      <c r="P193" s="36"/>
      <c r="Q193" s="39"/>
    </row>
    <row r="194" spans="1:17" ht="16.5" customHeight="1" x14ac:dyDescent="0.25">
      <c r="A194" s="53"/>
      <c r="B194" s="54" t="s">
        <v>194</v>
      </c>
      <c r="C194" s="53"/>
      <c r="D194" s="55"/>
      <c r="E194" s="53"/>
      <c r="F194" s="51"/>
      <c r="G194" s="37"/>
      <c r="H194" s="37"/>
      <c r="I194" s="37"/>
      <c r="J194" s="37"/>
      <c r="K194" s="37"/>
      <c r="L194" s="37"/>
      <c r="M194" s="38"/>
      <c r="N194" s="38"/>
      <c r="O194" s="38"/>
      <c r="P194" s="36"/>
      <c r="Q194" s="39"/>
    </row>
    <row r="195" spans="1:17" ht="16.5" customHeight="1" x14ac:dyDescent="0.25">
      <c r="A195" s="53"/>
      <c r="B195" s="54" t="s">
        <v>194</v>
      </c>
      <c r="C195" s="53"/>
      <c r="D195" s="55"/>
      <c r="E195" s="53"/>
      <c r="F195" s="51"/>
      <c r="G195" s="37"/>
      <c r="H195" s="37"/>
      <c r="I195" s="37"/>
      <c r="J195" s="37"/>
      <c r="K195" s="37"/>
      <c r="L195" s="37"/>
      <c r="M195" s="38"/>
      <c r="N195" s="38"/>
      <c r="O195" s="38"/>
      <c r="P195" s="36"/>
      <c r="Q195" s="39"/>
    </row>
    <row r="196" spans="1:17" ht="16.5" customHeight="1" x14ac:dyDescent="0.25">
      <c r="A196" s="53"/>
      <c r="B196" s="54" t="s">
        <v>194</v>
      </c>
      <c r="C196" s="53"/>
      <c r="D196" s="55"/>
      <c r="E196" s="53"/>
      <c r="F196" s="51"/>
      <c r="G196" s="37"/>
      <c r="H196" s="37"/>
      <c r="I196" s="37"/>
      <c r="J196" s="37"/>
      <c r="K196" s="37"/>
      <c r="L196" s="37"/>
      <c r="M196" s="38"/>
      <c r="N196" s="38"/>
      <c r="O196" s="38"/>
      <c r="P196" s="36"/>
      <c r="Q196" s="39"/>
    </row>
    <row r="197" spans="1:17" ht="16.5" customHeight="1" x14ac:dyDescent="0.25">
      <c r="A197" s="53"/>
      <c r="B197" s="54" t="s">
        <v>194</v>
      </c>
      <c r="C197" s="53"/>
      <c r="D197" s="55"/>
      <c r="E197" s="53"/>
      <c r="F197" s="51"/>
      <c r="G197" s="37"/>
      <c r="H197" s="37"/>
      <c r="I197" s="37"/>
      <c r="J197" s="37"/>
      <c r="K197" s="37"/>
      <c r="L197" s="37"/>
      <c r="M197" s="38"/>
      <c r="N197" s="38"/>
      <c r="O197" s="38"/>
      <c r="P197" s="36"/>
      <c r="Q197" s="39"/>
    </row>
    <row r="198" spans="1:17" ht="16.5" customHeight="1" x14ac:dyDescent="0.25">
      <c r="A198" s="53"/>
      <c r="B198" s="54" t="s">
        <v>194</v>
      </c>
      <c r="C198" s="53"/>
      <c r="D198" s="55"/>
      <c r="E198" s="53"/>
      <c r="F198" s="51"/>
      <c r="G198" s="37"/>
      <c r="H198" s="37"/>
      <c r="I198" s="37"/>
      <c r="J198" s="37"/>
      <c r="K198" s="37"/>
      <c r="L198" s="37"/>
      <c r="M198" s="38"/>
      <c r="N198" s="38"/>
      <c r="O198" s="38"/>
      <c r="P198" s="36"/>
      <c r="Q198" s="39"/>
    </row>
    <row r="199" spans="1:17" ht="16.5" customHeight="1" x14ac:dyDescent="0.25">
      <c r="A199" s="53"/>
      <c r="B199" s="54" t="s">
        <v>194</v>
      </c>
      <c r="C199" s="53"/>
      <c r="D199" s="55"/>
      <c r="E199" s="53"/>
      <c r="F199" s="51"/>
      <c r="G199" s="37"/>
      <c r="H199" s="37"/>
      <c r="I199" s="37"/>
      <c r="J199" s="37"/>
      <c r="K199" s="37"/>
      <c r="L199" s="37"/>
      <c r="M199" s="38"/>
      <c r="N199" s="38"/>
      <c r="O199" s="38"/>
      <c r="P199" s="36"/>
      <c r="Q199" s="39"/>
    </row>
    <row r="200" spans="1:17" ht="16.5" customHeight="1" x14ac:dyDescent="0.25">
      <c r="A200" s="53"/>
      <c r="B200" s="54" t="s">
        <v>194</v>
      </c>
      <c r="C200" s="53"/>
      <c r="D200" s="55"/>
      <c r="E200" s="53"/>
      <c r="F200" s="51"/>
      <c r="G200" s="37"/>
      <c r="H200" s="37"/>
      <c r="I200" s="37"/>
      <c r="J200" s="37"/>
      <c r="K200" s="37"/>
      <c r="L200" s="37"/>
      <c r="M200" s="38"/>
      <c r="N200" s="38"/>
      <c r="O200" s="38"/>
      <c r="P200" s="36"/>
      <c r="Q200" s="39"/>
    </row>
    <row r="201" spans="1:17" ht="16.5" customHeight="1" x14ac:dyDescent="0.25">
      <c r="A201" s="53"/>
      <c r="B201" s="54" t="s">
        <v>194</v>
      </c>
      <c r="C201" s="53"/>
      <c r="D201" s="55"/>
      <c r="E201" s="53"/>
      <c r="F201" s="51"/>
      <c r="G201" s="37"/>
      <c r="H201" s="37"/>
      <c r="I201" s="37"/>
      <c r="J201" s="37"/>
      <c r="K201" s="37"/>
      <c r="L201" s="37"/>
      <c r="M201" s="38"/>
      <c r="N201" s="38"/>
      <c r="O201" s="38"/>
      <c r="P201" s="36"/>
      <c r="Q201" s="39"/>
    </row>
    <row r="202" spans="1:17" ht="16.5" customHeight="1" x14ac:dyDescent="0.25">
      <c r="A202" s="53"/>
      <c r="B202" s="54" t="s">
        <v>194</v>
      </c>
      <c r="C202" s="53"/>
      <c r="D202" s="55"/>
      <c r="E202" s="53"/>
      <c r="F202" s="51"/>
      <c r="G202" s="37"/>
      <c r="H202" s="37"/>
      <c r="I202" s="37"/>
      <c r="J202" s="37"/>
      <c r="K202" s="37"/>
      <c r="L202" s="37"/>
      <c r="M202" s="38"/>
      <c r="N202" s="38"/>
      <c r="O202" s="38"/>
      <c r="P202" s="36"/>
      <c r="Q202" s="39"/>
    </row>
    <row r="203" spans="1:17" ht="16.5" customHeight="1" x14ac:dyDescent="0.25">
      <c r="A203" s="53"/>
      <c r="B203" s="54" t="s">
        <v>194</v>
      </c>
      <c r="C203" s="53"/>
      <c r="D203" s="55"/>
      <c r="E203" s="53"/>
      <c r="F203" s="51"/>
      <c r="G203" s="37"/>
      <c r="H203" s="37"/>
      <c r="I203" s="37"/>
      <c r="J203" s="37"/>
      <c r="K203" s="37"/>
      <c r="L203" s="37"/>
      <c r="M203" s="38"/>
      <c r="N203" s="38"/>
      <c r="O203" s="38"/>
      <c r="P203" s="36"/>
      <c r="Q203" s="39"/>
    </row>
    <row r="204" spans="1:17" ht="16.5" customHeight="1" x14ac:dyDescent="0.25">
      <c r="A204" s="53"/>
      <c r="B204" s="54" t="s">
        <v>194</v>
      </c>
      <c r="C204" s="53"/>
      <c r="D204" s="55"/>
      <c r="E204" s="53"/>
      <c r="F204" s="51"/>
      <c r="G204" s="37"/>
      <c r="H204" s="37"/>
      <c r="I204" s="37"/>
      <c r="J204" s="37"/>
      <c r="K204" s="37"/>
      <c r="L204" s="37"/>
      <c r="M204" s="38"/>
      <c r="N204" s="38"/>
      <c r="O204" s="38"/>
      <c r="P204" s="36"/>
      <c r="Q204" s="39"/>
    </row>
    <row r="205" spans="1:17" ht="16.5" customHeight="1" x14ac:dyDescent="0.25">
      <c r="A205" s="53"/>
      <c r="B205" s="54" t="s">
        <v>194</v>
      </c>
      <c r="C205" s="53"/>
      <c r="D205" s="55"/>
      <c r="E205" s="53"/>
      <c r="F205" s="51"/>
      <c r="G205" s="37"/>
      <c r="H205" s="37"/>
      <c r="I205" s="37"/>
      <c r="J205" s="37"/>
      <c r="K205" s="37"/>
      <c r="L205" s="37"/>
      <c r="M205" s="38"/>
      <c r="N205" s="38"/>
      <c r="O205" s="38"/>
      <c r="P205" s="36"/>
      <c r="Q205" s="39"/>
    </row>
    <row r="206" spans="1:17" ht="16.5" customHeight="1" x14ac:dyDescent="0.25">
      <c r="A206" s="53"/>
      <c r="B206" s="54" t="s">
        <v>194</v>
      </c>
      <c r="C206" s="53"/>
      <c r="D206" s="55"/>
      <c r="E206" s="53"/>
      <c r="F206" s="51"/>
      <c r="G206" s="37"/>
      <c r="H206" s="37"/>
      <c r="I206" s="37"/>
      <c r="J206" s="37"/>
      <c r="K206" s="37"/>
      <c r="L206" s="37"/>
      <c r="M206" s="38"/>
      <c r="N206" s="38"/>
      <c r="O206" s="38"/>
      <c r="P206" s="36"/>
      <c r="Q206" s="39"/>
    </row>
    <row r="207" spans="1:17" ht="16.5" customHeight="1" x14ac:dyDescent="0.25">
      <c r="A207" s="53"/>
      <c r="B207" s="54" t="s">
        <v>194</v>
      </c>
      <c r="C207" s="53"/>
      <c r="D207" s="55"/>
      <c r="E207" s="53"/>
      <c r="F207" s="51"/>
      <c r="G207" s="37"/>
      <c r="H207" s="37"/>
      <c r="I207" s="37"/>
      <c r="J207" s="37"/>
      <c r="K207" s="37"/>
      <c r="L207" s="37"/>
      <c r="M207" s="38"/>
      <c r="N207" s="38"/>
      <c r="O207" s="38"/>
      <c r="P207" s="36"/>
      <c r="Q207" s="39"/>
    </row>
    <row r="208" spans="1:17" ht="16.5" customHeight="1" x14ac:dyDescent="0.25">
      <c r="A208" s="53"/>
      <c r="B208" s="54" t="s">
        <v>194</v>
      </c>
      <c r="C208" s="53"/>
      <c r="D208" s="55"/>
      <c r="E208" s="53"/>
      <c r="F208" s="51"/>
      <c r="G208" s="37"/>
      <c r="H208" s="37"/>
      <c r="I208" s="37"/>
      <c r="J208" s="37"/>
      <c r="K208" s="37"/>
      <c r="L208" s="37"/>
      <c r="M208" s="38"/>
      <c r="N208" s="38"/>
      <c r="O208" s="38"/>
      <c r="P208" s="36"/>
      <c r="Q208" s="39"/>
    </row>
    <row r="209" spans="1:17" ht="16.5" customHeight="1" x14ac:dyDescent="0.25">
      <c r="A209" s="53"/>
      <c r="B209" s="54" t="s">
        <v>194</v>
      </c>
      <c r="C209" s="53"/>
      <c r="D209" s="55"/>
      <c r="E209" s="53"/>
      <c r="F209" s="51"/>
      <c r="G209" s="37"/>
      <c r="H209" s="37"/>
      <c r="I209" s="37"/>
      <c r="J209" s="37"/>
      <c r="K209" s="37"/>
      <c r="L209" s="37"/>
      <c r="M209" s="38"/>
      <c r="N209" s="38"/>
      <c r="O209" s="38"/>
      <c r="P209" s="36"/>
      <c r="Q209" s="39"/>
    </row>
    <row r="210" spans="1:17" ht="16.5" customHeight="1" x14ac:dyDescent="0.25">
      <c r="A210" s="53"/>
      <c r="B210" s="54" t="s">
        <v>194</v>
      </c>
      <c r="C210" s="53"/>
      <c r="D210" s="55"/>
      <c r="E210" s="53"/>
      <c r="F210" s="51"/>
      <c r="G210" s="37"/>
      <c r="H210" s="37"/>
      <c r="I210" s="37"/>
      <c r="J210" s="37"/>
      <c r="K210" s="37"/>
      <c r="L210" s="37"/>
      <c r="M210" s="38"/>
      <c r="N210" s="38"/>
      <c r="O210" s="38"/>
      <c r="P210" s="36"/>
      <c r="Q210" s="39"/>
    </row>
    <row r="211" spans="1:17" ht="16.5" customHeight="1" x14ac:dyDescent="0.25">
      <c r="A211" s="53"/>
      <c r="B211" s="54" t="s">
        <v>194</v>
      </c>
      <c r="C211" s="53"/>
      <c r="D211" s="55"/>
      <c r="E211" s="53"/>
      <c r="F211" s="51"/>
      <c r="G211" s="37"/>
      <c r="H211" s="37"/>
      <c r="I211" s="37"/>
      <c r="J211" s="37"/>
      <c r="K211" s="37"/>
      <c r="L211" s="37"/>
      <c r="M211" s="38"/>
      <c r="N211" s="38"/>
      <c r="O211" s="38"/>
      <c r="P211" s="36"/>
      <c r="Q211" s="39"/>
    </row>
    <row r="212" spans="1:17" ht="16.5" customHeight="1" x14ac:dyDescent="0.25">
      <c r="A212" s="53"/>
      <c r="B212" s="54" t="s">
        <v>194</v>
      </c>
      <c r="C212" s="53"/>
      <c r="D212" s="55"/>
      <c r="E212" s="53"/>
      <c r="F212" s="51"/>
      <c r="G212" s="37"/>
      <c r="H212" s="37"/>
      <c r="I212" s="37"/>
      <c r="J212" s="37"/>
      <c r="K212" s="37"/>
      <c r="L212" s="37"/>
      <c r="M212" s="38"/>
      <c r="N212" s="38"/>
      <c r="O212" s="38"/>
      <c r="P212" s="36"/>
      <c r="Q212" s="39"/>
    </row>
    <row r="213" spans="1:17" ht="16.5" customHeight="1" x14ac:dyDescent="0.25">
      <c r="A213" s="53"/>
      <c r="B213" s="54" t="s">
        <v>194</v>
      </c>
      <c r="C213" s="53"/>
      <c r="D213" s="55"/>
      <c r="E213" s="53"/>
      <c r="F213" s="51"/>
      <c r="G213" s="37"/>
      <c r="H213" s="37"/>
      <c r="I213" s="37"/>
      <c r="J213" s="37"/>
      <c r="K213" s="37"/>
      <c r="L213" s="37"/>
      <c r="M213" s="38"/>
      <c r="N213" s="38"/>
      <c r="O213" s="38"/>
      <c r="P213" s="36"/>
      <c r="Q213" s="39"/>
    </row>
    <row r="214" spans="1:17" ht="19.5" customHeight="1" x14ac:dyDescent="0.25">
      <c r="A214" s="12" t="s">
        <v>195</v>
      </c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</row>
    <row r="215" spans="1:17" ht="40.5" customHeight="1" x14ac:dyDescent="0.25">
      <c r="A215" s="52" t="s">
        <v>171</v>
      </c>
      <c r="B215" s="52" t="s">
        <v>172</v>
      </c>
      <c r="C215" s="52" t="s">
        <v>173</v>
      </c>
      <c r="D215" s="52" t="s">
        <v>174</v>
      </c>
      <c r="E215" s="52" t="s">
        <v>175</v>
      </c>
      <c r="F215" s="34" t="s">
        <v>176</v>
      </c>
      <c r="G215" s="34" t="s">
        <v>177</v>
      </c>
      <c r="H215" s="34" t="s">
        <v>178</v>
      </c>
      <c r="I215" s="34" t="s">
        <v>179</v>
      </c>
      <c r="J215" s="34" t="s">
        <v>180</v>
      </c>
      <c r="K215" s="34" t="s">
        <v>181</v>
      </c>
      <c r="L215" s="34" t="s">
        <v>182</v>
      </c>
      <c r="M215" s="35" t="s">
        <v>183</v>
      </c>
      <c r="N215" s="35" t="s">
        <v>184</v>
      </c>
      <c r="O215" s="35" t="s">
        <v>185</v>
      </c>
      <c r="P215" s="35" t="s">
        <v>94</v>
      </c>
      <c r="Q215" s="35" t="s">
        <v>103</v>
      </c>
    </row>
    <row r="216" spans="1:17" ht="16.5" customHeight="1" x14ac:dyDescent="0.25">
      <c r="A216" s="53"/>
      <c r="B216" s="54" t="s">
        <v>196</v>
      </c>
      <c r="C216" s="53"/>
      <c r="D216" s="55"/>
      <c r="E216" s="53"/>
      <c r="F216" s="51"/>
      <c r="G216" s="37"/>
      <c r="H216" s="37"/>
      <c r="I216" s="37"/>
      <c r="J216" s="37"/>
      <c r="K216" s="37"/>
      <c r="L216" s="37"/>
      <c r="M216" s="38"/>
      <c r="N216" s="38"/>
      <c r="O216" s="38"/>
      <c r="P216" s="36"/>
      <c r="Q216" s="39"/>
    </row>
    <row r="217" spans="1:17" ht="16.5" customHeight="1" x14ac:dyDescent="0.25">
      <c r="A217" s="53"/>
      <c r="B217" s="54" t="s">
        <v>196</v>
      </c>
      <c r="C217" s="53"/>
      <c r="D217" s="55"/>
      <c r="E217" s="53"/>
      <c r="F217" s="51"/>
      <c r="G217" s="37"/>
      <c r="H217" s="37"/>
      <c r="I217" s="37"/>
      <c r="J217" s="37"/>
      <c r="K217" s="37"/>
      <c r="L217" s="37"/>
      <c r="M217" s="38"/>
      <c r="N217" s="38"/>
      <c r="O217" s="38"/>
      <c r="P217" s="36"/>
      <c r="Q217" s="39"/>
    </row>
    <row r="218" spans="1:17" ht="16.5" customHeight="1" x14ac:dyDescent="0.25">
      <c r="A218" s="53"/>
      <c r="B218" s="54" t="s">
        <v>196</v>
      </c>
      <c r="C218" s="53"/>
      <c r="D218" s="55"/>
      <c r="E218" s="53"/>
      <c r="F218" s="51"/>
      <c r="G218" s="37"/>
      <c r="H218" s="37"/>
      <c r="I218" s="37"/>
      <c r="J218" s="37"/>
      <c r="K218" s="37"/>
      <c r="L218" s="37"/>
      <c r="M218" s="38"/>
      <c r="N218" s="38"/>
      <c r="O218" s="38"/>
      <c r="P218" s="36"/>
      <c r="Q218" s="39"/>
    </row>
    <row r="219" spans="1:17" ht="16.5" customHeight="1" x14ac:dyDescent="0.25">
      <c r="A219" s="53"/>
      <c r="B219" s="54" t="s">
        <v>196</v>
      </c>
      <c r="C219" s="53"/>
      <c r="D219" s="55"/>
      <c r="E219" s="53"/>
      <c r="F219" s="51"/>
      <c r="G219" s="37"/>
      <c r="H219" s="37"/>
      <c r="I219" s="37"/>
      <c r="J219" s="37"/>
      <c r="K219" s="37"/>
      <c r="L219" s="37"/>
      <c r="M219" s="38"/>
      <c r="N219" s="38"/>
      <c r="O219" s="38"/>
      <c r="P219" s="36"/>
      <c r="Q219" s="39"/>
    </row>
    <row r="220" spans="1:17" ht="16.5" customHeight="1" x14ac:dyDescent="0.25">
      <c r="A220" s="53"/>
      <c r="B220" s="54" t="s">
        <v>196</v>
      </c>
      <c r="C220" s="53"/>
      <c r="D220" s="55"/>
      <c r="E220" s="53"/>
      <c r="F220" s="51"/>
      <c r="G220" s="37"/>
      <c r="H220" s="37"/>
      <c r="I220" s="37"/>
      <c r="J220" s="37"/>
      <c r="K220" s="37"/>
      <c r="L220" s="37"/>
      <c r="M220" s="38"/>
      <c r="N220" s="38"/>
      <c r="O220" s="38"/>
      <c r="P220" s="36"/>
      <c r="Q220" s="39"/>
    </row>
    <row r="221" spans="1:17" ht="16.5" customHeight="1" x14ac:dyDescent="0.25">
      <c r="A221" s="53"/>
      <c r="B221" s="54" t="s">
        <v>196</v>
      </c>
      <c r="C221" s="53"/>
      <c r="D221" s="55"/>
      <c r="E221" s="53"/>
      <c r="F221" s="51"/>
      <c r="G221" s="37"/>
      <c r="H221" s="37"/>
      <c r="I221" s="37"/>
      <c r="J221" s="37"/>
      <c r="K221" s="37"/>
      <c r="L221" s="37"/>
      <c r="M221" s="38"/>
      <c r="N221" s="38"/>
      <c r="O221" s="38"/>
      <c r="P221" s="36"/>
      <c r="Q221" s="39"/>
    </row>
    <row r="222" spans="1:17" ht="16.5" customHeight="1" x14ac:dyDescent="0.25">
      <c r="A222" s="53"/>
      <c r="B222" s="54" t="s">
        <v>196</v>
      </c>
      <c r="C222" s="53"/>
      <c r="D222" s="55"/>
      <c r="E222" s="53"/>
      <c r="F222" s="51"/>
      <c r="G222" s="37"/>
      <c r="H222" s="37"/>
      <c r="I222" s="37"/>
      <c r="J222" s="37"/>
      <c r="K222" s="37"/>
      <c r="L222" s="37"/>
      <c r="M222" s="38"/>
      <c r="N222" s="38"/>
      <c r="O222" s="38"/>
      <c r="P222" s="36"/>
      <c r="Q222" s="39"/>
    </row>
    <row r="223" spans="1:17" ht="16.5" customHeight="1" x14ac:dyDescent="0.25">
      <c r="A223" s="53"/>
      <c r="B223" s="54" t="s">
        <v>196</v>
      </c>
      <c r="C223" s="53"/>
      <c r="D223" s="55"/>
      <c r="E223" s="53"/>
      <c r="F223" s="51"/>
      <c r="G223" s="37"/>
      <c r="H223" s="37"/>
      <c r="I223" s="37"/>
      <c r="J223" s="37"/>
      <c r="K223" s="37"/>
      <c r="L223" s="37"/>
      <c r="M223" s="38"/>
      <c r="N223" s="38"/>
      <c r="O223" s="38"/>
      <c r="P223" s="36"/>
      <c r="Q223" s="39"/>
    </row>
    <row r="224" spans="1:17" ht="16.5" customHeight="1" x14ac:dyDescent="0.25">
      <c r="A224" s="53"/>
      <c r="B224" s="54" t="s">
        <v>196</v>
      </c>
      <c r="C224" s="53"/>
      <c r="D224" s="55"/>
      <c r="E224" s="53"/>
      <c r="F224" s="51"/>
      <c r="G224" s="37"/>
      <c r="H224" s="37"/>
      <c r="I224" s="37"/>
      <c r="J224" s="37"/>
      <c r="K224" s="37"/>
      <c r="L224" s="37"/>
      <c r="M224" s="38"/>
      <c r="N224" s="38"/>
      <c r="O224" s="38"/>
      <c r="P224" s="36"/>
      <c r="Q224" s="39"/>
    </row>
    <row r="225" spans="1:17" ht="16.5" customHeight="1" x14ac:dyDescent="0.25">
      <c r="A225" s="53"/>
      <c r="B225" s="54" t="s">
        <v>196</v>
      </c>
      <c r="C225" s="53"/>
      <c r="D225" s="55"/>
      <c r="E225" s="53"/>
      <c r="F225" s="51"/>
      <c r="G225" s="37"/>
      <c r="H225" s="37"/>
      <c r="I225" s="37"/>
      <c r="J225" s="37"/>
      <c r="K225" s="37"/>
      <c r="L225" s="37"/>
      <c r="M225" s="38"/>
      <c r="N225" s="38"/>
      <c r="O225" s="38"/>
      <c r="P225" s="36"/>
      <c r="Q225" s="39"/>
    </row>
    <row r="226" spans="1:17" ht="16.5" customHeight="1" x14ac:dyDescent="0.25">
      <c r="A226" s="53"/>
      <c r="B226" s="54" t="s">
        <v>196</v>
      </c>
      <c r="C226" s="53"/>
      <c r="D226" s="55"/>
      <c r="E226" s="53"/>
      <c r="F226" s="51"/>
      <c r="G226" s="37"/>
      <c r="H226" s="37"/>
      <c r="I226" s="37"/>
      <c r="J226" s="37"/>
      <c r="K226" s="37"/>
      <c r="L226" s="37"/>
      <c r="M226" s="38"/>
      <c r="N226" s="38"/>
      <c r="O226" s="38"/>
      <c r="P226" s="36"/>
      <c r="Q226" s="39"/>
    </row>
    <row r="227" spans="1:17" ht="16.5" customHeight="1" x14ac:dyDescent="0.25">
      <c r="A227" s="53"/>
      <c r="B227" s="54" t="s">
        <v>196</v>
      </c>
      <c r="C227" s="53"/>
      <c r="D227" s="55"/>
      <c r="E227" s="53"/>
      <c r="F227" s="51"/>
      <c r="G227" s="37"/>
      <c r="H227" s="37"/>
      <c r="I227" s="37"/>
      <c r="J227" s="37"/>
      <c r="K227" s="37"/>
      <c r="L227" s="37"/>
      <c r="M227" s="38"/>
      <c r="N227" s="38"/>
      <c r="O227" s="38"/>
      <c r="P227" s="36"/>
      <c r="Q227" s="39"/>
    </row>
    <row r="228" spans="1:17" ht="16.5" customHeight="1" x14ac:dyDescent="0.25">
      <c r="A228" s="53"/>
      <c r="B228" s="54" t="s">
        <v>196</v>
      </c>
      <c r="C228" s="53"/>
      <c r="D228" s="55"/>
      <c r="E228" s="53"/>
      <c r="F228" s="51"/>
      <c r="G228" s="37"/>
      <c r="H228" s="37"/>
      <c r="I228" s="37"/>
      <c r="J228" s="37"/>
      <c r="K228" s="37"/>
      <c r="L228" s="37"/>
      <c r="M228" s="38"/>
      <c r="N228" s="38"/>
      <c r="O228" s="38"/>
      <c r="P228" s="36"/>
      <c r="Q228" s="39"/>
    </row>
    <row r="229" spans="1:17" ht="16.5" customHeight="1" x14ac:dyDescent="0.25">
      <c r="A229" s="53"/>
      <c r="B229" s="54" t="s">
        <v>196</v>
      </c>
      <c r="C229" s="53"/>
      <c r="D229" s="55"/>
      <c r="E229" s="53"/>
      <c r="F229" s="51"/>
      <c r="G229" s="37"/>
      <c r="H229" s="37"/>
      <c r="I229" s="37"/>
      <c r="J229" s="37"/>
      <c r="K229" s="37"/>
      <c r="L229" s="37"/>
      <c r="M229" s="38"/>
      <c r="N229" s="38"/>
      <c r="O229" s="38"/>
      <c r="P229" s="36"/>
      <c r="Q229" s="39"/>
    </row>
    <row r="230" spans="1:17" ht="16.5" customHeight="1" x14ac:dyDescent="0.25">
      <c r="A230" s="53"/>
      <c r="B230" s="54" t="s">
        <v>196</v>
      </c>
      <c r="C230" s="53"/>
      <c r="D230" s="55"/>
      <c r="E230" s="53"/>
      <c r="F230" s="51"/>
      <c r="G230" s="37"/>
      <c r="H230" s="37"/>
      <c r="I230" s="37"/>
      <c r="J230" s="37"/>
      <c r="K230" s="37"/>
      <c r="L230" s="37"/>
      <c r="M230" s="38"/>
      <c r="N230" s="38"/>
      <c r="O230" s="38"/>
      <c r="P230" s="36"/>
      <c r="Q230" s="39"/>
    </row>
    <row r="231" spans="1:17" ht="16.5" customHeight="1" x14ac:dyDescent="0.25">
      <c r="A231" s="53"/>
      <c r="B231" s="54" t="s">
        <v>196</v>
      </c>
      <c r="C231" s="53"/>
      <c r="D231" s="55"/>
      <c r="E231" s="53"/>
      <c r="F231" s="51"/>
      <c r="G231" s="37"/>
      <c r="H231" s="37"/>
      <c r="I231" s="37"/>
      <c r="J231" s="37"/>
      <c r="K231" s="37"/>
      <c r="L231" s="37"/>
      <c r="M231" s="38"/>
      <c r="N231" s="38"/>
      <c r="O231" s="38"/>
      <c r="P231" s="36"/>
      <c r="Q231" s="39"/>
    </row>
    <row r="232" spans="1:17" ht="16.5" customHeight="1" x14ac:dyDescent="0.25">
      <c r="A232" s="53"/>
      <c r="B232" s="54" t="s">
        <v>196</v>
      </c>
      <c r="C232" s="53"/>
      <c r="D232" s="55"/>
      <c r="E232" s="53"/>
      <c r="F232" s="51"/>
      <c r="G232" s="37"/>
      <c r="H232" s="37"/>
      <c r="I232" s="37"/>
      <c r="J232" s="37"/>
      <c r="K232" s="37"/>
      <c r="L232" s="37"/>
      <c r="M232" s="38"/>
      <c r="N232" s="38"/>
      <c r="O232" s="38"/>
      <c r="P232" s="36"/>
      <c r="Q232" s="39"/>
    </row>
    <row r="233" spans="1:17" ht="16.5" customHeight="1" x14ac:dyDescent="0.25">
      <c r="A233" s="53"/>
      <c r="B233" s="54" t="s">
        <v>196</v>
      </c>
      <c r="C233" s="53"/>
      <c r="D233" s="55"/>
      <c r="E233" s="53"/>
      <c r="F233" s="51"/>
      <c r="G233" s="37"/>
      <c r="H233" s="37"/>
      <c r="I233" s="37"/>
      <c r="J233" s="37"/>
      <c r="K233" s="37"/>
      <c r="L233" s="37"/>
      <c r="M233" s="38"/>
      <c r="N233" s="38"/>
      <c r="O233" s="38"/>
      <c r="P233" s="36"/>
      <c r="Q233" s="39"/>
    </row>
    <row r="234" spans="1:17" ht="16.5" customHeight="1" x14ac:dyDescent="0.25">
      <c r="A234" s="53"/>
      <c r="B234" s="54" t="s">
        <v>196</v>
      </c>
      <c r="C234" s="53"/>
      <c r="D234" s="55"/>
      <c r="E234" s="53"/>
      <c r="F234" s="51"/>
      <c r="G234" s="37"/>
      <c r="H234" s="37"/>
      <c r="I234" s="37"/>
      <c r="J234" s="37"/>
      <c r="K234" s="37"/>
      <c r="L234" s="37"/>
      <c r="M234" s="38"/>
      <c r="N234" s="38"/>
      <c r="O234" s="38"/>
      <c r="P234" s="36"/>
      <c r="Q234" s="39"/>
    </row>
    <row r="235" spans="1:17" ht="16.5" customHeight="1" x14ac:dyDescent="0.25">
      <c r="A235" s="53"/>
      <c r="B235" s="54" t="s">
        <v>196</v>
      </c>
      <c r="C235" s="53"/>
      <c r="D235" s="55"/>
      <c r="E235" s="53"/>
      <c r="F235" s="51"/>
      <c r="G235" s="37"/>
      <c r="H235" s="37"/>
      <c r="I235" s="37"/>
      <c r="J235" s="37"/>
      <c r="K235" s="37"/>
      <c r="L235" s="37"/>
      <c r="M235" s="38"/>
      <c r="N235" s="38"/>
      <c r="O235" s="38"/>
      <c r="P235" s="36"/>
      <c r="Q235" s="39"/>
    </row>
    <row r="236" spans="1:17" ht="16.5" customHeight="1" x14ac:dyDescent="0.25">
      <c r="A236" s="53"/>
      <c r="B236" s="54" t="s">
        <v>196</v>
      </c>
      <c r="C236" s="53"/>
      <c r="D236" s="55"/>
      <c r="E236" s="53"/>
      <c r="F236" s="51"/>
      <c r="G236" s="37"/>
      <c r="H236" s="37"/>
      <c r="I236" s="37"/>
      <c r="J236" s="37"/>
      <c r="K236" s="37"/>
      <c r="L236" s="37"/>
      <c r="M236" s="38"/>
      <c r="N236" s="38"/>
      <c r="O236" s="38"/>
      <c r="P236" s="36"/>
      <c r="Q236" s="39"/>
    </row>
    <row r="237" spans="1:17" ht="16.5" customHeight="1" x14ac:dyDescent="0.25">
      <c r="A237" s="53"/>
      <c r="B237" s="54" t="s">
        <v>196</v>
      </c>
      <c r="C237" s="53"/>
      <c r="D237" s="55"/>
      <c r="E237" s="53"/>
      <c r="F237" s="51"/>
      <c r="G237" s="37"/>
      <c r="H237" s="37"/>
      <c r="I237" s="37"/>
      <c r="J237" s="37"/>
      <c r="K237" s="37"/>
      <c r="L237" s="37"/>
      <c r="M237" s="38"/>
      <c r="N237" s="38"/>
      <c r="O237" s="38"/>
      <c r="P237" s="36"/>
      <c r="Q237" s="39"/>
    </row>
    <row r="238" spans="1:17" ht="16.5" customHeight="1" x14ac:dyDescent="0.25">
      <c r="A238" s="53"/>
      <c r="B238" s="54" t="s">
        <v>196</v>
      </c>
      <c r="C238" s="53"/>
      <c r="D238" s="55"/>
      <c r="E238" s="53"/>
      <c r="F238" s="51"/>
      <c r="G238" s="37"/>
      <c r="H238" s="37"/>
      <c r="I238" s="37"/>
      <c r="J238" s="37"/>
      <c r="K238" s="37"/>
      <c r="L238" s="37"/>
      <c r="M238" s="38"/>
      <c r="N238" s="38"/>
      <c r="O238" s="38"/>
      <c r="P238" s="36"/>
      <c r="Q238" s="39"/>
    </row>
    <row r="239" spans="1:17" ht="16.5" customHeight="1" x14ac:dyDescent="0.25">
      <c r="A239" s="53"/>
      <c r="B239" s="54" t="s">
        <v>196</v>
      </c>
      <c r="C239" s="53"/>
      <c r="D239" s="55"/>
      <c r="E239" s="53"/>
      <c r="F239" s="51"/>
      <c r="G239" s="37"/>
      <c r="H239" s="37"/>
      <c r="I239" s="37"/>
      <c r="J239" s="37"/>
      <c r="K239" s="37"/>
      <c r="L239" s="37"/>
      <c r="M239" s="38"/>
      <c r="N239" s="38"/>
      <c r="O239" s="38"/>
      <c r="P239" s="36"/>
      <c r="Q239" s="39"/>
    </row>
    <row r="240" spans="1:17" ht="16.5" customHeight="1" x14ac:dyDescent="0.25">
      <c r="A240" s="53"/>
      <c r="B240" s="54" t="s">
        <v>196</v>
      </c>
      <c r="C240" s="53"/>
      <c r="D240" s="55"/>
      <c r="E240" s="53"/>
      <c r="F240" s="51"/>
      <c r="G240" s="37"/>
      <c r="H240" s="37"/>
      <c r="I240" s="37"/>
      <c r="J240" s="37"/>
      <c r="K240" s="37"/>
      <c r="L240" s="37"/>
      <c r="M240" s="38"/>
      <c r="N240" s="38"/>
      <c r="O240" s="38"/>
      <c r="P240" s="36"/>
      <c r="Q240" s="39"/>
    </row>
    <row r="241" spans="1:17" ht="16.5" customHeight="1" x14ac:dyDescent="0.25">
      <c r="A241" s="53"/>
      <c r="B241" s="54" t="s">
        <v>196</v>
      </c>
      <c r="C241" s="53"/>
      <c r="D241" s="55"/>
      <c r="E241" s="53"/>
      <c r="F241" s="51"/>
      <c r="G241" s="37"/>
      <c r="H241" s="37"/>
      <c r="I241" s="37"/>
      <c r="J241" s="37"/>
      <c r="K241" s="37"/>
      <c r="L241" s="37"/>
      <c r="M241" s="38"/>
      <c r="N241" s="38"/>
      <c r="O241" s="38"/>
      <c r="P241" s="36"/>
      <c r="Q241" s="39"/>
    </row>
    <row r="242" spans="1:17" ht="16.5" customHeight="1" x14ac:dyDescent="0.25">
      <c r="A242" s="53"/>
      <c r="B242" s="54" t="s">
        <v>196</v>
      </c>
      <c r="C242" s="53"/>
      <c r="D242" s="55"/>
      <c r="E242" s="53"/>
      <c r="F242" s="51"/>
      <c r="G242" s="37"/>
      <c r="H242" s="37"/>
      <c r="I242" s="37"/>
      <c r="J242" s="37"/>
      <c r="K242" s="37"/>
      <c r="L242" s="37"/>
      <c r="M242" s="38"/>
      <c r="N242" s="38"/>
      <c r="O242" s="38"/>
      <c r="P242" s="36"/>
      <c r="Q242" s="39"/>
    </row>
    <row r="243" spans="1:17" ht="16.5" customHeight="1" x14ac:dyDescent="0.25">
      <c r="A243" s="53"/>
      <c r="B243" s="54" t="s">
        <v>196</v>
      </c>
      <c r="C243" s="53"/>
      <c r="D243" s="55"/>
      <c r="E243" s="53"/>
      <c r="F243" s="51"/>
      <c r="G243" s="37"/>
      <c r="H243" s="37"/>
      <c r="I243" s="37"/>
      <c r="J243" s="37"/>
      <c r="K243" s="37"/>
      <c r="L243" s="37"/>
      <c r="M243" s="38"/>
      <c r="N243" s="38"/>
      <c r="O243" s="38"/>
      <c r="P243" s="36"/>
      <c r="Q243" s="39"/>
    </row>
    <row r="244" spans="1:17" ht="16.5" customHeight="1" x14ac:dyDescent="0.25">
      <c r="A244" s="53"/>
      <c r="B244" s="54" t="s">
        <v>196</v>
      </c>
      <c r="C244" s="53"/>
      <c r="D244" s="55"/>
      <c r="E244" s="53"/>
      <c r="F244" s="51"/>
      <c r="G244" s="37"/>
      <c r="H244" s="37"/>
      <c r="I244" s="37"/>
      <c r="J244" s="37"/>
      <c r="K244" s="37"/>
      <c r="L244" s="37"/>
      <c r="M244" s="38"/>
      <c r="N244" s="38"/>
      <c r="O244" s="38"/>
      <c r="P244" s="36"/>
      <c r="Q244" s="39"/>
    </row>
    <row r="245" spans="1:17" ht="16.5" customHeight="1" x14ac:dyDescent="0.25">
      <c r="A245" s="53"/>
      <c r="B245" s="54" t="s">
        <v>196</v>
      </c>
      <c r="C245" s="53"/>
      <c r="D245" s="55"/>
      <c r="E245" s="53"/>
      <c r="F245" s="51"/>
      <c r="G245" s="37"/>
      <c r="H245" s="37"/>
      <c r="I245" s="37"/>
      <c r="J245" s="37"/>
      <c r="K245" s="37"/>
      <c r="L245" s="37"/>
      <c r="M245" s="38"/>
      <c r="N245" s="38"/>
      <c r="O245" s="38"/>
      <c r="P245" s="36"/>
      <c r="Q245" s="39"/>
    </row>
    <row r="246" spans="1:17" ht="16.5" customHeight="1" x14ac:dyDescent="0.25">
      <c r="A246" s="53"/>
      <c r="B246" s="54" t="s">
        <v>196</v>
      </c>
      <c r="C246" s="53"/>
      <c r="D246" s="55"/>
      <c r="E246" s="53"/>
      <c r="F246" s="51"/>
      <c r="G246" s="37"/>
      <c r="H246" s="37"/>
      <c r="I246" s="37"/>
      <c r="J246" s="37"/>
      <c r="K246" s="37"/>
      <c r="L246" s="37"/>
      <c r="M246" s="38"/>
      <c r="N246" s="38"/>
      <c r="O246" s="38"/>
      <c r="P246" s="36"/>
      <c r="Q246" s="39"/>
    </row>
    <row r="247" spans="1:17" ht="16.5" customHeight="1" x14ac:dyDescent="0.25">
      <c r="A247" s="53"/>
      <c r="B247" s="54" t="s">
        <v>196</v>
      </c>
      <c r="C247" s="53"/>
      <c r="D247" s="55"/>
      <c r="E247" s="53"/>
      <c r="F247" s="51"/>
      <c r="G247" s="37"/>
      <c r="H247" s="37"/>
      <c r="I247" s="37"/>
      <c r="J247" s="37"/>
      <c r="K247" s="37"/>
      <c r="L247" s="37"/>
      <c r="M247" s="38"/>
      <c r="N247" s="38"/>
      <c r="O247" s="38"/>
      <c r="P247" s="36"/>
      <c r="Q247" s="39"/>
    </row>
    <row r="248" spans="1:17" ht="16.5" customHeight="1" x14ac:dyDescent="0.25">
      <c r="A248" s="53"/>
      <c r="B248" s="54" t="s">
        <v>196</v>
      </c>
      <c r="C248" s="53"/>
      <c r="D248" s="55"/>
      <c r="E248" s="53"/>
      <c r="F248" s="51"/>
      <c r="G248" s="37"/>
      <c r="H248" s="37"/>
      <c r="I248" s="37"/>
      <c r="J248" s="37"/>
      <c r="K248" s="37"/>
      <c r="L248" s="37"/>
      <c r="M248" s="38"/>
      <c r="N248" s="38"/>
      <c r="O248" s="38"/>
      <c r="P248" s="36"/>
      <c r="Q248" s="39"/>
    </row>
    <row r="249" spans="1:17" ht="16.5" customHeight="1" x14ac:dyDescent="0.25">
      <c r="A249" s="53"/>
      <c r="B249" s="54" t="s">
        <v>196</v>
      </c>
      <c r="C249" s="53"/>
      <c r="D249" s="55"/>
      <c r="E249" s="53"/>
      <c r="F249" s="51"/>
      <c r="G249" s="37"/>
      <c r="H249" s="37"/>
      <c r="I249" s="37"/>
      <c r="J249" s="37"/>
      <c r="K249" s="37"/>
      <c r="L249" s="37"/>
      <c r="M249" s="38"/>
      <c r="N249" s="38"/>
      <c r="O249" s="38"/>
      <c r="P249" s="36"/>
      <c r="Q249" s="39"/>
    </row>
    <row r="250" spans="1:17" ht="16.5" customHeight="1" x14ac:dyDescent="0.25">
      <c r="A250" s="53"/>
      <c r="B250" s="54" t="s">
        <v>196</v>
      </c>
      <c r="C250" s="53"/>
      <c r="D250" s="55"/>
      <c r="E250" s="53"/>
      <c r="F250" s="51"/>
      <c r="G250" s="37"/>
      <c r="H250" s="37"/>
      <c r="I250" s="37"/>
      <c r="J250" s="37"/>
      <c r="K250" s="37"/>
      <c r="L250" s="37"/>
      <c r="M250" s="38"/>
      <c r="N250" s="38"/>
      <c r="O250" s="38"/>
      <c r="P250" s="36"/>
      <c r="Q250" s="39"/>
    </row>
    <row r="251" spans="1:17" ht="16.5" customHeight="1" x14ac:dyDescent="0.25">
      <c r="A251" s="53"/>
      <c r="B251" s="54" t="s">
        <v>196</v>
      </c>
      <c r="C251" s="53"/>
      <c r="D251" s="55"/>
      <c r="E251" s="53"/>
      <c r="F251" s="51"/>
      <c r="G251" s="37"/>
      <c r="H251" s="37"/>
      <c r="I251" s="37"/>
      <c r="J251" s="37"/>
      <c r="K251" s="37"/>
      <c r="L251" s="37"/>
      <c r="M251" s="38"/>
      <c r="N251" s="38"/>
      <c r="O251" s="38"/>
      <c r="P251" s="36"/>
      <c r="Q251" s="39"/>
    </row>
    <row r="252" spans="1:17" ht="16.5" customHeight="1" x14ac:dyDescent="0.25">
      <c r="A252" s="53"/>
      <c r="B252" s="54" t="s">
        <v>196</v>
      </c>
      <c r="C252" s="53"/>
      <c r="D252" s="55"/>
      <c r="E252" s="53"/>
      <c r="F252" s="51"/>
      <c r="G252" s="37"/>
      <c r="H252" s="37"/>
      <c r="I252" s="37"/>
      <c r="J252" s="37"/>
      <c r="K252" s="37"/>
      <c r="L252" s="37"/>
      <c r="M252" s="38"/>
      <c r="N252" s="38"/>
      <c r="O252" s="38"/>
      <c r="P252" s="36"/>
      <c r="Q252" s="39"/>
    </row>
    <row r="253" spans="1:17" ht="16.5" customHeight="1" x14ac:dyDescent="0.25">
      <c r="A253" s="53"/>
      <c r="B253" s="54" t="s">
        <v>196</v>
      </c>
      <c r="C253" s="53"/>
      <c r="D253" s="55"/>
      <c r="E253" s="53"/>
      <c r="F253" s="51"/>
      <c r="G253" s="37"/>
      <c r="H253" s="37"/>
      <c r="I253" s="37"/>
      <c r="J253" s="37"/>
      <c r="K253" s="37"/>
      <c r="L253" s="37"/>
      <c r="M253" s="38"/>
      <c r="N253" s="38"/>
      <c r="O253" s="38"/>
      <c r="P253" s="36"/>
      <c r="Q253" s="39"/>
    </row>
    <row r="254" spans="1:17" ht="16.5" customHeight="1" x14ac:dyDescent="0.25">
      <c r="A254" s="53"/>
      <c r="B254" s="54" t="s">
        <v>196</v>
      </c>
      <c r="C254" s="53"/>
      <c r="D254" s="55"/>
      <c r="E254" s="53"/>
      <c r="F254" s="51"/>
      <c r="G254" s="37"/>
      <c r="H254" s="37"/>
      <c r="I254" s="37"/>
      <c r="J254" s="37"/>
      <c r="K254" s="37"/>
      <c r="L254" s="37"/>
      <c r="M254" s="38"/>
      <c r="N254" s="38"/>
      <c r="O254" s="38"/>
      <c r="P254" s="36"/>
      <c r="Q254" s="39"/>
    </row>
    <row r="255" spans="1:17" ht="16.5" customHeight="1" x14ac:dyDescent="0.25">
      <c r="A255" s="53"/>
      <c r="B255" s="54" t="s">
        <v>196</v>
      </c>
      <c r="C255" s="53"/>
      <c r="D255" s="55"/>
      <c r="E255" s="53"/>
      <c r="F255" s="51"/>
      <c r="G255" s="37"/>
      <c r="H255" s="37"/>
      <c r="I255" s="37"/>
      <c r="J255" s="37"/>
      <c r="K255" s="37"/>
      <c r="L255" s="37"/>
      <c r="M255" s="38"/>
      <c r="N255" s="38"/>
      <c r="O255" s="38"/>
      <c r="P255" s="36"/>
      <c r="Q255" s="39"/>
    </row>
    <row r="256" spans="1:17" ht="19.5" customHeight="1" x14ac:dyDescent="0.25">
      <c r="A256" s="12" t="s">
        <v>197</v>
      </c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</row>
    <row r="257" spans="1:17" ht="40.5" customHeight="1" x14ac:dyDescent="0.25">
      <c r="A257" s="52" t="s">
        <v>171</v>
      </c>
      <c r="B257" s="52" t="s">
        <v>172</v>
      </c>
      <c r="C257" s="52" t="s">
        <v>173</v>
      </c>
      <c r="D257" s="52" t="s">
        <v>174</v>
      </c>
      <c r="E257" s="52" t="s">
        <v>175</v>
      </c>
      <c r="F257" s="34" t="s">
        <v>176</v>
      </c>
      <c r="G257" s="34" t="s">
        <v>177</v>
      </c>
      <c r="H257" s="34" t="s">
        <v>178</v>
      </c>
      <c r="I257" s="34" t="s">
        <v>179</v>
      </c>
      <c r="J257" s="34" t="s">
        <v>180</v>
      </c>
      <c r="K257" s="34" t="s">
        <v>181</v>
      </c>
      <c r="L257" s="34" t="s">
        <v>182</v>
      </c>
      <c r="M257" s="35" t="s">
        <v>183</v>
      </c>
      <c r="N257" s="35" t="s">
        <v>184</v>
      </c>
      <c r="O257" s="35" t="s">
        <v>185</v>
      </c>
      <c r="P257" s="35" t="s">
        <v>94</v>
      </c>
      <c r="Q257" s="35" t="s">
        <v>103</v>
      </c>
    </row>
    <row r="258" spans="1:17" ht="16.5" customHeight="1" x14ac:dyDescent="0.25">
      <c r="A258" s="53"/>
      <c r="B258" s="54" t="s">
        <v>198</v>
      </c>
      <c r="C258" s="53"/>
      <c r="D258" s="55"/>
      <c r="E258" s="53"/>
      <c r="F258" s="51"/>
      <c r="G258" s="37"/>
      <c r="H258" s="37"/>
      <c r="I258" s="37"/>
      <c r="J258" s="37"/>
      <c r="K258" s="37"/>
      <c r="L258" s="37"/>
      <c r="M258" s="38"/>
      <c r="N258" s="38"/>
      <c r="O258" s="38"/>
      <c r="P258" s="36"/>
      <c r="Q258" s="39"/>
    </row>
    <row r="259" spans="1:17" ht="16.5" customHeight="1" x14ac:dyDescent="0.25">
      <c r="A259" s="53"/>
      <c r="B259" s="54" t="s">
        <v>198</v>
      </c>
      <c r="C259" s="53"/>
      <c r="D259" s="55"/>
      <c r="E259" s="53"/>
      <c r="F259" s="51"/>
      <c r="G259" s="37"/>
      <c r="H259" s="37"/>
      <c r="I259" s="37"/>
      <c r="J259" s="37"/>
      <c r="K259" s="37"/>
      <c r="L259" s="37"/>
      <c r="M259" s="38"/>
      <c r="N259" s="38"/>
      <c r="O259" s="38"/>
      <c r="P259" s="36"/>
      <c r="Q259" s="39"/>
    </row>
    <row r="260" spans="1:17" ht="16.5" customHeight="1" x14ac:dyDescent="0.25">
      <c r="A260" s="53"/>
      <c r="B260" s="54" t="s">
        <v>198</v>
      </c>
      <c r="C260" s="53"/>
      <c r="D260" s="55"/>
      <c r="E260" s="53"/>
      <c r="F260" s="51"/>
      <c r="G260" s="37"/>
      <c r="H260" s="37"/>
      <c r="I260" s="37"/>
      <c r="J260" s="37"/>
      <c r="K260" s="37"/>
      <c r="L260" s="37"/>
      <c r="M260" s="38"/>
      <c r="N260" s="38"/>
      <c r="O260" s="38"/>
      <c r="P260" s="36"/>
      <c r="Q260" s="39"/>
    </row>
    <row r="261" spans="1:17" ht="16.5" customHeight="1" x14ac:dyDescent="0.25">
      <c r="A261" s="53"/>
      <c r="B261" s="54" t="s">
        <v>198</v>
      </c>
      <c r="C261" s="53"/>
      <c r="D261" s="55"/>
      <c r="E261" s="53"/>
      <c r="F261" s="51"/>
      <c r="G261" s="37"/>
      <c r="H261" s="37"/>
      <c r="I261" s="37"/>
      <c r="J261" s="37"/>
      <c r="K261" s="37"/>
      <c r="L261" s="37"/>
      <c r="M261" s="38"/>
      <c r="N261" s="38"/>
      <c r="O261" s="38"/>
      <c r="P261" s="36"/>
      <c r="Q261" s="39"/>
    </row>
    <row r="262" spans="1:17" ht="16.5" customHeight="1" x14ac:dyDescent="0.25">
      <c r="A262" s="53"/>
      <c r="B262" s="54" t="s">
        <v>198</v>
      </c>
      <c r="C262" s="53"/>
      <c r="D262" s="55"/>
      <c r="E262" s="53"/>
      <c r="F262" s="51"/>
      <c r="G262" s="37"/>
      <c r="H262" s="37"/>
      <c r="I262" s="37"/>
      <c r="J262" s="37"/>
      <c r="K262" s="37"/>
      <c r="L262" s="37"/>
      <c r="M262" s="38"/>
      <c r="N262" s="38"/>
      <c r="O262" s="38"/>
      <c r="P262" s="36"/>
      <c r="Q262" s="39"/>
    </row>
    <row r="263" spans="1:17" ht="16.5" customHeight="1" x14ac:dyDescent="0.25">
      <c r="A263" s="53"/>
      <c r="B263" s="54" t="s">
        <v>198</v>
      </c>
      <c r="C263" s="53"/>
      <c r="D263" s="55"/>
      <c r="E263" s="53"/>
      <c r="F263" s="51"/>
      <c r="G263" s="37"/>
      <c r="H263" s="37"/>
      <c r="I263" s="37"/>
      <c r="J263" s="37"/>
      <c r="K263" s="37"/>
      <c r="L263" s="37"/>
      <c r="M263" s="38"/>
      <c r="N263" s="38"/>
      <c r="O263" s="38"/>
      <c r="P263" s="36"/>
      <c r="Q263" s="39"/>
    </row>
    <row r="264" spans="1:17" ht="16.5" customHeight="1" x14ac:dyDescent="0.25">
      <c r="A264" s="53"/>
      <c r="B264" s="54" t="s">
        <v>198</v>
      </c>
      <c r="C264" s="53"/>
      <c r="D264" s="55"/>
      <c r="E264" s="53"/>
      <c r="F264" s="51"/>
      <c r="G264" s="37"/>
      <c r="H264" s="37"/>
      <c r="I264" s="37"/>
      <c r="J264" s="37"/>
      <c r="K264" s="37"/>
      <c r="L264" s="37"/>
      <c r="M264" s="38"/>
      <c r="N264" s="38"/>
      <c r="O264" s="38"/>
      <c r="P264" s="36"/>
      <c r="Q264" s="39"/>
    </row>
    <row r="265" spans="1:17" ht="16.5" customHeight="1" x14ac:dyDescent="0.25">
      <c r="A265" s="53"/>
      <c r="B265" s="54" t="s">
        <v>198</v>
      </c>
      <c r="C265" s="53"/>
      <c r="D265" s="55"/>
      <c r="E265" s="53"/>
      <c r="F265" s="51"/>
      <c r="G265" s="37"/>
      <c r="H265" s="37"/>
      <c r="I265" s="37"/>
      <c r="J265" s="37"/>
      <c r="K265" s="37"/>
      <c r="L265" s="37"/>
      <c r="M265" s="38"/>
      <c r="N265" s="38"/>
      <c r="O265" s="38"/>
      <c r="P265" s="36"/>
      <c r="Q265" s="39"/>
    </row>
    <row r="266" spans="1:17" ht="16.5" customHeight="1" x14ac:dyDescent="0.25">
      <c r="A266" s="53"/>
      <c r="B266" s="54" t="s">
        <v>198</v>
      </c>
      <c r="C266" s="53"/>
      <c r="D266" s="55"/>
      <c r="E266" s="53"/>
      <c r="F266" s="51"/>
      <c r="G266" s="37"/>
      <c r="H266" s="37"/>
      <c r="I266" s="37"/>
      <c r="J266" s="37"/>
      <c r="K266" s="37"/>
      <c r="L266" s="37"/>
      <c r="M266" s="38"/>
      <c r="N266" s="38"/>
      <c r="O266" s="38"/>
      <c r="P266" s="36"/>
      <c r="Q266" s="39"/>
    </row>
    <row r="267" spans="1:17" ht="16.5" customHeight="1" x14ac:dyDescent="0.25">
      <c r="A267" s="53"/>
      <c r="B267" s="54" t="s">
        <v>198</v>
      </c>
      <c r="C267" s="53"/>
      <c r="D267" s="55"/>
      <c r="E267" s="53"/>
      <c r="F267" s="51"/>
      <c r="G267" s="37"/>
      <c r="H267" s="37"/>
      <c r="I267" s="37"/>
      <c r="J267" s="37"/>
      <c r="K267" s="37"/>
      <c r="L267" s="37"/>
      <c r="M267" s="38"/>
      <c r="N267" s="38"/>
      <c r="O267" s="38"/>
      <c r="P267" s="36"/>
      <c r="Q267" s="39"/>
    </row>
    <row r="268" spans="1:17" ht="16.5" customHeight="1" x14ac:dyDescent="0.25">
      <c r="A268" s="53"/>
      <c r="B268" s="54" t="s">
        <v>198</v>
      </c>
      <c r="C268" s="53"/>
      <c r="D268" s="55"/>
      <c r="E268" s="53"/>
      <c r="F268" s="51"/>
      <c r="G268" s="37"/>
      <c r="H268" s="37"/>
      <c r="I268" s="37"/>
      <c r="J268" s="37"/>
      <c r="K268" s="37"/>
      <c r="L268" s="37"/>
      <c r="M268" s="38"/>
      <c r="N268" s="38"/>
      <c r="O268" s="38"/>
      <c r="P268" s="36"/>
      <c r="Q268" s="39"/>
    </row>
    <row r="269" spans="1:17" ht="16.5" customHeight="1" x14ac:dyDescent="0.25">
      <c r="A269" s="53"/>
      <c r="B269" s="54" t="s">
        <v>198</v>
      </c>
      <c r="C269" s="53"/>
      <c r="D269" s="55"/>
      <c r="E269" s="53"/>
      <c r="F269" s="51"/>
      <c r="G269" s="37"/>
      <c r="H269" s="37"/>
      <c r="I269" s="37"/>
      <c r="J269" s="37"/>
      <c r="K269" s="37"/>
      <c r="L269" s="37"/>
      <c r="M269" s="38"/>
      <c r="N269" s="38"/>
      <c r="O269" s="38"/>
      <c r="P269" s="36"/>
      <c r="Q269" s="39"/>
    </row>
    <row r="270" spans="1:17" ht="16.5" customHeight="1" x14ac:dyDescent="0.25">
      <c r="A270" s="53"/>
      <c r="B270" s="54" t="s">
        <v>198</v>
      </c>
      <c r="C270" s="53"/>
      <c r="D270" s="55"/>
      <c r="E270" s="53"/>
      <c r="F270" s="51"/>
      <c r="G270" s="37"/>
      <c r="H270" s="37"/>
      <c r="I270" s="37"/>
      <c r="J270" s="37"/>
      <c r="K270" s="37"/>
      <c r="L270" s="37"/>
      <c r="M270" s="38"/>
      <c r="N270" s="38"/>
      <c r="O270" s="38"/>
      <c r="P270" s="36"/>
      <c r="Q270" s="39"/>
    </row>
    <row r="271" spans="1:17" ht="16.5" customHeight="1" x14ac:dyDescent="0.25">
      <c r="A271" s="53"/>
      <c r="B271" s="54" t="s">
        <v>198</v>
      </c>
      <c r="C271" s="53"/>
      <c r="D271" s="55"/>
      <c r="E271" s="53"/>
      <c r="F271" s="51"/>
      <c r="G271" s="37"/>
      <c r="H271" s="37"/>
      <c r="I271" s="37"/>
      <c r="J271" s="37"/>
      <c r="K271" s="37"/>
      <c r="L271" s="37"/>
      <c r="M271" s="38"/>
      <c r="N271" s="38"/>
      <c r="O271" s="38"/>
      <c r="P271" s="36"/>
      <c r="Q271" s="39"/>
    </row>
    <row r="272" spans="1:17" ht="16.5" customHeight="1" x14ac:dyDescent="0.25">
      <c r="A272" s="53"/>
      <c r="B272" s="54" t="s">
        <v>198</v>
      </c>
      <c r="C272" s="53"/>
      <c r="D272" s="55"/>
      <c r="E272" s="53"/>
      <c r="F272" s="51"/>
      <c r="G272" s="37"/>
      <c r="H272" s="37"/>
      <c r="I272" s="37"/>
      <c r="J272" s="37"/>
      <c r="K272" s="37"/>
      <c r="L272" s="37"/>
      <c r="M272" s="38"/>
      <c r="N272" s="38"/>
      <c r="O272" s="38"/>
      <c r="P272" s="36"/>
      <c r="Q272" s="39"/>
    </row>
    <row r="273" spans="1:17" ht="16.5" customHeight="1" x14ac:dyDescent="0.25">
      <c r="A273" s="53"/>
      <c r="B273" s="54" t="s">
        <v>198</v>
      </c>
      <c r="C273" s="53"/>
      <c r="D273" s="55"/>
      <c r="E273" s="53"/>
      <c r="F273" s="51"/>
      <c r="G273" s="37"/>
      <c r="H273" s="37"/>
      <c r="I273" s="37"/>
      <c r="J273" s="37"/>
      <c r="K273" s="37"/>
      <c r="L273" s="37"/>
      <c r="M273" s="38"/>
      <c r="N273" s="38"/>
      <c r="O273" s="38"/>
      <c r="P273" s="36"/>
      <c r="Q273" s="39"/>
    </row>
    <row r="274" spans="1:17" ht="16.5" customHeight="1" x14ac:dyDescent="0.25">
      <c r="A274" s="53"/>
      <c r="B274" s="54" t="s">
        <v>198</v>
      </c>
      <c r="C274" s="53"/>
      <c r="D274" s="55"/>
      <c r="E274" s="53"/>
      <c r="F274" s="51"/>
      <c r="G274" s="37"/>
      <c r="H274" s="37"/>
      <c r="I274" s="37"/>
      <c r="J274" s="37"/>
      <c r="K274" s="37"/>
      <c r="L274" s="37"/>
      <c r="M274" s="38"/>
      <c r="N274" s="38"/>
      <c r="O274" s="38"/>
      <c r="P274" s="36"/>
      <c r="Q274" s="39"/>
    </row>
    <row r="275" spans="1:17" ht="16.5" customHeight="1" x14ac:dyDescent="0.25">
      <c r="A275" s="53"/>
      <c r="B275" s="54" t="s">
        <v>198</v>
      </c>
      <c r="C275" s="53"/>
      <c r="D275" s="55"/>
      <c r="E275" s="53"/>
      <c r="F275" s="51"/>
      <c r="G275" s="37"/>
      <c r="H275" s="37"/>
      <c r="I275" s="37"/>
      <c r="J275" s="37"/>
      <c r="K275" s="37"/>
      <c r="L275" s="37"/>
      <c r="M275" s="38"/>
      <c r="N275" s="38"/>
      <c r="O275" s="38"/>
      <c r="P275" s="36"/>
      <c r="Q275" s="39"/>
    </row>
    <row r="276" spans="1:17" ht="16.5" customHeight="1" x14ac:dyDescent="0.25">
      <c r="A276" s="53"/>
      <c r="B276" s="54" t="s">
        <v>198</v>
      </c>
      <c r="C276" s="53"/>
      <c r="D276" s="55"/>
      <c r="E276" s="53"/>
      <c r="F276" s="51"/>
      <c r="G276" s="37"/>
      <c r="H276" s="37"/>
      <c r="I276" s="37"/>
      <c r="J276" s="37"/>
      <c r="K276" s="37"/>
      <c r="L276" s="37"/>
      <c r="M276" s="38"/>
      <c r="N276" s="38"/>
      <c r="O276" s="38"/>
      <c r="P276" s="36"/>
      <c r="Q276" s="39"/>
    </row>
    <row r="277" spans="1:17" ht="16.5" customHeight="1" x14ac:dyDescent="0.25">
      <c r="A277" s="53"/>
      <c r="B277" s="54" t="s">
        <v>198</v>
      </c>
      <c r="C277" s="53"/>
      <c r="D277" s="55"/>
      <c r="E277" s="53"/>
      <c r="F277" s="51"/>
      <c r="G277" s="37"/>
      <c r="H277" s="37"/>
      <c r="I277" s="37"/>
      <c r="J277" s="37"/>
      <c r="K277" s="37"/>
      <c r="L277" s="37"/>
      <c r="M277" s="38"/>
      <c r="N277" s="38"/>
      <c r="O277" s="38"/>
      <c r="P277" s="36"/>
      <c r="Q277" s="39"/>
    </row>
    <row r="278" spans="1:17" ht="16.5" customHeight="1" x14ac:dyDescent="0.25">
      <c r="A278" s="53"/>
      <c r="B278" s="54" t="s">
        <v>198</v>
      </c>
      <c r="C278" s="53"/>
      <c r="D278" s="55"/>
      <c r="E278" s="53"/>
      <c r="F278" s="51"/>
      <c r="G278" s="37"/>
      <c r="H278" s="37"/>
      <c r="I278" s="37"/>
      <c r="J278" s="37"/>
      <c r="K278" s="37"/>
      <c r="L278" s="37"/>
      <c r="M278" s="38"/>
      <c r="N278" s="38"/>
      <c r="O278" s="38"/>
      <c r="P278" s="36"/>
      <c r="Q278" s="39"/>
    </row>
    <row r="279" spans="1:17" ht="16.5" customHeight="1" x14ac:dyDescent="0.25">
      <c r="A279" s="53"/>
      <c r="B279" s="54" t="s">
        <v>198</v>
      </c>
      <c r="C279" s="53"/>
      <c r="D279" s="55"/>
      <c r="E279" s="53"/>
      <c r="F279" s="51"/>
      <c r="G279" s="37"/>
      <c r="H279" s="37"/>
      <c r="I279" s="37"/>
      <c r="J279" s="37"/>
      <c r="K279" s="37"/>
      <c r="L279" s="37"/>
      <c r="M279" s="38"/>
      <c r="N279" s="38"/>
      <c r="O279" s="38"/>
      <c r="P279" s="36"/>
      <c r="Q279" s="39"/>
    </row>
    <row r="280" spans="1:17" ht="16.5" customHeight="1" x14ac:dyDescent="0.25">
      <c r="A280" s="53"/>
      <c r="B280" s="54" t="s">
        <v>198</v>
      </c>
      <c r="C280" s="53"/>
      <c r="D280" s="55"/>
      <c r="E280" s="53"/>
      <c r="F280" s="51"/>
      <c r="G280" s="37"/>
      <c r="H280" s="37"/>
      <c r="I280" s="37"/>
      <c r="J280" s="37"/>
      <c r="K280" s="37"/>
      <c r="L280" s="37"/>
      <c r="M280" s="38"/>
      <c r="N280" s="38"/>
      <c r="O280" s="38"/>
      <c r="P280" s="36"/>
      <c r="Q280" s="39"/>
    </row>
    <row r="281" spans="1:17" ht="16.5" customHeight="1" x14ac:dyDescent="0.25">
      <c r="A281" s="53"/>
      <c r="B281" s="54" t="s">
        <v>198</v>
      </c>
      <c r="C281" s="53"/>
      <c r="D281" s="55"/>
      <c r="E281" s="53"/>
      <c r="F281" s="51"/>
      <c r="G281" s="37"/>
      <c r="H281" s="37"/>
      <c r="I281" s="37"/>
      <c r="J281" s="37"/>
      <c r="K281" s="37"/>
      <c r="L281" s="37"/>
      <c r="M281" s="38"/>
      <c r="N281" s="38"/>
      <c r="O281" s="38"/>
      <c r="P281" s="36"/>
      <c r="Q281" s="39"/>
    </row>
    <row r="282" spans="1:17" ht="16.5" customHeight="1" x14ac:dyDescent="0.25">
      <c r="A282" s="53"/>
      <c r="B282" s="54" t="s">
        <v>198</v>
      </c>
      <c r="C282" s="53"/>
      <c r="D282" s="55"/>
      <c r="E282" s="53"/>
      <c r="F282" s="51"/>
      <c r="G282" s="37"/>
      <c r="H282" s="37"/>
      <c r="I282" s="37"/>
      <c r="J282" s="37"/>
      <c r="K282" s="37"/>
      <c r="L282" s="37"/>
      <c r="M282" s="38"/>
      <c r="N282" s="38"/>
      <c r="O282" s="38"/>
      <c r="P282" s="36"/>
      <c r="Q282" s="39"/>
    </row>
    <row r="283" spans="1:17" ht="16.5" customHeight="1" x14ac:dyDescent="0.25">
      <c r="A283" s="53"/>
      <c r="B283" s="54" t="s">
        <v>198</v>
      </c>
      <c r="C283" s="53"/>
      <c r="D283" s="55"/>
      <c r="E283" s="53"/>
      <c r="F283" s="51"/>
      <c r="G283" s="37"/>
      <c r="H283" s="37"/>
      <c r="I283" s="37"/>
      <c r="J283" s="37"/>
      <c r="K283" s="37"/>
      <c r="L283" s="37"/>
      <c r="M283" s="38"/>
      <c r="N283" s="38"/>
      <c r="O283" s="38"/>
      <c r="P283" s="36"/>
      <c r="Q283" s="39"/>
    </row>
    <row r="284" spans="1:17" ht="16.5" customHeight="1" x14ac:dyDescent="0.25">
      <c r="A284" s="53"/>
      <c r="B284" s="54" t="s">
        <v>198</v>
      </c>
      <c r="C284" s="53"/>
      <c r="D284" s="55"/>
      <c r="E284" s="53"/>
      <c r="F284" s="51"/>
      <c r="G284" s="37"/>
      <c r="H284" s="37"/>
      <c r="I284" s="37"/>
      <c r="J284" s="37"/>
      <c r="K284" s="37"/>
      <c r="L284" s="37"/>
      <c r="M284" s="38"/>
      <c r="N284" s="38"/>
      <c r="O284" s="38"/>
      <c r="P284" s="36"/>
      <c r="Q284" s="39"/>
    </row>
    <row r="285" spans="1:17" ht="16.5" customHeight="1" x14ac:dyDescent="0.25">
      <c r="A285" s="53"/>
      <c r="B285" s="54" t="s">
        <v>198</v>
      </c>
      <c r="C285" s="53"/>
      <c r="D285" s="55"/>
      <c r="E285" s="53"/>
      <c r="F285" s="51"/>
      <c r="G285" s="37"/>
      <c r="H285" s="37"/>
      <c r="I285" s="37"/>
      <c r="J285" s="37"/>
      <c r="K285" s="37"/>
      <c r="L285" s="37"/>
      <c r="M285" s="38"/>
      <c r="N285" s="38"/>
      <c r="O285" s="38"/>
      <c r="P285" s="36"/>
      <c r="Q285" s="39"/>
    </row>
    <row r="286" spans="1:17" ht="16.5" customHeight="1" x14ac:dyDescent="0.25">
      <c r="A286" s="53"/>
      <c r="B286" s="54" t="s">
        <v>198</v>
      </c>
      <c r="C286" s="53"/>
      <c r="D286" s="55"/>
      <c r="E286" s="53"/>
      <c r="F286" s="51"/>
      <c r="G286" s="37"/>
      <c r="H286" s="37"/>
      <c r="I286" s="37"/>
      <c r="J286" s="37"/>
      <c r="K286" s="37"/>
      <c r="L286" s="37"/>
      <c r="M286" s="38"/>
      <c r="N286" s="38"/>
      <c r="O286" s="38"/>
      <c r="P286" s="36"/>
      <c r="Q286" s="39"/>
    </row>
    <row r="287" spans="1:17" ht="16.5" customHeight="1" x14ac:dyDescent="0.25">
      <c r="A287" s="53"/>
      <c r="B287" s="54" t="s">
        <v>198</v>
      </c>
      <c r="C287" s="53"/>
      <c r="D287" s="55"/>
      <c r="E287" s="53"/>
      <c r="F287" s="51"/>
      <c r="G287" s="37"/>
      <c r="H287" s="37"/>
      <c r="I287" s="37"/>
      <c r="J287" s="37"/>
      <c r="K287" s="37"/>
      <c r="L287" s="37"/>
      <c r="M287" s="38"/>
      <c r="N287" s="38"/>
      <c r="O287" s="38"/>
      <c r="P287" s="36"/>
      <c r="Q287" s="39"/>
    </row>
    <row r="288" spans="1:17" ht="16.5" customHeight="1" x14ac:dyDescent="0.25">
      <c r="A288" s="53"/>
      <c r="B288" s="54" t="s">
        <v>198</v>
      </c>
      <c r="C288" s="53"/>
      <c r="D288" s="55"/>
      <c r="E288" s="53"/>
      <c r="F288" s="51"/>
      <c r="G288" s="37"/>
      <c r="H288" s="37"/>
      <c r="I288" s="37"/>
      <c r="J288" s="37"/>
      <c r="K288" s="37"/>
      <c r="L288" s="37"/>
      <c r="M288" s="38"/>
      <c r="N288" s="38"/>
      <c r="O288" s="38"/>
      <c r="P288" s="36"/>
      <c r="Q288" s="39"/>
    </row>
    <row r="289" spans="1:17" ht="16.5" customHeight="1" x14ac:dyDescent="0.25">
      <c r="A289" s="53"/>
      <c r="B289" s="54" t="s">
        <v>198</v>
      </c>
      <c r="C289" s="53"/>
      <c r="D289" s="55"/>
      <c r="E289" s="53"/>
      <c r="F289" s="51"/>
      <c r="G289" s="37"/>
      <c r="H289" s="37"/>
      <c r="I289" s="37"/>
      <c r="J289" s="37"/>
      <c r="K289" s="37"/>
      <c r="L289" s="37"/>
      <c r="M289" s="38"/>
      <c r="N289" s="38"/>
      <c r="O289" s="38"/>
      <c r="P289" s="36"/>
      <c r="Q289" s="39"/>
    </row>
    <row r="290" spans="1:17" ht="16.5" customHeight="1" x14ac:dyDescent="0.25">
      <c r="A290" s="53"/>
      <c r="B290" s="54" t="s">
        <v>198</v>
      </c>
      <c r="C290" s="53"/>
      <c r="D290" s="55"/>
      <c r="E290" s="53"/>
      <c r="F290" s="51"/>
      <c r="G290" s="37"/>
      <c r="H290" s="37"/>
      <c r="I290" s="37"/>
      <c r="J290" s="37"/>
      <c r="K290" s="37"/>
      <c r="L290" s="37"/>
      <c r="M290" s="38"/>
      <c r="N290" s="38"/>
      <c r="O290" s="38"/>
      <c r="P290" s="36"/>
      <c r="Q290" s="39"/>
    </row>
    <row r="291" spans="1:17" ht="16.5" customHeight="1" x14ac:dyDescent="0.25">
      <c r="A291" s="53"/>
      <c r="B291" s="54" t="s">
        <v>198</v>
      </c>
      <c r="C291" s="53"/>
      <c r="D291" s="55"/>
      <c r="E291" s="53"/>
      <c r="F291" s="51"/>
      <c r="G291" s="37"/>
      <c r="H291" s="37"/>
      <c r="I291" s="37"/>
      <c r="J291" s="37"/>
      <c r="K291" s="37"/>
      <c r="L291" s="37"/>
      <c r="M291" s="38"/>
      <c r="N291" s="38"/>
      <c r="O291" s="38"/>
      <c r="P291" s="36"/>
      <c r="Q291" s="39"/>
    </row>
    <row r="292" spans="1:17" ht="16.5" customHeight="1" x14ac:dyDescent="0.25">
      <c r="A292" s="53"/>
      <c r="B292" s="54" t="s">
        <v>198</v>
      </c>
      <c r="C292" s="53"/>
      <c r="D292" s="55"/>
      <c r="E292" s="53"/>
      <c r="F292" s="51"/>
      <c r="G292" s="37"/>
      <c r="H292" s="37"/>
      <c r="I292" s="37"/>
      <c r="J292" s="37"/>
      <c r="K292" s="37"/>
      <c r="L292" s="37"/>
      <c r="M292" s="38"/>
      <c r="N292" s="38"/>
      <c r="O292" s="38"/>
      <c r="P292" s="36"/>
      <c r="Q292" s="39"/>
    </row>
    <row r="293" spans="1:17" ht="16.5" customHeight="1" x14ac:dyDescent="0.25">
      <c r="A293" s="53"/>
      <c r="B293" s="54" t="s">
        <v>198</v>
      </c>
      <c r="C293" s="53"/>
      <c r="D293" s="55"/>
      <c r="E293" s="53"/>
      <c r="F293" s="51"/>
      <c r="G293" s="37"/>
      <c r="H293" s="37"/>
      <c r="I293" s="37"/>
      <c r="J293" s="37"/>
      <c r="K293" s="37"/>
      <c r="L293" s="37"/>
      <c r="M293" s="38"/>
      <c r="N293" s="38"/>
      <c r="O293" s="38"/>
      <c r="P293" s="36"/>
      <c r="Q293" s="39"/>
    </row>
    <row r="294" spans="1:17" ht="16.5" customHeight="1" x14ac:dyDescent="0.25">
      <c r="A294" s="53"/>
      <c r="B294" s="54" t="s">
        <v>198</v>
      </c>
      <c r="C294" s="53"/>
      <c r="D294" s="55"/>
      <c r="E294" s="53"/>
      <c r="F294" s="51"/>
      <c r="G294" s="37"/>
      <c r="H294" s="37"/>
      <c r="I294" s="37"/>
      <c r="J294" s="37"/>
      <c r="K294" s="37"/>
      <c r="L294" s="37"/>
      <c r="M294" s="38"/>
      <c r="N294" s="38"/>
      <c r="O294" s="38"/>
      <c r="P294" s="36"/>
      <c r="Q294" s="39"/>
    </row>
    <row r="295" spans="1:17" ht="16.5" customHeight="1" x14ac:dyDescent="0.25">
      <c r="A295" s="53"/>
      <c r="B295" s="54" t="s">
        <v>198</v>
      </c>
      <c r="C295" s="53"/>
      <c r="D295" s="55"/>
      <c r="E295" s="53"/>
      <c r="F295" s="51"/>
      <c r="G295" s="37"/>
      <c r="H295" s="37"/>
      <c r="I295" s="37"/>
      <c r="J295" s="37"/>
      <c r="K295" s="37"/>
      <c r="L295" s="37"/>
      <c r="M295" s="38"/>
      <c r="N295" s="38"/>
      <c r="O295" s="38"/>
      <c r="P295" s="36"/>
      <c r="Q295" s="39"/>
    </row>
    <row r="296" spans="1:17" ht="16.5" customHeight="1" x14ac:dyDescent="0.25">
      <c r="A296" s="53"/>
      <c r="B296" s="54" t="s">
        <v>198</v>
      </c>
      <c r="C296" s="53"/>
      <c r="D296" s="55"/>
      <c r="E296" s="53"/>
      <c r="F296" s="51"/>
      <c r="G296" s="37"/>
      <c r="H296" s="37"/>
      <c r="I296" s="37"/>
      <c r="J296" s="37"/>
      <c r="K296" s="37"/>
      <c r="L296" s="37"/>
      <c r="M296" s="38"/>
      <c r="N296" s="38"/>
      <c r="O296" s="38"/>
      <c r="P296" s="36"/>
      <c r="Q296" s="39"/>
    </row>
    <row r="297" spans="1:17" ht="16.5" customHeight="1" x14ac:dyDescent="0.25">
      <c r="A297" s="53"/>
      <c r="B297" s="54" t="s">
        <v>198</v>
      </c>
      <c r="C297" s="53"/>
      <c r="D297" s="55"/>
      <c r="E297" s="53"/>
      <c r="F297" s="51"/>
      <c r="G297" s="37"/>
      <c r="H297" s="37"/>
      <c r="I297" s="37"/>
      <c r="J297" s="37"/>
      <c r="K297" s="37"/>
      <c r="L297" s="37"/>
      <c r="M297" s="38"/>
      <c r="N297" s="38"/>
      <c r="O297" s="38"/>
      <c r="P297" s="36"/>
      <c r="Q297" s="39"/>
    </row>
    <row r="298" spans="1:17" ht="19.5" customHeight="1" x14ac:dyDescent="0.25">
      <c r="A298" s="12" t="s">
        <v>199</v>
      </c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</row>
    <row r="299" spans="1:17" ht="40.5" customHeight="1" x14ac:dyDescent="0.25">
      <c r="A299" s="52" t="s">
        <v>171</v>
      </c>
      <c r="B299" s="52" t="s">
        <v>172</v>
      </c>
      <c r="C299" s="52" t="s">
        <v>173</v>
      </c>
      <c r="D299" s="52" t="s">
        <v>174</v>
      </c>
      <c r="E299" s="52" t="s">
        <v>175</v>
      </c>
      <c r="F299" s="34" t="s">
        <v>176</v>
      </c>
      <c r="G299" s="34" t="s">
        <v>177</v>
      </c>
      <c r="H299" s="34" t="s">
        <v>178</v>
      </c>
      <c r="I299" s="34" t="s">
        <v>179</v>
      </c>
      <c r="J299" s="34" t="s">
        <v>180</v>
      </c>
      <c r="K299" s="34" t="s">
        <v>181</v>
      </c>
      <c r="L299" s="34" t="s">
        <v>182</v>
      </c>
      <c r="M299" s="35" t="s">
        <v>183</v>
      </c>
      <c r="N299" s="35" t="s">
        <v>184</v>
      </c>
      <c r="O299" s="35" t="s">
        <v>185</v>
      </c>
      <c r="P299" s="35" t="s">
        <v>94</v>
      </c>
      <c r="Q299" s="35" t="s">
        <v>103</v>
      </c>
    </row>
    <row r="300" spans="1:17" ht="16.5" customHeight="1" x14ac:dyDescent="0.25">
      <c r="A300" s="53"/>
      <c r="B300" s="54" t="s">
        <v>200</v>
      </c>
      <c r="C300" s="53"/>
      <c r="D300" s="55"/>
      <c r="E300" s="53"/>
      <c r="F300" s="51"/>
      <c r="G300" s="37"/>
      <c r="H300" s="37"/>
      <c r="I300" s="37"/>
      <c r="J300" s="37"/>
      <c r="K300" s="37"/>
      <c r="L300" s="37"/>
      <c r="M300" s="38"/>
      <c r="N300" s="38"/>
      <c r="O300" s="38"/>
      <c r="P300" s="36"/>
      <c r="Q300" s="39"/>
    </row>
    <row r="301" spans="1:17" ht="16.5" customHeight="1" x14ac:dyDescent="0.25">
      <c r="A301" s="53"/>
      <c r="B301" s="54" t="s">
        <v>200</v>
      </c>
      <c r="C301" s="53"/>
      <c r="D301" s="55"/>
      <c r="E301" s="53"/>
      <c r="F301" s="51"/>
      <c r="G301" s="37"/>
      <c r="H301" s="37"/>
      <c r="I301" s="37"/>
      <c r="J301" s="37"/>
      <c r="K301" s="37"/>
      <c r="L301" s="37"/>
      <c r="M301" s="38"/>
      <c r="N301" s="38"/>
      <c r="O301" s="38"/>
      <c r="P301" s="36"/>
      <c r="Q301" s="39"/>
    </row>
    <row r="302" spans="1:17" ht="16.5" customHeight="1" x14ac:dyDescent="0.25">
      <c r="A302" s="53"/>
      <c r="B302" s="54" t="s">
        <v>200</v>
      </c>
      <c r="C302" s="53"/>
      <c r="D302" s="55"/>
      <c r="E302" s="53"/>
      <c r="F302" s="51"/>
      <c r="G302" s="37"/>
      <c r="H302" s="37"/>
      <c r="I302" s="37"/>
      <c r="J302" s="37"/>
      <c r="K302" s="37"/>
      <c r="L302" s="37"/>
      <c r="M302" s="38"/>
      <c r="N302" s="38"/>
      <c r="O302" s="38"/>
      <c r="P302" s="36"/>
      <c r="Q302" s="39"/>
    </row>
    <row r="303" spans="1:17" ht="16.5" customHeight="1" x14ac:dyDescent="0.25">
      <c r="A303" s="53"/>
      <c r="B303" s="54" t="s">
        <v>200</v>
      </c>
      <c r="C303" s="53"/>
      <c r="D303" s="55"/>
      <c r="E303" s="53"/>
      <c r="F303" s="51"/>
      <c r="G303" s="37"/>
      <c r="H303" s="37"/>
      <c r="I303" s="37"/>
      <c r="J303" s="37"/>
      <c r="K303" s="37"/>
      <c r="L303" s="37"/>
      <c r="M303" s="38"/>
      <c r="N303" s="38"/>
      <c r="O303" s="38"/>
      <c r="P303" s="36"/>
      <c r="Q303" s="39"/>
    </row>
    <row r="304" spans="1:17" ht="16.5" customHeight="1" x14ac:dyDescent="0.25">
      <c r="A304" s="53"/>
      <c r="B304" s="54" t="s">
        <v>200</v>
      </c>
      <c r="C304" s="53"/>
      <c r="D304" s="55"/>
      <c r="E304" s="53"/>
      <c r="F304" s="51"/>
      <c r="G304" s="37"/>
      <c r="H304" s="37"/>
      <c r="I304" s="37"/>
      <c r="J304" s="37"/>
      <c r="K304" s="37"/>
      <c r="L304" s="37"/>
      <c r="M304" s="38"/>
      <c r="N304" s="38"/>
      <c r="O304" s="38"/>
      <c r="P304" s="36"/>
      <c r="Q304" s="39"/>
    </row>
    <row r="305" spans="1:17" ht="16.5" customHeight="1" x14ac:dyDescent="0.25">
      <c r="A305" s="53"/>
      <c r="B305" s="54" t="s">
        <v>200</v>
      </c>
      <c r="C305" s="53"/>
      <c r="D305" s="55"/>
      <c r="E305" s="53"/>
      <c r="F305" s="51"/>
      <c r="G305" s="37"/>
      <c r="H305" s="37"/>
      <c r="I305" s="37"/>
      <c r="J305" s="37"/>
      <c r="K305" s="37"/>
      <c r="L305" s="37"/>
      <c r="M305" s="38"/>
      <c r="N305" s="38"/>
      <c r="O305" s="38"/>
      <c r="P305" s="36"/>
      <c r="Q305" s="39"/>
    </row>
    <row r="306" spans="1:17" ht="16.5" customHeight="1" x14ac:dyDescent="0.25">
      <c r="A306" s="53"/>
      <c r="B306" s="54" t="s">
        <v>200</v>
      </c>
      <c r="C306" s="53"/>
      <c r="D306" s="55"/>
      <c r="E306" s="53"/>
      <c r="F306" s="51"/>
      <c r="G306" s="37"/>
      <c r="H306" s="37"/>
      <c r="I306" s="37"/>
      <c r="J306" s="37"/>
      <c r="K306" s="37"/>
      <c r="L306" s="37"/>
      <c r="M306" s="38"/>
      <c r="N306" s="38"/>
      <c r="O306" s="38"/>
      <c r="P306" s="36"/>
      <c r="Q306" s="39"/>
    </row>
    <row r="307" spans="1:17" ht="16.5" customHeight="1" x14ac:dyDescent="0.25">
      <c r="A307" s="53"/>
      <c r="B307" s="54" t="s">
        <v>200</v>
      </c>
      <c r="C307" s="53"/>
      <c r="D307" s="55"/>
      <c r="E307" s="53"/>
      <c r="F307" s="51"/>
      <c r="G307" s="37"/>
      <c r="H307" s="37"/>
      <c r="I307" s="37"/>
      <c r="J307" s="37"/>
      <c r="K307" s="37"/>
      <c r="L307" s="37"/>
      <c r="M307" s="38"/>
      <c r="N307" s="38"/>
      <c r="O307" s="38"/>
      <c r="P307" s="36"/>
      <c r="Q307" s="39"/>
    </row>
    <row r="308" spans="1:17" ht="16.5" customHeight="1" x14ac:dyDescent="0.25">
      <c r="A308" s="53"/>
      <c r="B308" s="54" t="s">
        <v>200</v>
      </c>
      <c r="C308" s="53"/>
      <c r="D308" s="55"/>
      <c r="E308" s="53"/>
      <c r="F308" s="51"/>
      <c r="G308" s="37"/>
      <c r="H308" s="37"/>
      <c r="I308" s="37"/>
      <c r="J308" s="37"/>
      <c r="K308" s="37"/>
      <c r="L308" s="37"/>
      <c r="M308" s="38"/>
      <c r="N308" s="38"/>
      <c r="O308" s="38"/>
      <c r="P308" s="36"/>
      <c r="Q308" s="39"/>
    </row>
    <row r="309" spans="1:17" ht="16.5" customHeight="1" x14ac:dyDescent="0.25">
      <c r="A309" s="53"/>
      <c r="B309" s="54" t="s">
        <v>200</v>
      </c>
      <c r="C309" s="53"/>
      <c r="D309" s="55"/>
      <c r="E309" s="53"/>
      <c r="F309" s="51"/>
      <c r="G309" s="37"/>
      <c r="H309" s="37"/>
      <c r="I309" s="37"/>
      <c r="J309" s="37"/>
      <c r="K309" s="37"/>
      <c r="L309" s="37"/>
      <c r="M309" s="38"/>
      <c r="N309" s="38"/>
      <c r="O309" s="38"/>
      <c r="P309" s="36"/>
      <c r="Q309" s="39"/>
    </row>
    <row r="310" spans="1:17" ht="16.5" customHeight="1" x14ac:dyDescent="0.25">
      <c r="A310" s="53"/>
      <c r="B310" s="54" t="s">
        <v>200</v>
      </c>
      <c r="C310" s="53"/>
      <c r="D310" s="55"/>
      <c r="E310" s="53"/>
      <c r="F310" s="51"/>
      <c r="G310" s="37"/>
      <c r="H310" s="37"/>
      <c r="I310" s="37"/>
      <c r="J310" s="37"/>
      <c r="K310" s="37"/>
      <c r="L310" s="37"/>
      <c r="M310" s="38"/>
      <c r="N310" s="38"/>
      <c r="O310" s="38"/>
      <c r="P310" s="36"/>
      <c r="Q310" s="39"/>
    </row>
    <row r="311" spans="1:17" ht="16.5" customHeight="1" x14ac:dyDescent="0.25">
      <c r="A311" s="53"/>
      <c r="B311" s="54" t="s">
        <v>200</v>
      </c>
      <c r="C311" s="53"/>
      <c r="D311" s="55"/>
      <c r="E311" s="53"/>
      <c r="F311" s="51"/>
      <c r="G311" s="37"/>
      <c r="H311" s="37"/>
      <c r="I311" s="37"/>
      <c r="J311" s="37"/>
      <c r="K311" s="37"/>
      <c r="L311" s="37"/>
      <c r="M311" s="38"/>
      <c r="N311" s="38"/>
      <c r="O311" s="38"/>
      <c r="P311" s="36"/>
      <c r="Q311" s="39"/>
    </row>
    <row r="312" spans="1:17" ht="16.5" customHeight="1" x14ac:dyDescent="0.25">
      <c r="A312" s="53"/>
      <c r="B312" s="54" t="s">
        <v>200</v>
      </c>
      <c r="C312" s="53"/>
      <c r="D312" s="55"/>
      <c r="E312" s="53"/>
      <c r="F312" s="51"/>
      <c r="G312" s="37"/>
      <c r="H312" s="37"/>
      <c r="I312" s="37"/>
      <c r="J312" s="37"/>
      <c r="K312" s="37"/>
      <c r="L312" s="37"/>
      <c r="M312" s="38"/>
      <c r="N312" s="38"/>
      <c r="O312" s="38"/>
      <c r="P312" s="36"/>
      <c r="Q312" s="39"/>
    </row>
    <row r="313" spans="1:17" ht="16.5" customHeight="1" x14ac:dyDescent="0.25">
      <c r="A313" s="53"/>
      <c r="B313" s="54" t="s">
        <v>200</v>
      </c>
      <c r="C313" s="53"/>
      <c r="D313" s="55"/>
      <c r="E313" s="53"/>
      <c r="F313" s="51"/>
      <c r="G313" s="37"/>
      <c r="H313" s="37"/>
      <c r="I313" s="37"/>
      <c r="J313" s="37"/>
      <c r="K313" s="37"/>
      <c r="L313" s="37"/>
      <c r="M313" s="38"/>
      <c r="N313" s="38"/>
      <c r="O313" s="38"/>
      <c r="P313" s="36"/>
      <c r="Q313" s="39"/>
    </row>
    <row r="314" spans="1:17" ht="16.5" customHeight="1" x14ac:dyDescent="0.25">
      <c r="A314" s="53"/>
      <c r="B314" s="54" t="s">
        <v>200</v>
      </c>
      <c r="C314" s="53"/>
      <c r="D314" s="55"/>
      <c r="E314" s="53"/>
      <c r="F314" s="51"/>
      <c r="G314" s="37"/>
      <c r="H314" s="37"/>
      <c r="I314" s="37"/>
      <c r="J314" s="37"/>
      <c r="K314" s="37"/>
      <c r="L314" s="37"/>
      <c r="M314" s="38"/>
      <c r="N314" s="38"/>
      <c r="O314" s="38"/>
      <c r="P314" s="36"/>
      <c r="Q314" s="39"/>
    </row>
    <row r="315" spans="1:17" ht="16.5" customHeight="1" x14ac:dyDescent="0.25">
      <c r="A315" s="53"/>
      <c r="B315" s="54" t="s">
        <v>200</v>
      </c>
      <c r="C315" s="53"/>
      <c r="D315" s="55"/>
      <c r="E315" s="53"/>
      <c r="F315" s="51"/>
      <c r="G315" s="37"/>
      <c r="H315" s="37"/>
      <c r="I315" s="37"/>
      <c r="J315" s="37"/>
      <c r="K315" s="37"/>
      <c r="L315" s="37"/>
      <c r="M315" s="38"/>
      <c r="N315" s="38"/>
      <c r="O315" s="38"/>
      <c r="P315" s="36"/>
      <c r="Q315" s="39"/>
    </row>
    <row r="316" spans="1:17" ht="16.5" customHeight="1" x14ac:dyDescent="0.25">
      <c r="A316" s="53"/>
      <c r="B316" s="54" t="s">
        <v>200</v>
      </c>
      <c r="C316" s="53"/>
      <c r="D316" s="55"/>
      <c r="E316" s="53"/>
      <c r="F316" s="51"/>
      <c r="G316" s="37"/>
      <c r="H316" s="37"/>
      <c r="I316" s="37"/>
      <c r="J316" s="37"/>
      <c r="K316" s="37"/>
      <c r="L316" s="37"/>
      <c r="M316" s="38"/>
      <c r="N316" s="38"/>
      <c r="O316" s="38"/>
      <c r="P316" s="36"/>
      <c r="Q316" s="39"/>
    </row>
    <row r="317" spans="1:17" ht="16.5" customHeight="1" x14ac:dyDescent="0.25">
      <c r="A317" s="53"/>
      <c r="B317" s="54" t="s">
        <v>200</v>
      </c>
      <c r="C317" s="53"/>
      <c r="D317" s="55"/>
      <c r="E317" s="53"/>
      <c r="F317" s="51"/>
      <c r="G317" s="37"/>
      <c r="H317" s="37"/>
      <c r="I317" s="37"/>
      <c r="J317" s="37"/>
      <c r="K317" s="37"/>
      <c r="L317" s="37"/>
      <c r="M317" s="38"/>
      <c r="N317" s="38"/>
      <c r="O317" s="38"/>
      <c r="P317" s="36"/>
      <c r="Q317" s="39"/>
    </row>
    <row r="318" spans="1:17" ht="16.5" customHeight="1" x14ac:dyDescent="0.25">
      <c r="A318" s="53"/>
      <c r="B318" s="54" t="s">
        <v>200</v>
      </c>
      <c r="C318" s="53"/>
      <c r="D318" s="55"/>
      <c r="E318" s="53"/>
      <c r="F318" s="51"/>
      <c r="G318" s="37"/>
      <c r="H318" s="37"/>
      <c r="I318" s="37"/>
      <c r="J318" s="37"/>
      <c r="K318" s="37"/>
      <c r="L318" s="37"/>
      <c r="M318" s="38"/>
      <c r="N318" s="38"/>
      <c r="O318" s="38"/>
      <c r="P318" s="36"/>
      <c r="Q318" s="39"/>
    </row>
    <row r="319" spans="1:17" ht="16.5" customHeight="1" x14ac:dyDescent="0.25">
      <c r="A319" s="53"/>
      <c r="B319" s="54" t="s">
        <v>200</v>
      </c>
      <c r="C319" s="53"/>
      <c r="D319" s="55"/>
      <c r="E319" s="53"/>
      <c r="F319" s="51"/>
      <c r="G319" s="37"/>
      <c r="H319" s="37"/>
      <c r="I319" s="37"/>
      <c r="J319" s="37"/>
      <c r="K319" s="37"/>
      <c r="L319" s="37"/>
      <c r="M319" s="38"/>
      <c r="N319" s="38"/>
      <c r="O319" s="38"/>
      <c r="P319" s="36"/>
      <c r="Q319" s="39"/>
    </row>
    <row r="320" spans="1:17" ht="16.5" customHeight="1" x14ac:dyDescent="0.25">
      <c r="A320" s="53"/>
      <c r="B320" s="54" t="s">
        <v>200</v>
      </c>
      <c r="C320" s="53"/>
      <c r="D320" s="55"/>
      <c r="E320" s="53"/>
      <c r="F320" s="51"/>
      <c r="G320" s="37"/>
      <c r="H320" s="37"/>
      <c r="I320" s="37"/>
      <c r="J320" s="37"/>
      <c r="K320" s="37"/>
      <c r="L320" s="37"/>
      <c r="M320" s="38"/>
      <c r="N320" s="38"/>
      <c r="O320" s="38"/>
      <c r="P320" s="36"/>
      <c r="Q320" s="39"/>
    </row>
    <row r="321" spans="1:17" ht="16.5" customHeight="1" x14ac:dyDescent="0.25">
      <c r="A321" s="53"/>
      <c r="B321" s="54" t="s">
        <v>200</v>
      </c>
      <c r="C321" s="53"/>
      <c r="D321" s="55"/>
      <c r="E321" s="53"/>
      <c r="F321" s="51"/>
      <c r="G321" s="37"/>
      <c r="H321" s="37"/>
      <c r="I321" s="37"/>
      <c r="J321" s="37"/>
      <c r="K321" s="37"/>
      <c r="L321" s="37"/>
      <c r="M321" s="38"/>
      <c r="N321" s="38"/>
      <c r="O321" s="38"/>
      <c r="P321" s="36"/>
      <c r="Q321" s="39"/>
    </row>
    <row r="322" spans="1:17" ht="16.5" customHeight="1" x14ac:dyDescent="0.25">
      <c r="A322" s="53"/>
      <c r="B322" s="54" t="s">
        <v>200</v>
      </c>
      <c r="C322" s="53"/>
      <c r="D322" s="55"/>
      <c r="E322" s="53"/>
      <c r="F322" s="51"/>
      <c r="G322" s="37"/>
      <c r="H322" s="37"/>
      <c r="I322" s="37"/>
      <c r="J322" s="37"/>
      <c r="K322" s="37"/>
      <c r="L322" s="37"/>
      <c r="M322" s="38"/>
      <c r="N322" s="38"/>
      <c r="O322" s="38"/>
      <c r="P322" s="36"/>
      <c r="Q322" s="39"/>
    </row>
    <row r="323" spans="1:17" ht="16.5" customHeight="1" x14ac:dyDescent="0.25">
      <c r="A323" s="53"/>
      <c r="B323" s="54" t="s">
        <v>200</v>
      </c>
      <c r="C323" s="53"/>
      <c r="D323" s="55"/>
      <c r="E323" s="53"/>
      <c r="F323" s="51"/>
      <c r="G323" s="37"/>
      <c r="H323" s="37"/>
      <c r="I323" s="37"/>
      <c r="J323" s="37"/>
      <c r="K323" s="37"/>
      <c r="L323" s="37"/>
      <c r="M323" s="38"/>
      <c r="N323" s="38"/>
      <c r="O323" s="38"/>
      <c r="P323" s="36"/>
      <c r="Q323" s="39"/>
    </row>
    <row r="324" spans="1:17" ht="16.5" customHeight="1" x14ac:dyDescent="0.25">
      <c r="A324" s="53"/>
      <c r="B324" s="54" t="s">
        <v>200</v>
      </c>
      <c r="C324" s="53"/>
      <c r="D324" s="55"/>
      <c r="E324" s="53"/>
      <c r="F324" s="51"/>
      <c r="G324" s="37"/>
      <c r="H324" s="37"/>
      <c r="I324" s="37"/>
      <c r="J324" s="37"/>
      <c r="K324" s="37"/>
      <c r="L324" s="37"/>
      <c r="M324" s="38"/>
      <c r="N324" s="38"/>
      <c r="O324" s="38"/>
      <c r="P324" s="36"/>
      <c r="Q324" s="39"/>
    </row>
    <row r="325" spans="1:17" ht="16.5" customHeight="1" x14ac:dyDescent="0.25">
      <c r="A325" s="53"/>
      <c r="B325" s="54" t="s">
        <v>200</v>
      </c>
      <c r="C325" s="53"/>
      <c r="D325" s="55"/>
      <c r="E325" s="53"/>
      <c r="F325" s="51"/>
      <c r="G325" s="37"/>
      <c r="H325" s="37"/>
      <c r="I325" s="37"/>
      <c r="J325" s="37"/>
      <c r="K325" s="37"/>
      <c r="L325" s="37"/>
      <c r="M325" s="38"/>
      <c r="N325" s="38"/>
      <c r="O325" s="38"/>
      <c r="P325" s="36"/>
      <c r="Q325" s="39"/>
    </row>
    <row r="326" spans="1:17" ht="16.5" customHeight="1" x14ac:dyDescent="0.25">
      <c r="A326" s="53"/>
      <c r="B326" s="54" t="s">
        <v>200</v>
      </c>
      <c r="C326" s="53"/>
      <c r="D326" s="55"/>
      <c r="E326" s="53"/>
      <c r="F326" s="51"/>
      <c r="G326" s="37"/>
      <c r="H326" s="37"/>
      <c r="I326" s="37"/>
      <c r="J326" s="37"/>
      <c r="K326" s="37"/>
      <c r="L326" s="37"/>
      <c r="M326" s="38"/>
      <c r="N326" s="38"/>
      <c r="O326" s="38"/>
      <c r="P326" s="36"/>
      <c r="Q326" s="39"/>
    </row>
    <row r="327" spans="1:17" ht="16.5" customHeight="1" x14ac:dyDescent="0.25">
      <c r="A327" s="53"/>
      <c r="B327" s="54" t="s">
        <v>200</v>
      </c>
      <c r="C327" s="53"/>
      <c r="D327" s="55"/>
      <c r="E327" s="53"/>
      <c r="F327" s="51"/>
      <c r="G327" s="37"/>
      <c r="H327" s="37"/>
      <c r="I327" s="37"/>
      <c r="J327" s="37"/>
      <c r="K327" s="37"/>
      <c r="L327" s="37"/>
      <c r="M327" s="38"/>
      <c r="N327" s="38"/>
      <c r="O327" s="38"/>
      <c r="P327" s="36"/>
      <c r="Q327" s="39"/>
    </row>
    <row r="328" spans="1:17" ht="16.5" customHeight="1" x14ac:dyDescent="0.25">
      <c r="A328" s="53"/>
      <c r="B328" s="54" t="s">
        <v>200</v>
      </c>
      <c r="C328" s="53"/>
      <c r="D328" s="55"/>
      <c r="E328" s="53"/>
      <c r="F328" s="51"/>
      <c r="G328" s="37"/>
      <c r="H328" s="37"/>
      <c r="I328" s="37"/>
      <c r="J328" s="37"/>
      <c r="K328" s="37"/>
      <c r="L328" s="37"/>
      <c r="M328" s="38"/>
      <c r="N328" s="38"/>
      <c r="O328" s="38"/>
      <c r="P328" s="36"/>
      <c r="Q328" s="39"/>
    </row>
    <row r="329" spans="1:17" ht="16.5" customHeight="1" x14ac:dyDescent="0.25">
      <c r="A329" s="53"/>
      <c r="B329" s="54" t="s">
        <v>200</v>
      </c>
      <c r="C329" s="53"/>
      <c r="D329" s="55"/>
      <c r="E329" s="53"/>
      <c r="F329" s="51"/>
      <c r="G329" s="37"/>
      <c r="H329" s="37"/>
      <c r="I329" s="37"/>
      <c r="J329" s="37"/>
      <c r="K329" s="37"/>
      <c r="L329" s="37"/>
      <c r="M329" s="38"/>
      <c r="N329" s="38"/>
      <c r="O329" s="38"/>
      <c r="P329" s="36"/>
      <c r="Q329" s="39"/>
    </row>
    <row r="330" spans="1:17" ht="16.5" customHeight="1" x14ac:dyDescent="0.25">
      <c r="A330" s="53"/>
      <c r="B330" s="54" t="s">
        <v>200</v>
      </c>
      <c r="C330" s="53"/>
      <c r="D330" s="55"/>
      <c r="E330" s="53"/>
      <c r="F330" s="51"/>
      <c r="G330" s="37"/>
      <c r="H330" s="37"/>
      <c r="I330" s="37"/>
      <c r="J330" s="37"/>
      <c r="K330" s="37"/>
      <c r="L330" s="37"/>
      <c r="M330" s="38"/>
      <c r="N330" s="38"/>
      <c r="O330" s="38"/>
      <c r="P330" s="36"/>
      <c r="Q330" s="39"/>
    </row>
    <row r="331" spans="1:17" ht="16.5" customHeight="1" x14ac:dyDescent="0.25">
      <c r="A331" s="53"/>
      <c r="B331" s="54" t="s">
        <v>200</v>
      </c>
      <c r="C331" s="53"/>
      <c r="D331" s="55"/>
      <c r="E331" s="53"/>
      <c r="F331" s="51"/>
      <c r="G331" s="37"/>
      <c r="H331" s="37"/>
      <c r="I331" s="37"/>
      <c r="J331" s="37"/>
      <c r="K331" s="37"/>
      <c r="L331" s="37"/>
      <c r="M331" s="38"/>
      <c r="N331" s="38"/>
      <c r="O331" s="38"/>
      <c r="P331" s="36"/>
      <c r="Q331" s="39"/>
    </row>
    <row r="332" spans="1:17" ht="16.5" customHeight="1" x14ac:dyDescent="0.25">
      <c r="A332" s="53"/>
      <c r="B332" s="54" t="s">
        <v>200</v>
      </c>
      <c r="C332" s="53"/>
      <c r="D332" s="55"/>
      <c r="E332" s="53"/>
      <c r="F332" s="51"/>
      <c r="G332" s="37"/>
      <c r="H332" s="37"/>
      <c r="I332" s="37"/>
      <c r="J332" s="37"/>
      <c r="K332" s="37"/>
      <c r="L332" s="37"/>
      <c r="M332" s="38"/>
      <c r="N332" s="38"/>
      <c r="O332" s="38"/>
      <c r="P332" s="36"/>
      <c r="Q332" s="39"/>
    </row>
    <row r="333" spans="1:17" ht="16.5" customHeight="1" x14ac:dyDescent="0.25">
      <c r="A333" s="53"/>
      <c r="B333" s="54" t="s">
        <v>200</v>
      </c>
      <c r="C333" s="53"/>
      <c r="D333" s="55"/>
      <c r="E333" s="53"/>
      <c r="F333" s="51"/>
      <c r="G333" s="37"/>
      <c r="H333" s="37"/>
      <c r="I333" s="37"/>
      <c r="J333" s="37"/>
      <c r="K333" s="37"/>
      <c r="L333" s="37"/>
      <c r="M333" s="38"/>
      <c r="N333" s="38"/>
      <c r="O333" s="38"/>
      <c r="P333" s="36"/>
      <c r="Q333" s="39"/>
    </row>
    <row r="334" spans="1:17" ht="16.5" customHeight="1" x14ac:dyDescent="0.25">
      <c r="A334" s="53"/>
      <c r="B334" s="54" t="s">
        <v>200</v>
      </c>
      <c r="C334" s="53"/>
      <c r="D334" s="55"/>
      <c r="E334" s="53"/>
      <c r="F334" s="51"/>
      <c r="G334" s="37"/>
      <c r="H334" s="37"/>
      <c r="I334" s="37"/>
      <c r="J334" s="37"/>
      <c r="K334" s="37"/>
      <c r="L334" s="37"/>
      <c r="M334" s="38"/>
      <c r="N334" s="38"/>
      <c r="O334" s="38"/>
      <c r="P334" s="36"/>
      <c r="Q334" s="39"/>
    </row>
    <row r="335" spans="1:17" ht="16.5" customHeight="1" x14ac:dyDescent="0.25">
      <c r="A335" s="53"/>
      <c r="B335" s="54" t="s">
        <v>200</v>
      </c>
      <c r="C335" s="53"/>
      <c r="D335" s="55"/>
      <c r="E335" s="53"/>
      <c r="F335" s="51"/>
      <c r="G335" s="37"/>
      <c r="H335" s="37"/>
      <c r="I335" s="37"/>
      <c r="J335" s="37"/>
      <c r="K335" s="37"/>
      <c r="L335" s="37"/>
      <c r="M335" s="38"/>
      <c r="N335" s="38"/>
      <c r="O335" s="38"/>
      <c r="P335" s="36"/>
      <c r="Q335" s="39"/>
    </row>
    <row r="336" spans="1:17" ht="16.5" customHeight="1" x14ac:dyDescent="0.25">
      <c r="A336" s="53"/>
      <c r="B336" s="54" t="s">
        <v>200</v>
      </c>
      <c r="C336" s="53"/>
      <c r="D336" s="55"/>
      <c r="E336" s="53"/>
      <c r="F336" s="51"/>
      <c r="G336" s="37"/>
      <c r="H336" s="37"/>
      <c r="I336" s="37"/>
      <c r="J336" s="37"/>
      <c r="K336" s="37"/>
      <c r="L336" s="37"/>
      <c r="M336" s="38"/>
      <c r="N336" s="38"/>
      <c r="O336" s="38"/>
      <c r="P336" s="36"/>
      <c r="Q336" s="39"/>
    </row>
    <row r="337" spans="1:17" ht="16.5" customHeight="1" x14ac:dyDescent="0.25">
      <c r="A337" s="53"/>
      <c r="B337" s="54" t="s">
        <v>200</v>
      </c>
      <c r="C337" s="53"/>
      <c r="D337" s="55"/>
      <c r="E337" s="53"/>
      <c r="F337" s="51"/>
      <c r="G337" s="37"/>
      <c r="H337" s="37"/>
      <c r="I337" s="37"/>
      <c r="J337" s="37"/>
      <c r="K337" s="37"/>
      <c r="L337" s="37"/>
      <c r="M337" s="38"/>
      <c r="N337" s="38"/>
      <c r="O337" s="38"/>
      <c r="P337" s="36"/>
      <c r="Q337" s="39"/>
    </row>
    <row r="338" spans="1:17" ht="16.5" customHeight="1" x14ac:dyDescent="0.25">
      <c r="A338" s="53"/>
      <c r="B338" s="54" t="s">
        <v>200</v>
      </c>
      <c r="C338" s="53"/>
      <c r="D338" s="55"/>
      <c r="E338" s="53"/>
      <c r="F338" s="51"/>
      <c r="G338" s="37"/>
      <c r="H338" s="37"/>
      <c r="I338" s="37"/>
      <c r="J338" s="37"/>
      <c r="K338" s="37"/>
      <c r="L338" s="37"/>
      <c r="M338" s="38"/>
      <c r="N338" s="38"/>
      <c r="O338" s="38"/>
      <c r="P338" s="36"/>
      <c r="Q338" s="39"/>
    </row>
  </sheetData>
  <mergeCells count="10">
    <mergeCell ref="A130:Q130"/>
    <mergeCell ref="A172:Q172"/>
    <mergeCell ref="A214:Q214"/>
    <mergeCell ref="A256:Q256"/>
    <mergeCell ref="A298:Q298"/>
    <mergeCell ref="A1:Q1"/>
    <mergeCell ref="A4:Q4"/>
    <mergeCell ref="A46:Q46"/>
    <mergeCell ref="A88:Q88"/>
    <mergeCell ref="F2:M2"/>
  </mergeCells>
  <conditionalFormatting sqref="F6:L45">
    <cfRule type="expression" dxfId="119" priority="2">
      <formula>EXACT(F6,"PSS")</formula>
    </cfRule>
    <cfRule type="expression" dxfId="118" priority="3">
      <formula>EXACT(F6,"PCS")</formula>
    </cfRule>
    <cfRule type="expression" dxfId="117" priority="4">
      <formula>EXACT(F6,"FL")</formula>
    </cfRule>
    <cfRule type="expression" dxfId="116" priority="5">
      <formula>EXACT(F6,"DL")</formula>
    </cfRule>
    <cfRule type="expression" dxfId="115" priority="6">
      <formula>EXACT(F6,"FE")</formula>
    </cfRule>
    <cfRule type="expression" dxfId="114" priority="7">
      <formula>EXACT(F6,"NI")</formula>
    </cfRule>
    <cfRule type="expression" dxfId="113" priority="8">
      <formula>EXACT(F6,"OT")</formula>
    </cfRule>
    <cfRule type="expression" dxfId="112" priority="9">
      <formula>EXACT(F6,"A")</formula>
    </cfRule>
    <cfRule type="expression" dxfId="111" priority="10">
      <formula>EXACT(F6,"D")</formula>
    </cfRule>
    <cfRule type="expression" dxfId="110" priority="11">
      <formula>EXACT(F6,"F")</formula>
    </cfRule>
    <cfRule type="expression" dxfId="109" priority="12">
      <formula>EXACT(F6,"V")</formula>
    </cfRule>
    <cfRule type="expression" dxfId="108" priority="13">
      <formula>EXACT(F6,"I")</formula>
    </cfRule>
    <cfRule type="expression" dxfId="107" priority="14">
      <formula>EXACT(F6,"B")</formula>
    </cfRule>
    <cfRule type="expression" dxfId="106" priority="15">
      <formula>EXACT(F6,"R")</formula>
    </cfRule>
    <cfRule type="expression" dxfId="105" priority="16">
      <formula>EXACT(F6,"S")</formula>
    </cfRule>
  </conditionalFormatting>
  <conditionalFormatting sqref="F48:L87">
    <cfRule type="expression" dxfId="104" priority="17">
      <formula>EXACT(F48,"PSS")</formula>
    </cfRule>
    <cfRule type="expression" dxfId="103" priority="18">
      <formula>EXACT(F48,"PCS")</formula>
    </cfRule>
    <cfRule type="expression" dxfId="102" priority="19">
      <formula>EXACT(F48,"FL")</formula>
    </cfRule>
    <cfRule type="expression" dxfId="101" priority="20">
      <formula>EXACT(F48,"DL")</formula>
    </cfRule>
    <cfRule type="expression" dxfId="100" priority="21">
      <formula>EXACT(F48,"FE")</formula>
    </cfRule>
    <cfRule type="expression" dxfId="99" priority="22">
      <formula>EXACT(F48,"NI")</formula>
    </cfRule>
    <cfRule type="expression" dxfId="98" priority="23">
      <formula>EXACT(F48,"OT")</formula>
    </cfRule>
    <cfRule type="expression" dxfId="97" priority="24">
      <formula>EXACT(F48,"A")</formula>
    </cfRule>
    <cfRule type="expression" dxfId="96" priority="25">
      <formula>EXACT(F48,"D")</formula>
    </cfRule>
    <cfRule type="expression" dxfId="95" priority="26">
      <formula>EXACT(F48,"F")</formula>
    </cfRule>
    <cfRule type="expression" dxfId="94" priority="27">
      <formula>EXACT(F48,"V")</formula>
    </cfRule>
    <cfRule type="expression" dxfId="93" priority="28">
      <formula>EXACT(F48,"I")</formula>
    </cfRule>
    <cfRule type="expression" dxfId="92" priority="29">
      <formula>EXACT(F48,"B")</formula>
    </cfRule>
    <cfRule type="expression" dxfId="91" priority="30">
      <formula>EXACT(F48,"R")</formula>
    </cfRule>
    <cfRule type="expression" dxfId="90" priority="31">
      <formula>EXACT(F48,"S")</formula>
    </cfRule>
  </conditionalFormatting>
  <conditionalFormatting sqref="F90:L129">
    <cfRule type="expression" dxfId="89" priority="32">
      <formula>EXACT(F90,"PSS")</formula>
    </cfRule>
    <cfRule type="expression" dxfId="88" priority="33">
      <formula>EXACT(F90,"PCS")</formula>
    </cfRule>
    <cfRule type="expression" dxfId="87" priority="34">
      <formula>EXACT(F90,"FL")</formula>
    </cfRule>
    <cfRule type="expression" dxfId="86" priority="35">
      <formula>EXACT(F90,"DL")</formula>
    </cfRule>
    <cfRule type="expression" dxfId="85" priority="36">
      <formula>EXACT(F90,"FE")</formula>
    </cfRule>
    <cfRule type="expression" dxfId="84" priority="37">
      <formula>EXACT(F90,"NI")</formula>
    </cfRule>
    <cfRule type="expression" dxfId="83" priority="38">
      <formula>EXACT(F90,"OT")</formula>
    </cfRule>
    <cfRule type="expression" dxfId="82" priority="39">
      <formula>EXACT(F90,"A")</formula>
    </cfRule>
    <cfRule type="expression" dxfId="81" priority="40">
      <formula>EXACT(F90,"D")</formula>
    </cfRule>
    <cfRule type="expression" dxfId="80" priority="41">
      <formula>EXACT(F90,"F")</formula>
    </cfRule>
    <cfRule type="expression" dxfId="79" priority="42">
      <formula>EXACT(F90,"V")</formula>
    </cfRule>
    <cfRule type="expression" dxfId="78" priority="43">
      <formula>EXACT(F90,"I")</formula>
    </cfRule>
    <cfRule type="expression" dxfId="77" priority="44">
      <formula>EXACT(F90,"B")</formula>
    </cfRule>
    <cfRule type="expression" dxfId="76" priority="45">
      <formula>EXACT(F90,"R")</formula>
    </cfRule>
    <cfRule type="expression" dxfId="75" priority="46">
      <formula>EXACT(F90,"S")</formula>
    </cfRule>
  </conditionalFormatting>
  <conditionalFormatting sqref="F132:L171">
    <cfRule type="expression" dxfId="74" priority="47">
      <formula>EXACT(F132,"PSS")</formula>
    </cfRule>
    <cfRule type="expression" dxfId="73" priority="48">
      <formula>EXACT(F132,"PCS")</formula>
    </cfRule>
    <cfRule type="expression" dxfId="72" priority="49">
      <formula>EXACT(F132,"FL")</formula>
    </cfRule>
    <cfRule type="expression" dxfId="71" priority="50">
      <formula>EXACT(F132,"DL")</formula>
    </cfRule>
    <cfRule type="expression" dxfId="70" priority="51">
      <formula>EXACT(F132,"FE")</formula>
    </cfRule>
    <cfRule type="expression" dxfId="69" priority="52">
      <formula>EXACT(F132,"NI")</formula>
    </cfRule>
    <cfRule type="expression" dxfId="68" priority="53">
      <formula>EXACT(F132,"OT")</formula>
    </cfRule>
    <cfRule type="expression" dxfId="67" priority="54">
      <formula>EXACT(F132,"A")</formula>
    </cfRule>
    <cfRule type="expression" dxfId="66" priority="55">
      <formula>EXACT(F132,"D")</formula>
    </cfRule>
    <cfRule type="expression" dxfId="65" priority="56">
      <formula>EXACT(F132,"F")</formula>
    </cfRule>
    <cfRule type="expression" dxfId="64" priority="57">
      <formula>EXACT(F132,"V")</formula>
    </cfRule>
    <cfRule type="expression" dxfId="63" priority="58">
      <formula>EXACT(F132,"I")</formula>
    </cfRule>
    <cfRule type="expression" dxfId="62" priority="59">
      <formula>EXACT(F132,"B")</formula>
    </cfRule>
    <cfRule type="expression" dxfId="61" priority="60">
      <formula>EXACT(F132,"R")</formula>
    </cfRule>
    <cfRule type="expression" dxfId="60" priority="61">
      <formula>EXACT(F132,"S")</formula>
    </cfRule>
  </conditionalFormatting>
  <conditionalFormatting sqref="F174:L213">
    <cfRule type="expression" dxfId="59" priority="62">
      <formula>EXACT(F174,"PSS")</formula>
    </cfRule>
    <cfRule type="expression" dxfId="58" priority="63">
      <formula>EXACT(F174,"PCS")</formula>
    </cfRule>
    <cfRule type="expression" dxfId="57" priority="64">
      <formula>EXACT(F174,"FL")</formula>
    </cfRule>
    <cfRule type="expression" dxfId="56" priority="65">
      <formula>EXACT(F174,"DL")</formula>
    </cfRule>
    <cfRule type="expression" dxfId="55" priority="66">
      <formula>EXACT(F174,"FE")</formula>
    </cfRule>
    <cfRule type="expression" dxfId="54" priority="67">
      <formula>EXACT(F174,"NI")</formula>
    </cfRule>
    <cfRule type="expression" dxfId="53" priority="68">
      <formula>EXACT(F174,"OT")</formula>
    </cfRule>
    <cfRule type="expression" dxfId="52" priority="69">
      <formula>EXACT(F174,"A")</formula>
    </cfRule>
    <cfRule type="expression" dxfId="51" priority="70">
      <formula>EXACT(F174,"D")</formula>
    </cfRule>
    <cfRule type="expression" dxfId="50" priority="71">
      <formula>EXACT(F174,"F")</formula>
    </cfRule>
    <cfRule type="expression" dxfId="49" priority="72">
      <formula>EXACT(F174,"V")</formula>
    </cfRule>
    <cfRule type="expression" dxfId="48" priority="73">
      <formula>EXACT(F174,"I")</formula>
    </cfRule>
    <cfRule type="expression" dxfId="47" priority="74">
      <formula>EXACT(F174,"B")</formula>
    </cfRule>
    <cfRule type="expression" dxfId="46" priority="75">
      <formula>EXACT(F174,"R")</formula>
    </cfRule>
    <cfRule type="expression" dxfId="45" priority="76">
      <formula>EXACT(F174,"S")</formula>
    </cfRule>
  </conditionalFormatting>
  <conditionalFormatting sqref="F216:L255">
    <cfRule type="expression" dxfId="44" priority="77">
      <formula>EXACT(F216,"PSS")</formula>
    </cfRule>
    <cfRule type="expression" dxfId="43" priority="78">
      <formula>EXACT(F216,"PCS")</formula>
    </cfRule>
    <cfRule type="expression" dxfId="42" priority="79">
      <formula>EXACT(F216,"FL")</formula>
    </cfRule>
    <cfRule type="expression" dxfId="41" priority="80">
      <formula>EXACT(F216,"DL")</formula>
    </cfRule>
    <cfRule type="expression" dxfId="40" priority="81">
      <formula>EXACT(F216,"FE")</formula>
    </cfRule>
    <cfRule type="expression" dxfId="39" priority="82">
      <formula>EXACT(F216,"NI")</formula>
    </cfRule>
    <cfRule type="expression" dxfId="38" priority="83">
      <formula>EXACT(F216,"OT")</formula>
    </cfRule>
    <cfRule type="expression" dxfId="37" priority="84">
      <formula>EXACT(F216,"A")</formula>
    </cfRule>
    <cfRule type="expression" dxfId="36" priority="85">
      <formula>EXACT(F216,"D")</formula>
    </cfRule>
    <cfRule type="expression" dxfId="35" priority="86">
      <formula>EXACT(F216,"F")</formula>
    </cfRule>
    <cfRule type="expression" dxfId="34" priority="87">
      <formula>EXACT(F216,"V")</formula>
    </cfRule>
    <cfRule type="expression" dxfId="33" priority="88">
      <formula>EXACT(F216,"I")</formula>
    </cfRule>
    <cfRule type="expression" dxfId="32" priority="89">
      <formula>EXACT(F216,"B")</formula>
    </cfRule>
    <cfRule type="expression" dxfId="31" priority="90">
      <formula>EXACT(F216,"R")</formula>
    </cfRule>
    <cfRule type="expression" dxfId="30" priority="91">
      <formula>EXACT(F216,"S")</formula>
    </cfRule>
  </conditionalFormatting>
  <conditionalFormatting sqref="F258:L297">
    <cfRule type="expression" dxfId="29" priority="92">
      <formula>EXACT(F258,"PSS")</formula>
    </cfRule>
    <cfRule type="expression" dxfId="28" priority="93">
      <formula>EXACT(F258,"PCS")</formula>
    </cfRule>
    <cfRule type="expression" dxfId="27" priority="94">
      <formula>EXACT(F258,"FL")</formula>
    </cfRule>
    <cfRule type="expression" dxfId="26" priority="95">
      <formula>EXACT(F258,"DL")</formula>
    </cfRule>
    <cfRule type="expression" dxfId="25" priority="96">
      <formula>EXACT(F258,"FE")</formula>
    </cfRule>
    <cfRule type="expression" dxfId="24" priority="97">
      <formula>EXACT(F258,"NI")</formula>
    </cfRule>
    <cfRule type="expression" dxfId="23" priority="98">
      <formula>EXACT(F258,"OT")</formula>
    </cfRule>
    <cfRule type="expression" dxfId="22" priority="99">
      <formula>EXACT(F258,"A")</formula>
    </cfRule>
    <cfRule type="expression" dxfId="21" priority="100">
      <formula>EXACT(F258,"D")</formula>
    </cfRule>
    <cfRule type="expression" dxfId="20" priority="101">
      <formula>EXACT(F258,"F")</formula>
    </cfRule>
    <cfRule type="expression" dxfId="19" priority="102">
      <formula>EXACT(F258,"V")</formula>
    </cfRule>
    <cfRule type="expression" dxfId="18" priority="103">
      <formula>EXACT(F258,"I")</formula>
    </cfRule>
    <cfRule type="expression" dxfId="17" priority="104">
      <formula>EXACT(F258,"B")</formula>
    </cfRule>
    <cfRule type="expression" dxfId="16" priority="105">
      <formula>EXACT(F258,"R")</formula>
    </cfRule>
    <cfRule type="expression" dxfId="15" priority="106">
      <formula>EXACT(F258,"S")</formula>
    </cfRule>
  </conditionalFormatting>
  <conditionalFormatting sqref="F300:L338">
    <cfRule type="expression" dxfId="14" priority="107">
      <formula>EXACT(F300,"PSS")</formula>
    </cfRule>
    <cfRule type="expression" dxfId="13" priority="108">
      <formula>EXACT(F300,"PCS")</formula>
    </cfRule>
    <cfRule type="expression" dxfId="12" priority="109">
      <formula>EXACT(F300,"FL")</formula>
    </cfRule>
    <cfRule type="expression" dxfId="11" priority="110">
      <formula>EXACT(F300,"DL")</formula>
    </cfRule>
    <cfRule type="expression" dxfId="10" priority="111">
      <formula>EXACT(F300,"FE")</formula>
    </cfRule>
    <cfRule type="expression" dxfId="9" priority="112">
      <formula>EXACT(F300,"NI")</formula>
    </cfRule>
    <cfRule type="expression" dxfId="8" priority="113">
      <formula>EXACT(F300,"OT")</formula>
    </cfRule>
    <cfRule type="expression" dxfId="7" priority="114">
      <formula>EXACT(F300,"A")</formula>
    </cfRule>
    <cfRule type="expression" dxfId="6" priority="115">
      <formula>EXACT(F300,"D")</formula>
    </cfRule>
    <cfRule type="expression" dxfId="5" priority="116">
      <formula>EXACT(F300,"F")</formula>
    </cfRule>
    <cfRule type="expression" dxfId="4" priority="117">
      <formula>EXACT(F300,"V")</formula>
    </cfRule>
    <cfRule type="expression" dxfId="3" priority="118">
      <formula>EXACT(F300,"I")</formula>
    </cfRule>
    <cfRule type="expression" dxfId="2" priority="119">
      <formula>EXACT(F300,"B")</formula>
    </cfRule>
    <cfRule type="expression" dxfId="1" priority="120">
      <formula>EXACT(F300,"R")</formula>
    </cfRule>
    <cfRule type="expression" dxfId="0" priority="121">
      <formula>EXACT(F300,"S")</formula>
    </cfRule>
  </conditionalFormatting>
  <dataValidations count="3">
    <dataValidation type="list" allowBlank="1" sqref="F6:L45 F48:L87 F90:L129 F132:L171 F174:L213 F216:L255 F258:L297 F300:L338" xr:uid="{00000000-0002-0000-0100-000000000000}">
      <formula1>"A,D,F,V,I,PSS,PCS,NI,B,R,S,FE,FL,DL,OT"</formula1>
      <formula2>0</formula2>
    </dataValidation>
    <dataValidation type="list" allowBlank="1" sqref="D6:D45 D48:D87 D90:D129 D132:D171 D174:D213 D216:D255 D258:D297 D300:D338" xr:uid="{00000000-0002-0000-0100-000001000000}">
      <formula1>"DÍA,TARDE,NOCHE,MIXTO,OTRO"</formula1>
      <formula2>0</formula2>
    </dataValidation>
    <dataValidation type="decimal" operator="greaterThanOrEqual" allowBlank="1" sqref="M6:O45 M48:O87 M90:O129 M132:O171 M174:O213 M216:O255 M258:O297 M300:O338" xr:uid="{00000000-0002-0000-0100-000002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Q323"/>
  <sheetViews>
    <sheetView tabSelected="1" topLeftCell="C1" zoomScaleNormal="100" workbookViewId="0">
      <pane ySplit="4" topLeftCell="A5" activePane="bottomLeft" state="frozen"/>
      <selection pane="bottomLeft" activeCell="Q11" sqref="Q11"/>
    </sheetView>
  </sheetViews>
  <sheetFormatPr baseColWidth="10" defaultColWidth="8.7109375" defaultRowHeight="15" x14ac:dyDescent="0.25"/>
  <cols>
    <col min="1" max="1" width="34" customWidth="1"/>
    <col min="2" max="2" width="15" customWidth="1"/>
    <col min="3" max="3" width="13" customWidth="1"/>
    <col min="4" max="4" width="22.42578125" customWidth="1"/>
    <col min="5" max="5" width="30" customWidth="1"/>
    <col min="6" max="12" width="5" customWidth="1"/>
    <col min="13" max="13" width="12" customWidth="1"/>
    <col min="14" max="14" width="13" customWidth="1"/>
    <col min="15" max="15" width="14" customWidth="1"/>
    <col min="16" max="16" width="9" customWidth="1"/>
    <col min="17" max="17" width="11" customWidth="1"/>
    <col min="18" max="20" width="12" customWidth="1"/>
    <col min="21" max="21" width="10" customWidth="1"/>
    <col min="22" max="22" width="14" customWidth="1"/>
    <col min="23" max="23" width="47" customWidth="1"/>
    <col min="25" max="69" width="13" hidden="1" customWidth="1"/>
  </cols>
  <sheetData>
    <row r="1" spans="1:69" ht="27.75" customHeight="1" thickBot="1" x14ac:dyDescent="0.3">
      <c r="A1" s="1" t="s">
        <v>201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69" ht="13.5" customHeight="1" x14ac:dyDescent="0.25">
      <c r="A2" s="30" t="s">
        <v>167</v>
      </c>
      <c r="B2" s="31" t="s">
        <v>168</v>
      </c>
      <c r="C2" s="67"/>
      <c r="D2" s="67"/>
      <c r="E2" s="31" t="s">
        <v>255</v>
      </c>
      <c r="F2" s="50"/>
      <c r="G2" s="50"/>
      <c r="H2" s="50"/>
      <c r="I2" s="50"/>
      <c r="J2" s="50"/>
      <c r="K2" s="50"/>
      <c r="L2" s="50"/>
      <c r="M2" s="50"/>
      <c r="N2" s="68"/>
      <c r="O2" s="68"/>
      <c r="P2" s="68"/>
      <c r="Q2" s="68"/>
      <c r="R2" s="68"/>
      <c r="S2" s="68"/>
      <c r="T2" s="68"/>
      <c r="U2" s="68"/>
      <c r="V2" s="68"/>
      <c r="W2" s="68"/>
    </row>
    <row r="3" spans="1:69" ht="3.75" customHeight="1" x14ac:dyDescent="0.25"/>
    <row r="4" spans="1:69" ht="42" customHeight="1" x14ac:dyDescent="0.25">
      <c r="A4" s="64" t="s">
        <v>254</v>
      </c>
      <c r="B4" s="64" t="s">
        <v>175</v>
      </c>
      <c r="C4" s="64" t="s">
        <v>202</v>
      </c>
      <c r="D4" s="64" t="s">
        <v>203</v>
      </c>
      <c r="E4" s="64" t="s">
        <v>204</v>
      </c>
      <c r="F4" s="65" t="s">
        <v>176</v>
      </c>
      <c r="G4" s="65" t="s">
        <v>177</v>
      </c>
      <c r="H4" s="65" t="s">
        <v>178</v>
      </c>
      <c r="I4" s="65" t="s">
        <v>179</v>
      </c>
      <c r="J4" s="65" t="s">
        <v>180</v>
      </c>
      <c r="K4" s="65" t="s">
        <v>181</v>
      </c>
      <c r="L4" s="65" t="s">
        <v>182</v>
      </c>
      <c r="M4" s="66" t="s">
        <v>205</v>
      </c>
      <c r="N4" s="66" t="s">
        <v>206</v>
      </c>
      <c r="O4" s="66" t="s">
        <v>207</v>
      </c>
      <c r="P4" s="66" t="s">
        <v>183</v>
      </c>
      <c r="Q4" s="66" t="s">
        <v>184</v>
      </c>
      <c r="R4" s="66" t="s">
        <v>185</v>
      </c>
      <c r="S4" s="66" t="s">
        <v>208</v>
      </c>
      <c r="T4" s="66" t="s">
        <v>209</v>
      </c>
      <c r="U4" s="66" t="s">
        <v>94</v>
      </c>
      <c r="V4" s="66" t="s">
        <v>99</v>
      </c>
      <c r="W4" s="66" t="s">
        <v>103</v>
      </c>
      <c r="Y4" s="40" t="s">
        <v>210</v>
      </c>
      <c r="Z4" s="40" t="s">
        <v>211</v>
      </c>
      <c r="AA4" s="40" t="s">
        <v>212</v>
      </c>
      <c r="AB4" s="40" t="s">
        <v>213</v>
      </c>
      <c r="AC4" s="40" t="s">
        <v>214</v>
      </c>
      <c r="AD4" s="40" t="s">
        <v>215</v>
      </c>
      <c r="AE4" s="40" t="s">
        <v>216</v>
      </c>
      <c r="AF4" s="40" t="s">
        <v>217</v>
      </c>
      <c r="AG4" s="40" t="s">
        <v>218</v>
      </c>
      <c r="AH4" s="40" t="s">
        <v>219</v>
      </c>
      <c r="AI4" s="40" t="s">
        <v>220</v>
      </c>
      <c r="AJ4" s="40" t="s">
        <v>221</v>
      </c>
      <c r="AK4" s="40" t="s">
        <v>222</v>
      </c>
      <c r="AL4" s="40" t="s">
        <v>223</v>
      </c>
      <c r="AM4" s="40" t="s">
        <v>224</v>
      </c>
      <c r="AN4" s="40" t="s">
        <v>225</v>
      </c>
      <c r="AO4" s="40" t="s">
        <v>226</v>
      </c>
      <c r="AP4" s="40" t="s">
        <v>227</v>
      </c>
      <c r="AQ4" s="40" t="s">
        <v>228</v>
      </c>
      <c r="AR4" s="40" t="s">
        <v>229</v>
      </c>
      <c r="AS4" s="40" t="s">
        <v>230</v>
      </c>
      <c r="AT4" s="40" t="s">
        <v>231</v>
      </c>
      <c r="AU4" s="40" t="s">
        <v>232</v>
      </c>
      <c r="AV4" s="40" t="s">
        <v>233</v>
      </c>
      <c r="AW4" s="40" t="s">
        <v>234</v>
      </c>
      <c r="AX4" s="40" t="s">
        <v>235</v>
      </c>
      <c r="AY4" s="40" t="s">
        <v>236</v>
      </c>
      <c r="AZ4" s="40" t="s">
        <v>237</v>
      </c>
      <c r="BA4" s="40" t="s">
        <v>238</v>
      </c>
      <c r="BB4" s="40" t="s">
        <v>239</v>
      </c>
      <c r="BC4" s="40" t="s">
        <v>240</v>
      </c>
      <c r="BD4" s="40" t="s">
        <v>241</v>
      </c>
      <c r="BE4" s="40" t="s">
        <v>242</v>
      </c>
      <c r="BF4" s="40" t="s">
        <v>243</v>
      </c>
      <c r="BG4" s="40" t="s">
        <v>66</v>
      </c>
      <c r="BH4" s="40" t="s">
        <v>244</v>
      </c>
      <c r="BI4" s="40" t="s">
        <v>245</v>
      </c>
      <c r="BJ4" s="40" t="s">
        <v>246</v>
      </c>
      <c r="BK4" s="40" t="s">
        <v>247</v>
      </c>
      <c r="BL4" s="40" t="s">
        <v>248</v>
      </c>
      <c r="BM4" s="40" t="s">
        <v>249</v>
      </c>
      <c r="BN4" s="40" t="s">
        <v>250</v>
      </c>
      <c r="BO4" s="40" t="s">
        <v>251</v>
      </c>
      <c r="BP4" s="40" t="s">
        <v>252</v>
      </c>
      <c r="BQ4" s="40" t="s">
        <v>253</v>
      </c>
    </row>
    <row r="5" spans="1:69" ht="15.75" customHeight="1" x14ac:dyDescent="0.25">
      <c r="A5" s="56" t="str">
        <f t="shared" ref="A5:A36" si="0">IF(Y5="","",INDEX($AB$5:$AB$323,Y5))</f>
        <v/>
      </c>
      <c r="B5" s="57" t="str">
        <f t="shared" ref="B5:B36" si="1">IF(Y5="","",INDEX($AD$5:$AD$323,Y5))</f>
        <v/>
      </c>
      <c r="C5" s="57"/>
      <c r="D5" s="57"/>
      <c r="E5" s="56" t="str">
        <f t="shared" ref="E5:E36" si="2">IF($A5="","",_xlfn.TEXTJOIN(" / ",TRUE(),IF(SUMIFS($AP$5:$AP$323,$AA$5:$AA$323,$Z5,$AF$5:$AF$323,"ARMIDA")&gt;0,IFERROR("ARMIDA-"&amp;INDEX($AE$5:$AE$323,MATCH($Z5&amp;"ARMIDA",$AA$5:$AA$323&amp;$AF$5:$AF$323,0)),"ARMIDA"),""),IF(SUMIFS($AP$5:$AP$323,$AA$5:$AA$323,$Z5,$AF$5:$AF$323,"AURIGA")&gt;0,IFERROR("AURIGA-"&amp;INDEX($AE$5:$AE$323,MATCH($Z5&amp;"AURIGA",$AA$5:$AA$323&amp;$AF$5:$AF$323,0)),"AURIGA"),""),IF(SUMIFS($AP$5:$AP$323,$AA$5:$AA$323,$Z5,$AF$5:$AF$323,"AURORA")&gt;0,IFERROR("AURORA-"&amp;INDEX($AE$5:$AE$323,MATCH($Z5&amp;"AURORA",$AA$5:$AA$323&amp;$AF$5:$AF$323,0)),"AURORA"),""),IF(SUMIFS($AP$5:$AP$323,$AA$5:$AA$323,$Z5,$AF$5:$AF$323,"CITICA")&gt;0,IFERROR("CITICA-"&amp;INDEX($AE$5:$AE$323,MATCH($Z5&amp;"CITICA",$AA$5:$AA$323&amp;$AF$5:$AF$323,0)),"CITICA"),""),IF(SUMIFS($AP$5:$AP$323,$AA$5:$AA$323,$Z5,$AF$5:$AF$323,"GM")&gt;0,IFERROR("GM-"&amp;INDEX($AE$5:$AE$323,MATCH($Z5&amp;"GM",$AA$5:$AA$323&amp;$AF$5:$AF$323,0)),"GM"),""),IF(SUMIFS($AP$5:$AP$323,$AA$5:$AA$323,$Z5,$AF$5:$AF$323,"TORRE BALZAK")&gt;0,IFERROR("TORRE BALZAK-"&amp;INDEX($AE$5:$AE$323,MATCH($Z5&amp;"TORRE BALZAK",$AA$5:$AA$323&amp;$AF$5:$AF$323,0)),"TORRE BALZAK"),""),IF(SUMIFS($AP$5:$AP$323,$AA$5:$AA$323,$Z5,$AF$5:$AF$323,"TORRE OLMA")&gt;0,IFERROR("TORRE OLMA-"&amp;INDEX($AE$5:$AE$323,MATCH($Z5&amp;"TORRE OLMA",$AA$5:$AA$323&amp;$AF$5:$AF$323,0)),"TORRE OLMA"),""),IF(SUMIFS($AP$5:$AP$323,$AA$5:$AA$323,$Z5,$AF$5:$AF$323,"OTROS")&gt;0,IFERROR("OTROS-"&amp;INDEX($AE$5:$AE$323,MATCH($Z5&amp;"OTROS",$AA$5:$AA$323&amp;$AF$5:$AF$323,0)),"OTROS"),"")))</f>
        <v/>
      </c>
      <c r="F5" s="58" t="str">
        <f t="shared" ref="F5:F36" si="3">IF($A5="","",IFERROR(INDEX($BK$5:$BK$323,MATCH($Z5,$AA$5:$AA$323,0)),"-"))</f>
        <v/>
      </c>
      <c r="G5" s="59" t="str">
        <f t="shared" ref="G5:G36" si="4">IF($A5="","",IFERROR(INDEX($BL$5:$BL$323,MATCH($Z5,$AA$5:$AA$323,0)),"-"))</f>
        <v/>
      </c>
      <c r="H5" s="59" t="str">
        <f t="shared" ref="H5:H36" si="5">IF($A5="","",IFERROR(INDEX($BM$5:$BM$323,MATCH($Z5,$AA$5:$AA$323,0)),"-"))</f>
        <v/>
      </c>
      <c r="I5" s="59" t="str">
        <f t="shared" ref="I5:I36" si="6">IF($A5="","",IFERROR(INDEX($BN$5:$BN$323,MATCH($Z5,$AA$5:$AA$323,0)),"-"))</f>
        <v/>
      </c>
      <c r="J5" s="59" t="str">
        <f t="shared" ref="J5:J36" si="7">IF($A5="","",IFERROR(INDEX($BO$5:$BO$323,MATCH($Z5,$AA$5:$AA$323,0)),"-"))</f>
        <v/>
      </c>
      <c r="K5" s="59" t="str">
        <f t="shared" ref="K5:K36" si="8">IF($A5="","",IFERROR(INDEX($BP$5:$BP$323,MATCH($Z5,$AA$5:$AA$323,0)),"-"))</f>
        <v/>
      </c>
      <c r="L5" s="59" t="str">
        <f t="shared" ref="L5:L36" si="9">IF($A5="","",IFERROR(INDEX($BQ$5:$BQ$323,MATCH($Z5,$AA$5:$AA$323,0)),"-"))</f>
        <v/>
      </c>
      <c r="M5" s="60" t="str">
        <f t="shared" ref="M5:M36" si="10">IF($A5="","",(--(SUMIF($AA$5:$AA$323,$Z5,$AI$5:$AI$323)&gt;0))+(--(SUMIF($AA$5:$AA$323,$Z5,$AJ$5:$AJ$323)&gt;0))+(--(SUMIF($AA$5:$AA$323,$Z5,$AK$5:$AK$323)&gt;0))+(--(SUMIF($AA$5:$AA$323,$Z5,$AL$5:$AL$323)&gt;0))+(--(SUMIF($AA$5:$AA$323,$Z5,$AM$5:$AM$323)&gt;0))+(--(SUMIF($AA$5:$AA$323,$Z5,$AN$5:$AN$323)&gt;0))+(--(SUMIF($AA$5:$AA$323,$Z5,$AO$5:$AO$323)&gt;0)))</f>
        <v/>
      </c>
      <c r="N5" s="61" t="str">
        <f t="shared" ref="N5:N36" si="11">IF($A5="","",MAX(0,M5-6))</f>
        <v/>
      </c>
      <c r="O5" s="61" t="str">
        <f t="shared" ref="O5:O36" si="12">IF($A5="","",SUMIF($AA$5:$AA$323,$Z5,$AP$5:$AP$323)-M5)</f>
        <v/>
      </c>
      <c r="P5" s="61" t="str">
        <f t="shared" ref="P5:P36" si="13">IF($A5="","",SUMIF($AA$5:$AA$323,$Z5,$BG$5:$BG$323))</f>
        <v/>
      </c>
      <c r="Q5" s="61" t="str">
        <f t="shared" ref="Q5:Q36" si="14">IF($A5="","",SUMIF($AA$5:$AA$323,$Z5,$BH$5:$BH$323))</f>
        <v/>
      </c>
      <c r="R5" s="61" t="str">
        <f t="shared" ref="R5:R36" si="15">IF($A5="","",SUMIF($AA$5:$AA$323,$Z5,$BI$5:$BI$323))</f>
        <v/>
      </c>
      <c r="S5" s="61"/>
      <c r="T5" s="62"/>
      <c r="U5" s="61" t="str">
        <f t="shared" ref="U5:U36" si="16">IF($A5="","",SUMIF($AA$5:$AA$323,$Z5,$BJ$5:$BJ$323))</f>
        <v/>
      </c>
      <c r="V5" s="61"/>
      <c r="W5" s="63" t="str">
        <f t="shared" ref="W5:W36" si="17">IF($A5="","",_xlfn.TEXTJOIN(" | ",TRUE(),IF(N5&gt;0,"+ de 6 días: revisar adicionales",""),IF(O5&gt;0,"Doble evento mismo día: revisar turno/pago",""),IF(SUMIF($AA$5:$AA$323,$Z5,$AX$5:$AX$323)&gt;((--(SUMIF($AA$5:$AA$323,$Z5,$AQ$5:$AQ$323)&gt;0))+(--(SUMIF($AA$5:$AA$323,$Z5,$AR$5:$AR$323)&gt;0))+(--(SUMIF($AA$5:$AA$323,$Z5,$AS$5:$AS$323)&gt;0))+(--(SUMIF($AA$5:$AA$323,$Z5,$AT$5:$AT$323)&gt;0))+(--(SUMIF($AA$5:$AA$323,$Z5,$AU$5:$AU$323)&gt;0))+(--(SUMIF($AA$5:$AA$323,$Z5,$AV$5:$AV$323)&gt;0))+(--(SUMIF($AA$5:$AA$323,$Z5,$AW$5:$AW$323)&gt;0))),"FL múltiple mismo día: revisar pago festivo",""),IF(SUMIF($AA$5:$AA$323,$Z5,$BF$5:$BF$323)&gt;((--(SUMIF($AA$5:$AA$323,$Z5,$AY$5:$AY$323)&gt;0))+(--(SUMIF($AA$5:$AA$323,$Z5,$AZ$5:$AZ$323)&gt;0))+(--(SUMIF($AA$5:$AA$323,$Z5,$BA$5:$BA$323)&gt;0))+(--(SUMIF($AA$5:$AA$323,$Z5,$BB$5:$BB$323)&gt;0))+(--(SUMIF($AA$5:$AA$323,$Z5,$BC$5:$BC$323)&gt;0))+(--(SUMIF($AA$5:$AA$323,$Z5,$BD$5:$BD$323)&gt;0))+(--(SUMIF($AA$5:$AA$323,$Z5,$BE$5:$BE$323)&gt;0))),"DL múltiple mismo día: revisar pago descanso","")))</f>
        <v/>
      </c>
      <c r="Y5" t="str">
        <f>IFERROR(MATCH(1,$AH$5:$AH$323,0),"")</f>
        <v/>
      </c>
      <c r="Z5" t="str">
        <f t="shared" ref="Z5:Z36" si="18">IF(Y5="","",INDEX($AA$5:$AA$323,Y5))</f>
        <v/>
      </c>
      <c r="AA5" t="str">
        <f t="shared" ref="AA5:AA68" si="19">IF(AC5="","","M:"&amp;AC5)</f>
        <v/>
      </c>
      <c r="AB5" t="str">
        <f>IF(Asistencia!A6="","",Asistencia!A6)</f>
        <v/>
      </c>
      <c r="AC5" t="str">
        <f>IF(Asistencia!A6="","",SUBSTITUTE(SUBSTITUTE(SUBSTITUTE(SUBSTITUTE(SUBSTITUTE(SUBSTITUTE(SUBSTITUTE(UPPER(TRIM(Asistencia!A6)),"Á","A"),"É","E"),"Í","I"),"Ó","O"),"Ú","U"),"Ñ","N"),"  "," "))</f>
        <v/>
      </c>
      <c r="AD5" t="str">
        <f>IF(Asistencia!E6="","",Asistencia!E6)</f>
        <v/>
      </c>
      <c r="AE5" t="str">
        <f>IF(Asistencia!D6="","",UPPER(TRIM(Asistencia!D6)))</f>
        <v/>
      </c>
      <c r="AF5" t="s">
        <v>186</v>
      </c>
      <c r="AG5">
        <f>IF(AND(AA5&lt;&gt;"",COUNTIF($AA$5:AA5,AA5)=1),1,0)</f>
        <v>0</v>
      </c>
      <c r="AH5" t="str">
        <f>IF(AG5=1,SUM($AG$5:AG5),"")</f>
        <v/>
      </c>
      <c r="AI5">
        <f>IF(OR(EXACT(Asistencia!F6,"A"),EXACT(Asistencia!F6,"R"),EXACT(Asistencia!F6,"DL"),EXACT(Asistencia!F6,"FL"),EXACT(Asistencia!F6,"FE"),EXACT(Asistencia!F6,"PCS"),EXACT(Asistencia!F6,"V")),1,0)</f>
        <v>0</v>
      </c>
      <c r="AJ5">
        <f>IF(OR(EXACT(Asistencia!G6,"A"),EXACT(Asistencia!G6,"R"),EXACT(Asistencia!G6,"DL"),EXACT(Asistencia!G6,"FL"),EXACT(Asistencia!G6,"FE"),EXACT(Asistencia!G6,"PCS"),EXACT(Asistencia!G6,"V")),1,0)</f>
        <v>0</v>
      </c>
      <c r="AK5">
        <f>IF(OR(EXACT(Asistencia!H6,"A"),EXACT(Asistencia!H6,"R"),EXACT(Asistencia!H6,"DL"),EXACT(Asistencia!H6,"FL"),EXACT(Asistencia!H6,"FE"),EXACT(Asistencia!H6,"PCS"),EXACT(Asistencia!H6,"V")),1,0)</f>
        <v>0</v>
      </c>
      <c r="AL5">
        <f>IF(OR(EXACT(Asistencia!I6,"A"),EXACT(Asistencia!I6,"R"),EXACT(Asistencia!I6,"DL"),EXACT(Asistencia!I6,"FL"),EXACT(Asistencia!I6,"FE"),EXACT(Asistencia!I6,"PCS"),EXACT(Asistencia!I6,"V")),1,0)</f>
        <v>0</v>
      </c>
      <c r="AM5">
        <f>IF(OR(EXACT(Asistencia!J6,"A"),EXACT(Asistencia!J6,"R"),EXACT(Asistencia!J6,"DL"),EXACT(Asistencia!J6,"FL"),EXACT(Asistencia!J6,"FE"),EXACT(Asistencia!J6,"PCS"),EXACT(Asistencia!J6,"V")),1,0)</f>
        <v>0</v>
      </c>
      <c r="AN5">
        <f>IF(OR(EXACT(Asistencia!K6,"A"),EXACT(Asistencia!K6,"R"),EXACT(Asistencia!K6,"DL"),EXACT(Asistencia!K6,"FL"),EXACT(Asistencia!K6,"FE"),EXACT(Asistencia!K6,"PCS"),EXACT(Asistencia!K6,"V")),1,0)</f>
        <v>0</v>
      </c>
      <c r="AO5">
        <f>IF(OR(EXACT(Asistencia!L6,"A"),EXACT(Asistencia!L6,"R"),EXACT(Asistencia!L6,"DL"),EXACT(Asistencia!L6,"FL"),EXACT(Asistencia!L6,"FE"),EXACT(Asistencia!L6,"PCS"),EXACT(Asistencia!L6,"V")),1,0)</f>
        <v>0</v>
      </c>
      <c r="AP5">
        <f t="shared" ref="AP5:AP68" si="20">SUM(AI5:AO5)</f>
        <v>0</v>
      </c>
      <c r="AQ5">
        <f>IF(EXACT(Asistencia!F6,"FL"),1,0)</f>
        <v>0</v>
      </c>
      <c r="AR5">
        <f>IF(EXACT(Asistencia!G6,"FL"),1,0)</f>
        <v>0</v>
      </c>
      <c r="AS5">
        <f>IF(EXACT(Asistencia!H6,"FL"),1,0)</f>
        <v>0</v>
      </c>
      <c r="AT5">
        <f>IF(EXACT(Asistencia!I6,"FL"),1,0)</f>
        <v>0</v>
      </c>
      <c r="AU5">
        <f>IF(EXACT(Asistencia!J6,"FL"),1,0)</f>
        <v>0</v>
      </c>
      <c r="AV5">
        <f>IF(EXACT(Asistencia!K6,"FL"),1,0)</f>
        <v>0</v>
      </c>
      <c r="AW5">
        <f>IF(EXACT(Asistencia!L6,"FL"),1,0)</f>
        <v>0</v>
      </c>
      <c r="AX5">
        <f t="shared" ref="AX5:AX68" si="21">SUM(AQ5:AW5)</f>
        <v>0</v>
      </c>
      <c r="AY5">
        <f>IF(EXACT(Asistencia!F6,"DL"),1,0)</f>
        <v>0</v>
      </c>
      <c r="AZ5">
        <f>IF(EXACT(Asistencia!G6,"DL"),1,0)</f>
        <v>0</v>
      </c>
      <c r="BA5">
        <f>IF(EXACT(Asistencia!H6,"DL"),1,0)</f>
        <v>0</v>
      </c>
      <c r="BB5">
        <f>IF(EXACT(Asistencia!I6,"DL"),1,0)</f>
        <v>0</v>
      </c>
      <c r="BC5">
        <f>IF(EXACT(Asistencia!J6,"DL"),1,0)</f>
        <v>0</v>
      </c>
      <c r="BD5">
        <f>IF(EXACT(Asistencia!K6,"DL"),1,0)</f>
        <v>0</v>
      </c>
      <c r="BE5">
        <f>IF(EXACT(Asistencia!L6,"DL"),1,0)</f>
        <v>0</v>
      </c>
      <c r="BF5">
        <f t="shared" ref="BF5:BF68" si="22">SUM(AY5:BE5)</f>
        <v>0</v>
      </c>
      <c r="BG5">
        <f>IF(ISNUMBER(Asistencia!M6),Asistencia!M6,0)</f>
        <v>0</v>
      </c>
      <c r="BH5">
        <f>IF(ISNUMBER(Asistencia!N6),Asistencia!N6,0)</f>
        <v>0</v>
      </c>
      <c r="BI5">
        <f>IF(ISNUMBER(Asistencia!O6),Asistencia!O6,0)</f>
        <v>0</v>
      </c>
      <c r="BJ5">
        <f>IF(ISNUMBER(Asistencia!P6),Asistencia!P6,0)</f>
        <v>0</v>
      </c>
      <c r="BK5" t="str">
        <f>IF(Asistencia!F6="","",Asistencia!F6)</f>
        <v/>
      </c>
      <c r="BL5" t="str">
        <f>IF(Asistencia!G6="","",Asistencia!G6)</f>
        <v/>
      </c>
      <c r="BM5" t="str">
        <f>IF(Asistencia!H6="","",Asistencia!H6)</f>
        <v/>
      </c>
      <c r="BN5" t="str">
        <f>IF(Asistencia!I6="","",Asistencia!I6)</f>
        <v/>
      </c>
      <c r="BO5" t="str">
        <f>IF(Asistencia!J6="","",Asistencia!J6)</f>
        <v/>
      </c>
      <c r="BP5" t="str">
        <f>IF(Asistencia!K6="","",Asistencia!K6)</f>
        <v/>
      </c>
      <c r="BQ5" t="str">
        <f>IF(Asistencia!L6="","",Asistencia!L6)</f>
        <v/>
      </c>
    </row>
    <row r="6" spans="1:69" ht="15.75" customHeight="1" x14ac:dyDescent="0.25">
      <c r="A6" s="46" t="str">
        <f t="shared" si="0"/>
        <v/>
      </c>
      <c r="B6" s="47" t="str">
        <f t="shared" si="1"/>
        <v/>
      </c>
      <c r="C6" s="47"/>
      <c r="D6" s="47"/>
      <c r="E6" s="46" t="str">
        <f t="shared" si="2"/>
        <v/>
      </c>
      <c r="F6" s="45" t="str">
        <f t="shared" si="3"/>
        <v/>
      </c>
      <c r="G6" s="44" t="str">
        <f t="shared" si="4"/>
        <v/>
      </c>
      <c r="H6" s="44" t="str">
        <f t="shared" si="5"/>
        <v/>
      </c>
      <c r="I6" s="44" t="str">
        <f t="shared" si="6"/>
        <v/>
      </c>
      <c r="J6" s="44" t="str">
        <f t="shared" si="7"/>
        <v/>
      </c>
      <c r="K6" s="44" t="str">
        <f t="shared" si="8"/>
        <v/>
      </c>
      <c r="L6" s="44" t="str">
        <f t="shared" si="9"/>
        <v/>
      </c>
      <c r="M6" s="43" t="str">
        <f t="shared" si="10"/>
        <v/>
      </c>
      <c r="N6" s="41" t="str">
        <f t="shared" si="11"/>
        <v/>
      </c>
      <c r="O6" s="41" t="str">
        <f t="shared" si="12"/>
        <v/>
      </c>
      <c r="P6" s="41" t="str">
        <f t="shared" si="13"/>
        <v/>
      </c>
      <c r="Q6" s="41" t="str">
        <f t="shared" si="14"/>
        <v/>
      </c>
      <c r="R6" s="41" t="str">
        <f t="shared" si="15"/>
        <v/>
      </c>
      <c r="S6" s="41"/>
      <c r="T6" s="48"/>
      <c r="U6" s="41" t="str">
        <f t="shared" si="16"/>
        <v/>
      </c>
      <c r="V6" s="41"/>
      <c r="W6" s="42" t="str">
        <f t="shared" si="17"/>
        <v/>
      </c>
      <c r="Y6" t="str">
        <f>IFERROR(MATCH(2,$AH$5:$AH$323,0),"")</f>
        <v/>
      </c>
      <c r="Z6" t="str">
        <f t="shared" si="18"/>
        <v/>
      </c>
      <c r="AA6" t="str">
        <f t="shared" si="19"/>
        <v/>
      </c>
      <c r="AB6" t="str">
        <f>IF(Asistencia!A7="","",Asistencia!A7)</f>
        <v/>
      </c>
      <c r="AC6" t="str">
        <f>IF(Asistencia!A7="","",SUBSTITUTE(SUBSTITUTE(SUBSTITUTE(SUBSTITUTE(SUBSTITUTE(SUBSTITUTE(SUBSTITUTE(UPPER(TRIM(Asistencia!A7)),"Á","A"),"É","E"),"Í","I"),"Ó","O"),"Ú","U"),"Ñ","N"),"  "," "))</f>
        <v/>
      </c>
      <c r="AD6" t="str">
        <f>IF(Asistencia!E7="","",Asistencia!E7)</f>
        <v/>
      </c>
      <c r="AE6" t="str">
        <f>IF(Asistencia!D7="","",UPPER(TRIM(Asistencia!D7)))</f>
        <v/>
      </c>
      <c r="AF6" t="s">
        <v>186</v>
      </c>
      <c r="AG6">
        <f>IF(AND(AA6&lt;&gt;"",COUNTIF($AA$5:AA6,AA6)=1),1,0)</f>
        <v>0</v>
      </c>
      <c r="AH6" t="str">
        <f>IF(AG6=1,SUM($AG$5:AG6),"")</f>
        <v/>
      </c>
      <c r="AI6">
        <f>IF(OR(EXACT(Asistencia!F7,"A"),EXACT(Asistencia!F7,"R"),EXACT(Asistencia!F7,"DL"),EXACT(Asistencia!F7,"FL"),EXACT(Asistencia!F7,"FE"),EXACT(Asistencia!F7,"PCS"),EXACT(Asistencia!F7,"V")),1,0)</f>
        <v>0</v>
      </c>
      <c r="AJ6">
        <f>IF(OR(EXACT(Asistencia!G7,"A"),EXACT(Asistencia!G7,"R"),EXACT(Asistencia!G7,"DL"),EXACT(Asistencia!G7,"FL"),EXACT(Asistencia!G7,"FE"),EXACT(Asistencia!G7,"PCS"),EXACT(Asistencia!G7,"V")),1,0)</f>
        <v>0</v>
      </c>
      <c r="AK6">
        <f>IF(OR(EXACT(Asistencia!H7,"A"),EXACT(Asistencia!H7,"R"),EXACT(Asistencia!H7,"DL"),EXACT(Asistencia!H7,"FL"),EXACT(Asistencia!H7,"FE"),EXACT(Asistencia!H7,"PCS"),EXACT(Asistencia!H7,"V")),1,0)</f>
        <v>0</v>
      </c>
      <c r="AL6">
        <f>IF(OR(EXACT(Asistencia!I7,"A"),EXACT(Asistencia!I7,"R"),EXACT(Asistencia!I7,"DL"),EXACT(Asistencia!I7,"FL"),EXACT(Asistencia!I7,"FE"),EXACT(Asistencia!I7,"PCS"),EXACT(Asistencia!I7,"V")),1,0)</f>
        <v>0</v>
      </c>
      <c r="AM6">
        <f>IF(OR(EXACT(Asistencia!J7,"A"),EXACT(Asistencia!J7,"R"),EXACT(Asistencia!J7,"DL"),EXACT(Asistencia!J7,"FL"),EXACT(Asistencia!J7,"FE"),EXACT(Asistencia!J7,"PCS"),EXACT(Asistencia!J7,"V")),1,0)</f>
        <v>0</v>
      </c>
      <c r="AN6">
        <f>IF(OR(EXACT(Asistencia!K7,"A"),EXACT(Asistencia!K7,"R"),EXACT(Asistencia!K7,"DL"),EXACT(Asistencia!K7,"FL"),EXACT(Asistencia!K7,"FE"),EXACT(Asistencia!K7,"PCS"),EXACT(Asistencia!K7,"V")),1,0)</f>
        <v>0</v>
      </c>
      <c r="AO6">
        <f>IF(OR(EXACT(Asistencia!L7,"A"),EXACT(Asistencia!L7,"R"),EXACT(Asistencia!L7,"DL"),EXACT(Asistencia!L7,"FL"),EXACT(Asistencia!L7,"FE"),EXACT(Asistencia!L7,"PCS"),EXACT(Asistencia!L7,"V")),1,0)</f>
        <v>0</v>
      </c>
      <c r="AP6">
        <f t="shared" si="20"/>
        <v>0</v>
      </c>
      <c r="AQ6">
        <f>IF(EXACT(Asistencia!F7,"FL"),1,0)</f>
        <v>0</v>
      </c>
      <c r="AR6">
        <f>IF(EXACT(Asistencia!G7,"FL"),1,0)</f>
        <v>0</v>
      </c>
      <c r="AS6">
        <f>IF(EXACT(Asistencia!H7,"FL"),1,0)</f>
        <v>0</v>
      </c>
      <c r="AT6">
        <f>IF(EXACT(Asistencia!I7,"FL"),1,0)</f>
        <v>0</v>
      </c>
      <c r="AU6">
        <f>IF(EXACT(Asistencia!J7,"FL"),1,0)</f>
        <v>0</v>
      </c>
      <c r="AV6">
        <f>IF(EXACT(Asistencia!K7,"FL"),1,0)</f>
        <v>0</v>
      </c>
      <c r="AW6">
        <f>IF(EXACT(Asistencia!L7,"FL"),1,0)</f>
        <v>0</v>
      </c>
      <c r="AX6">
        <f t="shared" si="21"/>
        <v>0</v>
      </c>
      <c r="AY6">
        <f>IF(EXACT(Asistencia!F7,"DL"),1,0)</f>
        <v>0</v>
      </c>
      <c r="AZ6">
        <f>IF(EXACT(Asistencia!G7,"DL"),1,0)</f>
        <v>0</v>
      </c>
      <c r="BA6">
        <f>IF(EXACT(Asistencia!H7,"DL"),1,0)</f>
        <v>0</v>
      </c>
      <c r="BB6">
        <f>IF(EXACT(Asistencia!I7,"DL"),1,0)</f>
        <v>0</v>
      </c>
      <c r="BC6">
        <f>IF(EXACT(Asistencia!J7,"DL"),1,0)</f>
        <v>0</v>
      </c>
      <c r="BD6">
        <f>IF(EXACT(Asistencia!K7,"DL"),1,0)</f>
        <v>0</v>
      </c>
      <c r="BE6">
        <f>IF(EXACT(Asistencia!L7,"DL"),1,0)</f>
        <v>0</v>
      </c>
      <c r="BF6">
        <f t="shared" si="22"/>
        <v>0</v>
      </c>
      <c r="BG6">
        <f>IF(ISNUMBER(Asistencia!M7),Asistencia!M7,0)</f>
        <v>0</v>
      </c>
      <c r="BH6">
        <f>IF(ISNUMBER(Asistencia!N7),Asistencia!N7,0)</f>
        <v>0</v>
      </c>
      <c r="BI6">
        <f>IF(ISNUMBER(Asistencia!O7),Asistencia!O7,0)</f>
        <v>0</v>
      </c>
      <c r="BJ6">
        <f>IF(ISNUMBER(Asistencia!P7),Asistencia!P7,0)</f>
        <v>0</v>
      </c>
      <c r="BK6" t="str">
        <f>IF(Asistencia!F7="","",Asistencia!F7)</f>
        <v/>
      </c>
      <c r="BL6" t="str">
        <f>IF(Asistencia!G7="","",Asistencia!G7)</f>
        <v/>
      </c>
      <c r="BM6" t="str">
        <f>IF(Asistencia!H7="","",Asistencia!H7)</f>
        <v/>
      </c>
      <c r="BN6" t="str">
        <f>IF(Asistencia!I7="","",Asistencia!I7)</f>
        <v/>
      </c>
      <c r="BO6" t="str">
        <f>IF(Asistencia!J7="","",Asistencia!J7)</f>
        <v/>
      </c>
      <c r="BP6" t="str">
        <f>IF(Asistencia!K7="","",Asistencia!K7)</f>
        <v/>
      </c>
      <c r="BQ6" t="str">
        <f>IF(Asistencia!L7="","",Asistencia!L7)</f>
        <v/>
      </c>
    </row>
    <row r="7" spans="1:69" ht="15.75" customHeight="1" x14ac:dyDescent="0.25">
      <c r="A7" s="46" t="str">
        <f t="shared" si="0"/>
        <v/>
      </c>
      <c r="B7" s="47" t="str">
        <f t="shared" si="1"/>
        <v/>
      </c>
      <c r="C7" s="47"/>
      <c r="D7" s="47"/>
      <c r="E7" s="46" t="str">
        <f t="shared" si="2"/>
        <v/>
      </c>
      <c r="F7" s="45" t="str">
        <f t="shared" si="3"/>
        <v/>
      </c>
      <c r="G7" s="44" t="str">
        <f t="shared" si="4"/>
        <v/>
      </c>
      <c r="H7" s="44" t="str">
        <f t="shared" si="5"/>
        <v/>
      </c>
      <c r="I7" s="44" t="str">
        <f t="shared" si="6"/>
        <v/>
      </c>
      <c r="J7" s="44" t="str">
        <f t="shared" si="7"/>
        <v/>
      </c>
      <c r="K7" s="44" t="str">
        <f t="shared" si="8"/>
        <v/>
      </c>
      <c r="L7" s="44" t="str">
        <f t="shared" si="9"/>
        <v/>
      </c>
      <c r="M7" s="43" t="str">
        <f t="shared" si="10"/>
        <v/>
      </c>
      <c r="N7" s="41" t="str">
        <f t="shared" si="11"/>
        <v/>
      </c>
      <c r="O7" s="41" t="str">
        <f t="shared" si="12"/>
        <v/>
      </c>
      <c r="P7" s="41" t="str">
        <f t="shared" si="13"/>
        <v/>
      </c>
      <c r="Q7" s="41" t="str">
        <f t="shared" si="14"/>
        <v/>
      </c>
      <c r="R7" s="41" t="str">
        <f t="shared" si="15"/>
        <v/>
      </c>
      <c r="S7" s="41"/>
      <c r="T7" s="48"/>
      <c r="U7" s="41" t="str">
        <f t="shared" si="16"/>
        <v/>
      </c>
      <c r="V7" s="41"/>
      <c r="W7" s="42" t="str">
        <f t="shared" si="17"/>
        <v/>
      </c>
      <c r="Y7" t="str">
        <f>IFERROR(MATCH(3,$AH$5:$AH$323,0),"")</f>
        <v/>
      </c>
      <c r="Z7" t="str">
        <f t="shared" si="18"/>
        <v/>
      </c>
      <c r="AA7" t="str">
        <f t="shared" si="19"/>
        <v/>
      </c>
      <c r="AB7" t="str">
        <f>IF(Asistencia!A8="","",Asistencia!A8)</f>
        <v/>
      </c>
      <c r="AC7" t="str">
        <f>IF(Asistencia!A8="","",SUBSTITUTE(SUBSTITUTE(SUBSTITUTE(SUBSTITUTE(SUBSTITUTE(SUBSTITUTE(SUBSTITUTE(UPPER(TRIM(Asistencia!A8)),"Á","A"),"É","E"),"Í","I"),"Ó","O"),"Ú","U"),"Ñ","N"),"  "," "))</f>
        <v/>
      </c>
      <c r="AD7" t="str">
        <f>IF(Asistencia!E8="","",Asistencia!E8)</f>
        <v/>
      </c>
      <c r="AE7" t="str">
        <f>IF(Asistencia!D8="","",UPPER(TRIM(Asistencia!D8)))</f>
        <v/>
      </c>
      <c r="AF7" t="s">
        <v>186</v>
      </c>
      <c r="AG7">
        <f>IF(AND(AA7&lt;&gt;"",COUNTIF($AA$5:AA7,AA7)=1),1,0)</f>
        <v>0</v>
      </c>
      <c r="AH7" t="str">
        <f>IF(AG7=1,SUM($AG$5:AG7),"")</f>
        <v/>
      </c>
      <c r="AI7">
        <f>IF(OR(EXACT(Asistencia!F8,"A"),EXACT(Asistencia!F8,"R"),EXACT(Asistencia!F8,"DL"),EXACT(Asistencia!F8,"FL"),EXACT(Asistencia!F8,"FE"),EXACT(Asistencia!F8,"PCS"),EXACT(Asistencia!F8,"V")),1,0)</f>
        <v>0</v>
      </c>
      <c r="AJ7">
        <f>IF(OR(EXACT(Asistencia!G8,"A"),EXACT(Asistencia!G8,"R"),EXACT(Asistencia!G8,"DL"),EXACT(Asistencia!G8,"FL"),EXACT(Asistencia!G8,"FE"),EXACT(Asistencia!G8,"PCS"),EXACT(Asistencia!G8,"V")),1,0)</f>
        <v>0</v>
      </c>
      <c r="AK7">
        <f>IF(OR(EXACT(Asistencia!H8,"A"),EXACT(Asistencia!H8,"R"),EXACT(Asistencia!H8,"DL"),EXACT(Asistencia!H8,"FL"),EXACT(Asistencia!H8,"FE"),EXACT(Asistencia!H8,"PCS"),EXACT(Asistencia!H8,"V")),1,0)</f>
        <v>0</v>
      </c>
      <c r="AL7">
        <f>IF(OR(EXACT(Asistencia!I8,"A"),EXACT(Asistencia!I8,"R"),EXACT(Asistencia!I8,"DL"),EXACT(Asistencia!I8,"FL"),EXACT(Asistencia!I8,"FE"),EXACT(Asistencia!I8,"PCS"),EXACT(Asistencia!I8,"V")),1,0)</f>
        <v>0</v>
      </c>
      <c r="AM7">
        <f>IF(OR(EXACT(Asistencia!J8,"A"),EXACT(Asistencia!J8,"R"),EXACT(Asistencia!J8,"DL"),EXACT(Asistencia!J8,"FL"),EXACT(Asistencia!J8,"FE"),EXACT(Asistencia!J8,"PCS"),EXACT(Asistencia!J8,"V")),1,0)</f>
        <v>0</v>
      </c>
      <c r="AN7">
        <f>IF(OR(EXACT(Asistencia!K8,"A"),EXACT(Asistencia!K8,"R"),EXACT(Asistencia!K8,"DL"),EXACT(Asistencia!K8,"FL"),EXACT(Asistencia!K8,"FE"),EXACT(Asistencia!K8,"PCS"),EXACT(Asistencia!K8,"V")),1,0)</f>
        <v>0</v>
      </c>
      <c r="AO7">
        <f>IF(OR(EXACT(Asistencia!L8,"A"),EXACT(Asistencia!L8,"R"),EXACT(Asistencia!L8,"DL"),EXACT(Asistencia!L8,"FL"),EXACT(Asistencia!L8,"FE"),EXACT(Asistencia!L8,"PCS"),EXACT(Asistencia!L8,"V")),1,0)</f>
        <v>0</v>
      </c>
      <c r="AP7">
        <f t="shared" si="20"/>
        <v>0</v>
      </c>
      <c r="AQ7">
        <f>IF(EXACT(Asistencia!F8,"FL"),1,0)</f>
        <v>0</v>
      </c>
      <c r="AR7">
        <f>IF(EXACT(Asistencia!G8,"FL"),1,0)</f>
        <v>0</v>
      </c>
      <c r="AS7">
        <f>IF(EXACT(Asistencia!H8,"FL"),1,0)</f>
        <v>0</v>
      </c>
      <c r="AT7">
        <f>IF(EXACT(Asistencia!I8,"FL"),1,0)</f>
        <v>0</v>
      </c>
      <c r="AU7">
        <f>IF(EXACT(Asistencia!J8,"FL"),1,0)</f>
        <v>0</v>
      </c>
      <c r="AV7">
        <f>IF(EXACT(Asistencia!K8,"FL"),1,0)</f>
        <v>0</v>
      </c>
      <c r="AW7">
        <f>IF(EXACT(Asistencia!L8,"FL"),1,0)</f>
        <v>0</v>
      </c>
      <c r="AX7">
        <f t="shared" si="21"/>
        <v>0</v>
      </c>
      <c r="AY7">
        <f>IF(EXACT(Asistencia!F8,"DL"),1,0)</f>
        <v>0</v>
      </c>
      <c r="AZ7">
        <f>IF(EXACT(Asistencia!G8,"DL"),1,0)</f>
        <v>0</v>
      </c>
      <c r="BA7">
        <f>IF(EXACT(Asistencia!H8,"DL"),1,0)</f>
        <v>0</v>
      </c>
      <c r="BB7">
        <f>IF(EXACT(Asistencia!I8,"DL"),1,0)</f>
        <v>0</v>
      </c>
      <c r="BC7">
        <f>IF(EXACT(Asistencia!J8,"DL"),1,0)</f>
        <v>0</v>
      </c>
      <c r="BD7">
        <f>IF(EXACT(Asistencia!K8,"DL"),1,0)</f>
        <v>0</v>
      </c>
      <c r="BE7">
        <f>IF(EXACT(Asistencia!L8,"DL"),1,0)</f>
        <v>0</v>
      </c>
      <c r="BF7">
        <f t="shared" si="22"/>
        <v>0</v>
      </c>
      <c r="BG7">
        <f>IF(ISNUMBER(Asistencia!M8),Asistencia!M8,0)</f>
        <v>0</v>
      </c>
      <c r="BH7">
        <f>IF(ISNUMBER(Asistencia!N8),Asistencia!N8,0)</f>
        <v>0</v>
      </c>
      <c r="BI7">
        <f>IF(ISNUMBER(Asistencia!O8),Asistencia!O8,0)</f>
        <v>0</v>
      </c>
      <c r="BJ7">
        <f>IF(ISNUMBER(Asistencia!P8),Asistencia!P8,0)</f>
        <v>0</v>
      </c>
      <c r="BK7" t="str">
        <f>IF(Asistencia!F8="","",Asistencia!F8)</f>
        <v/>
      </c>
      <c r="BL7" t="str">
        <f>IF(Asistencia!G8="","",Asistencia!G8)</f>
        <v/>
      </c>
      <c r="BM7" t="str">
        <f>IF(Asistencia!H8="","",Asistencia!H8)</f>
        <v/>
      </c>
      <c r="BN7" t="str">
        <f>IF(Asistencia!I8="","",Asistencia!I8)</f>
        <v/>
      </c>
      <c r="BO7" t="str">
        <f>IF(Asistencia!J8="","",Asistencia!J8)</f>
        <v/>
      </c>
      <c r="BP7" t="str">
        <f>IF(Asistencia!K8="","",Asistencia!K8)</f>
        <v/>
      </c>
      <c r="BQ7" t="str">
        <f>IF(Asistencia!L8="","",Asistencia!L8)</f>
        <v/>
      </c>
    </row>
    <row r="8" spans="1:69" ht="15.75" customHeight="1" x14ac:dyDescent="0.25">
      <c r="A8" s="46" t="str">
        <f t="shared" si="0"/>
        <v/>
      </c>
      <c r="B8" s="47" t="str">
        <f t="shared" si="1"/>
        <v/>
      </c>
      <c r="C8" s="47"/>
      <c r="D8" s="47"/>
      <c r="E8" s="46" t="str">
        <f t="shared" si="2"/>
        <v/>
      </c>
      <c r="F8" s="45" t="str">
        <f t="shared" si="3"/>
        <v/>
      </c>
      <c r="G8" s="44" t="str">
        <f t="shared" si="4"/>
        <v/>
      </c>
      <c r="H8" s="44" t="str">
        <f t="shared" si="5"/>
        <v/>
      </c>
      <c r="I8" s="44" t="str">
        <f t="shared" si="6"/>
        <v/>
      </c>
      <c r="J8" s="44" t="str">
        <f t="shared" si="7"/>
        <v/>
      </c>
      <c r="K8" s="44" t="str">
        <f t="shared" si="8"/>
        <v/>
      </c>
      <c r="L8" s="44" t="str">
        <f t="shared" si="9"/>
        <v/>
      </c>
      <c r="M8" s="43" t="str">
        <f t="shared" si="10"/>
        <v/>
      </c>
      <c r="N8" s="41" t="str">
        <f t="shared" si="11"/>
        <v/>
      </c>
      <c r="O8" s="41" t="str">
        <f t="shared" si="12"/>
        <v/>
      </c>
      <c r="P8" s="41" t="str">
        <f t="shared" si="13"/>
        <v/>
      </c>
      <c r="Q8" s="41" t="str">
        <f t="shared" si="14"/>
        <v/>
      </c>
      <c r="R8" s="41" t="str">
        <f t="shared" si="15"/>
        <v/>
      </c>
      <c r="S8" s="41"/>
      <c r="T8" s="48"/>
      <c r="U8" s="41" t="str">
        <f t="shared" si="16"/>
        <v/>
      </c>
      <c r="V8" s="41"/>
      <c r="W8" s="42" t="str">
        <f t="shared" si="17"/>
        <v/>
      </c>
      <c r="Y8" t="str">
        <f>IFERROR(MATCH(4,$AH$5:$AH$323,0),"")</f>
        <v/>
      </c>
      <c r="Z8" t="str">
        <f t="shared" si="18"/>
        <v/>
      </c>
      <c r="AA8" t="str">
        <f t="shared" si="19"/>
        <v/>
      </c>
      <c r="AB8" t="str">
        <f>IF(Asistencia!A9="","",Asistencia!A9)</f>
        <v/>
      </c>
      <c r="AC8" t="str">
        <f>IF(Asistencia!A9="","",SUBSTITUTE(SUBSTITUTE(SUBSTITUTE(SUBSTITUTE(SUBSTITUTE(SUBSTITUTE(SUBSTITUTE(UPPER(TRIM(Asistencia!A9)),"Á","A"),"É","E"),"Í","I"),"Ó","O"),"Ú","U"),"Ñ","N"),"  "," "))</f>
        <v/>
      </c>
      <c r="AD8" t="str">
        <f>IF(Asistencia!E9="","",Asistencia!E9)</f>
        <v/>
      </c>
      <c r="AE8" t="str">
        <f>IF(Asistencia!D9="","",UPPER(TRIM(Asistencia!D9)))</f>
        <v/>
      </c>
      <c r="AF8" t="s">
        <v>186</v>
      </c>
      <c r="AG8">
        <f>IF(AND(AA8&lt;&gt;"",COUNTIF($AA$5:AA8,AA8)=1),1,0)</f>
        <v>0</v>
      </c>
      <c r="AH8" t="str">
        <f>IF(AG8=1,SUM($AG$5:AG8),"")</f>
        <v/>
      </c>
      <c r="AI8">
        <f>IF(OR(EXACT(Asistencia!F9,"A"),EXACT(Asistencia!F9,"R"),EXACT(Asistencia!F9,"DL"),EXACT(Asistencia!F9,"FL"),EXACT(Asistencia!F9,"FE"),EXACT(Asistencia!F9,"PCS"),EXACT(Asistencia!F9,"V")),1,0)</f>
        <v>0</v>
      </c>
      <c r="AJ8">
        <f>IF(OR(EXACT(Asistencia!G9,"A"),EXACT(Asistencia!G9,"R"),EXACT(Asistencia!G9,"DL"),EXACT(Asistencia!G9,"FL"),EXACT(Asistencia!G9,"FE"),EXACT(Asistencia!G9,"PCS"),EXACT(Asistencia!G9,"V")),1,0)</f>
        <v>0</v>
      </c>
      <c r="AK8">
        <f>IF(OR(EXACT(Asistencia!H9,"A"),EXACT(Asistencia!H9,"R"),EXACT(Asistencia!H9,"DL"),EXACT(Asistencia!H9,"FL"),EXACT(Asistencia!H9,"FE"),EXACT(Asistencia!H9,"PCS"),EXACT(Asistencia!H9,"V")),1,0)</f>
        <v>0</v>
      </c>
      <c r="AL8">
        <f>IF(OR(EXACT(Asistencia!I9,"A"),EXACT(Asistencia!I9,"R"),EXACT(Asistencia!I9,"DL"),EXACT(Asistencia!I9,"FL"),EXACT(Asistencia!I9,"FE"),EXACT(Asistencia!I9,"PCS"),EXACT(Asistencia!I9,"V")),1,0)</f>
        <v>0</v>
      </c>
      <c r="AM8">
        <f>IF(OR(EXACT(Asistencia!J9,"A"),EXACT(Asistencia!J9,"R"),EXACT(Asistencia!J9,"DL"),EXACT(Asistencia!J9,"FL"),EXACT(Asistencia!J9,"FE"),EXACT(Asistencia!J9,"PCS"),EXACT(Asistencia!J9,"V")),1,0)</f>
        <v>0</v>
      </c>
      <c r="AN8">
        <f>IF(OR(EXACT(Asistencia!K9,"A"),EXACT(Asistencia!K9,"R"),EXACT(Asistencia!K9,"DL"),EXACT(Asistencia!K9,"FL"),EXACT(Asistencia!K9,"FE"),EXACT(Asistencia!K9,"PCS"),EXACT(Asistencia!K9,"V")),1,0)</f>
        <v>0</v>
      </c>
      <c r="AO8">
        <f>IF(OR(EXACT(Asistencia!L9,"A"),EXACT(Asistencia!L9,"R"),EXACT(Asistencia!L9,"DL"),EXACT(Asistencia!L9,"FL"),EXACT(Asistencia!L9,"FE"),EXACT(Asistencia!L9,"PCS"),EXACT(Asistencia!L9,"V")),1,0)</f>
        <v>0</v>
      </c>
      <c r="AP8">
        <f t="shared" si="20"/>
        <v>0</v>
      </c>
      <c r="AQ8">
        <f>IF(EXACT(Asistencia!F9,"FL"),1,0)</f>
        <v>0</v>
      </c>
      <c r="AR8">
        <f>IF(EXACT(Asistencia!G9,"FL"),1,0)</f>
        <v>0</v>
      </c>
      <c r="AS8">
        <f>IF(EXACT(Asistencia!H9,"FL"),1,0)</f>
        <v>0</v>
      </c>
      <c r="AT8">
        <f>IF(EXACT(Asistencia!I9,"FL"),1,0)</f>
        <v>0</v>
      </c>
      <c r="AU8">
        <f>IF(EXACT(Asistencia!J9,"FL"),1,0)</f>
        <v>0</v>
      </c>
      <c r="AV8">
        <f>IF(EXACT(Asistencia!K9,"FL"),1,0)</f>
        <v>0</v>
      </c>
      <c r="AW8">
        <f>IF(EXACT(Asistencia!L9,"FL"),1,0)</f>
        <v>0</v>
      </c>
      <c r="AX8">
        <f t="shared" si="21"/>
        <v>0</v>
      </c>
      <c r="AY8">
        <f>IF(EXACT(Asistencia!F9,"DL"),1,0)</f>
        <v>0</v>
      </c>
      <c r="AZ8">
        <f>IF(EXACT(Asistencia!G9,"DL"),1,0)</f>
        <v>0</v>
      </c>
      <c r="BA8">
        <f>IF(EXACT(Asistencia!H9,"DL"),1,0)</f>
        <v>0</v>
      </c>
      <c r="BB8">
        <f>IF(EXACT(Asistencia!I9,"DL"),1,0)</f>
        <v>0</v>
      </c>
      <c r="BC8">
        <f>IF(EXACT(Asistencia!J9,"DL"),1,0)</f>
        <v>0</v>
      </c>
      <c r="BD8">
        <f>IF(EXACT(Asistencia!K9,"DL"),1,0)</f>
        <v>0</v>
      </c>
      <c r="BE8">
        <f>IF(EXACT(Asistencia!L9,"DL"),1,0)</f>
        <v>0</v>
      </c>
      <c r="BF8">
        <f t="shared" si="22"/>
        <v>0</v>
      </c>
      <c r="BG8">
        <f>IF(ISNUMBER(Asistencia!M9),Asistencia!M9,0)</f>
        <v>0</v>
      </c>
      <c r="BH8">
        <f>IF(ISNUMBER(Asistencia!N9),Asistencia!N9,0)</f>
        <v>0</v>
      </c>
      <c r="BI8">
        <f>IF(ISNUMBER(Asistencia!O9),Asistencia!O9,0)</f>
        <v>0</v>
      </c>
      <c r="BJ8">
        <f>IF(ISNUMBER(Asistencia!P9),Asistencia!P9,0)</f>
        <v>0</v>
      </c>
      <c r="BK8" t="str">
        <f>IF(Asistencia!F9="","",Asistencia!F9)</f>
        <v/>
      </c>
      <c r="BL8" t="str">
        <f>IF(Asistencia!G9="","",Asistencia!G9)</f>
        <v/>
      </c>
      <c r="BM8" t="str">
        <f>IF(Asistencia!H9="","",Asistencia!H9)</f>
        <v/>
      </c>
      <c r="BN8" t="str">
        <f>IF(Asistencia!I9="","",Asistencia!I9)</f>
        <v/>
      </c>
      <c r="BO8" t="str">
        <f>IF(Asistencia!J9="","",Asistencia!J9)</f>
        <v/>
      </c>
      <c r="BP8" t="str">
        <f>IF(Asistencia!K9="","",Asistencia!K9)</f>
        <v/>
      </c>
      <c r="BQ8" t="str">
        <f>IF(Asistencia!L9="","",Asistencia!L9)</f>
        <v/>
      </c>
    </row>
    <row r="9" spans="1:69" ht="15.75" customHeight="1" x14ac:dyDescent="0.25">
      <c r="A9" s="46" t="str">
        <f t="shared" si="0"/>
        <v/>
      </c>
      <c r="B9" s="47" t="str">
        <f t="shared" si="1"/>
        <v/>
      </c>
      <c r="C9" s="47"/>
      <c r="D9" s="47"/>
      <c r="E9" s="46" t="str">
        <f t="shared" si="2"/>
        <v/>
      </c>
      <c r="F9" s="45" t="str">
        <f t="shared" si="3"/>
        <v/>
      </c>
      <c r="G9" s="44" t="str">
        <f t="shared" si="4"/>
        <v/>
      </c>
      <c r="H9" s="44" t="str">
        <f t="shared" si="5"/>
        <v/>
      </c>
      <c r="I9" s="44" t="str">
        <f t="shared" si="6"/>
        <v/>
      </c>
      <c r="J9" s="44" t="str">
        <f t="shared" si="7"/>
        <v/>
      </c>
      <c r="K9" s="44" t="str">
        <f t="shared" si="8"/>
        <v/>
      </c>
      <c r="L9" s="44" t="str">
        <f t="shared" si="9"/>
        <v/>
      </c>
      <c r="M9" s="43" t="str">
        <f t="shared" si="10"/>
        <v/>
      </c>
      <c r="N9" s="41" t="str">
        <f t="shared" si="11"/>
        <v/>
      </c>
      <c r="O9" s="41" t="str">
        <f t="shared" si="12"/>
        <v/>
      </c>
      <c r="P9" s="41" t="str">
        <f t="shared" si="13"/>
        <v/>
      </c>
      <c r="Q9" s="41" t="str">
        <f t="shared" si="14"/>
        <v/>
      </c>
      <c r="R9" s="41" t="str">
        <f t="shared" si="15"/>
        <v/>
      </c>
      <c r="S9" s="41"/>
      <c r="T9" s="48"/>
      <c r="U9" s="41" t="str">
        <f t="shared" si="16"/>
        <v/>
      </c>
      <c r="V9" s="41"/>
      <c r="W9" s="42" t="str">
        <f t="shared" si="17"/>
        <v/>
      </c>
      <c r="Y9" t="str">
        <f>IFERROR(MATCH(5,$AH$5:$AH$323,0),"")</f>
        <v/>
      </c>
      <c r="Z9" t="str">
        <f t="shared" si="18"/>
        <v/>
      </c>
      <c r="AA9" t="str">
        <f t="shared" si="19"/>
        <v/>
      </c>
      <c r="AB9" t="str">
        <f>IF(Asistencia!A10="","",Asistencia!A10)</f>
        <v/>
      </c>
      <c r="AC9" t="str">
        <f>IF(Asistencia!A10="","",SUBSTITUTE(SUBSTITUTE(SUBSTITUTE(SUBSTITUTE(SUBSTITUTE(SUBSTITUTE(SUBSTITUTE(UPPER(TRIM(Asistencia!A10)),"Á","A"),"É","E"),"Í","I"),"Ó","O"),"Ú","U"),"Ñ","N"),"  "," "))</f>
        <v/>
      </c>
      <c r="AD9" t="str">
        <f>IF(Asistencia!E10="","",Asistencia!E10)</f>
        <v/>
      </c>
      <c r="AE9" t="str">
        <f>IF(Asistencia!D10="","",UPPER(TRIM(Asistencia!D10)))</f>
        <v/>
      </c>
      <c r="AF9" t="s">
        <v>186</v>
      </c>
      <c r="AG9">
        <f>IF(AND(AA9&lt;&gt;"",COUNTIF($AA$5:AA9,AA9)=1),1,0)</f>
        <v>0</v>
      </c>
      <c r="AH9" t="str">
        <f>IF(AG9=1,SUM($AG$5:AG9),"")</f>
        <v/>
      </c>
      <c r="AI9">
        <f>IF(OR(EXACT(Asistencia!F10,"A"),EXACT(Asistencia!F10,"R"),EXACT(Asistencia!F10,"DL"),EXACT(Asistencia!F10,"FL"),EXACT(Asistencia!F10,"FE"),EXACT(Asistencia!F10,"PCS"),EXACT(Asistencia!F10,"V")),1,0)</f>
        <v>0</v>
      </c>
      <c r="AJ9">
        <f>IF(OR(EXACT(Asistencia!G10,"A"),EXACT(Asistencia!G10,"R"),EXACT(Asistencia!G10,"DL"),EXACT(Asistencia!G10,"FL"),EXACT(Asistencia!G10,"FE"),EXACT(Asistencia!G10,"PCS"),EXACT(Asistencia!G10,"V")),1,0)</f>
        <v>0</v>
      </c>
      <c r="AK9">
        <f>IF(OR(EXACT(Asistencia!H10,"A"),EXACT(Asistencia!H10,"R"),EXACT(Asistencia!H10,"DL"),EXACT(Asistencia!H10,"FL"),EXACT(Asistencia!H10,"FE"),EXACT(Asistencia!H10,"PCS"),EXACT(Asistencia!H10,"V")),1,0)</f>
        <v>0</v>
      </c>
      <c r="AL9">
        <f>IF(OR(EXACT(Asistencia!I10,"A"),EXACT(Asistencia!I10,"R"),EXACT(Asistencia!I10,"DL"),EXACT(Asistencia!I10,"FL"),EXACT(Asistencia!I10,"FE"),EXACT(Asistencia!I10,"PCS"),EXACT(Asistencia!I10,"V")),1,0)</f>
        <v>0</v>
      </c>
      <c r="AM9">
        <f>IF(OR(EXACT(Asistencia!J10,"A"),EXACT(Asistencia!J10,"R"),EXACT(Asistencia!J10,"DL"),EXACT(Asistencia!J10,"FL"),EXACT(Asistencia!J10,"FE"),EXACT(Asistencia!J10,"PCS"),EXACT(Asistencia!J10,"V")),1,0)</f>
        <v>0</v>
      </c>
      <c r="AN9">
        <f>IF(OR(EXACT(Asistencia!K10,"A"),EXACT(Asistencia!K10,"R"),EXACT(Asistencia!K10,"DL"),EXACT(Asistencia!K10,"FL"),EXACT(Asistencia!K10,"FE"),EXACT(Asistencia!K10,"PCS"),EXACT(Asistencia!K10,"V")),1,0)</f>
        <v>0</v>
      </c>
      <c r="AO9">
        <f>IF(OR(EXACT(Asistencia!L10,"A"),EXACT(Asistencia!L10,"R"),EXACT(Asistencia!L10,"DL"),EXACT(Asistencia!L10,"FL"),EXACT(Asistencia!L10,"FE"),EXACT(Asistencia!L10,"PCS"),EXACT(Asistencia!L10,"V")),1,0)</f>
        <v>0</v>
      </c>
      <c r="AP9">
        <f t="shared" si="20"/>
        <v>0</v>
      </c>
      <c r="AQ9">
        <f>IF(EXACT(Asistencia!F10,"FL"),1,0)</f>
        <v>0</v>
      </c>
      <c r="AR9">
        <f>IF(EXACT(Asistencia!G10,"FL"),1,0)</f>
        <v>0</v>
      </c>
      <c r="AS9">
        <f>IF(EXACT(Asistencia!H10,"FL"),1,0)</f>
        <v>0</v>
      </c>
      <c r="AT9">
        <f>IF(EXACT(Asistencia!I10,"FL"),1,0)</f>
        <v>0</v>
      </c>
      <c r="AU9">
        <f>IF(EXACT(Asistencia!J10,"FL"),1,0)</f>
        <v>0</v>
      </c>
      <c r="AV9">
        <f>IF(EXACT(Asistencia!K10,"FL"),1,0)</f>
        <v>0</v>
      </c>
      <c r="AW9">
        <f>IF(EXACT(Asistencia!L10,"FL"),1,0)</f>
        <v>0</v>
      </c>
      <c r="AX9">
        <f t="shared" si="21"/>
        <v>0</v>
      </c>
      <c r="AY9">
        <f>IF(EXACT(Asistencia!F10,"DL"),1,0)</f>
        <v>0</v>
      </c>
      <c r="AZ9">
        <f>IF(EXACT(Asistencia!G10,"DL"),1,0)</f>
        <v>0</v>
      </c>
      <c r="BA9">
        <f>IF(EXACT(Asistencia!H10,"DL"),1,0)</f>
        <v>0</v>
      </c>
      <c r="BB9">
        <f>IF(EXACT(Asistencia!I10,"DL"),1,0)</f>
        <v>0</v>
      </c>
      <c r="BC9">
        <f>IF(EXACT(Asistencia!J10,"DL"),1,0)</f>
        <v>0</v>
      </c>
      <c r="BD9">
        <f>IF(EXACT(Asistencia!K10,"DL"),1,0)</f>
        <v>0</v>
      </c>
      <c r="BE9">
        <f>IF(EXACT(Asistencia!L10,"DL"),1,0)</f>
        <v>0</v>
      </c>
      <c r="BF9">
        <f t="shared" si="22"/>
        <v>0</v>
      </c>
      <c r="BG9">
        <f>IF(ISNUMBER(Asistencia!M10),Asistencia!M10,0)</f>
        <v>0</v>
      </c>
      <c r="BH9">
        <f>IF(ISNUMBER(Asistencia!N10),Asistencia!N10,0)</f>
        <v>0</v>
      </c>
      <c r="BI9">
        <f>IF(ISNUMBER(Asistencia!O10),Asistencia!O10,0)</f>
        <v>0</v>
      </c>
      <c r="BJ9">
        <f>IF(ISNUMBER(Asistencia!P10),Asistencia!P10,0)</f>
        <v>0</v>
      </c>
      <c r="BK9" t="str">
        <f>IF(Asistencia!F10="","",Asistencia!F10)</f>
        <v/>
      </c>
      <c r="BL9" t="str">
        <f>IF(Asistencia!G10="","",Asistencia!G10)</f>
        <v/>
      </c>
      <c r="BM9" t="str">
        <f>IF(Asistencia!H10="","",Asistencia!H10)</f>
        <v/>
      </c>
      <c r="BN9" t="str">
        <f>IF(Asistencia!I10="","",Asistencia!I10)</f>
        <v/>
      </c>
      <c r="BO9" t="str">
        <f>IF(Asistencia!J10="","",Asistencia!J10)</f>
        <v/>
      </c>
      <c r="BP9" t="str">
        <f>IF(Asistencia!K10="","",Asistencia!K10)</f>
        <v/>
      </c>
      <c r="BQ9" t="str">
        <f>IF(Asistencia!L10="","",Asistencia!L10)</f>
        <v/>
      </c>
    </row>
    <row r="10" spans="1:69" ht="15.75" customHeight="1" x14ac:dyDescent="0.25">
      <c r="A10" s="46" t="str">
        <f t="shared" si="0"/>
        <v/>
      </c>
      <c r="B10" s="47" t="str">
        <f t="shared" si="1"/>
        <v/>
      </c>
      <c r="C10" s="47"/>
      <c r="D10" s="47"/>
      <c r="E10" s="46" t="str">
        <f t="shared" si="2"/>
        <v/>
      </c>
      <c r="F10" s="45" t="str">
        <f t="shared" si="3"/>
        <v/>
      </c>
      <c r="G10" s="44" t="str">
        <f t="shared" si="4"/>
        <v/>
      </c>
      <c r="H10" s="44" t="str">
        <f t="shared" si="5"/>
        <v/>
      </c>
      <c r="I10" s="44" t="str">
        <f t="shared" si="6"/>
        <v/>
      </c>
      <c r="J10" s="44" t="str">
        <f t="shared" si="7"/>
        <v/>
      </c>
      <c r="K10" s="44" t="str">
        <f t="shared" si="8"/>
        <v/>
      </c>
      <c r="L10" s="44" t="str">
        <f t="shared" si="9"/>
        <v/>
      </c>
      <c r="M10" s="43" t="str">
        <f t="shared" si="10"/>
        <v/>
      </c>
      <c r="N10" s="41" t="str">
        <f t="shared" si="11"/>
        <v/>
      </c>
      <c r="O10" s="41" t="str">
        <f t="shared" si="12"/>
        <v/>
      </c>
      <c r="P10" s="41" t="str">
        <f t="shared" si="13"/>
        <v/>
      </c>
      <c r="Q10" s="41" t="str">
        <f t="shared" si="14"/>
        <v/>
      </c>
      <c r="R10" s="41" t="str">
        <f t="shared" si="15"/>
        <v/>
      </c>
      <c r="S10" s="41"/>
      <c r="T10" s="48"/>
      <c r="U10" s="41" t="str">
        <f t="shared" si="16"/>
        <v/>
      </c>
      <c r="V10" s="41"/>
      <c r="W10" s="42" t="str">
        <f t="shared" si="17"/>
        <v/>
      </c>
      <c r="Y10" t="str">
        <f>IFERROR(MATCH(6,$AH$5:$AH$323,0),"")</f>
        <v/>
      </c>
      <c r="Z10" t="str">
        <f t="shared" si="18"/>
        <v/>
      </c>
      <c r="AA10" t="str">
        <f t="shared" si="19"/>
        <v/>
      </c>
      <c r="AB10" t="str">
        <f>IF(Asistencia!A11="","",Asistencia!A11)</f>
        <v/>
      </c>
      <c r="AC10" t="str">
        <f>IF(Asistencia!A11="","",SUBSTITUTE(SUBSTITUTE(SUBSTITUTE(SUBSTITUTE(SUBSTITUTE(SUBSTITUTE(SUBSTITUTE(UPPER(TRIM(Asistencia!A11)),"Á","A"),"É","E"),"Í","I"),"Ó","O"),"Ú","U"),"Ñ","N"),"  "," "))</f>
        <v/>
      </c>
      <c r="AD10" t="str">
        <f>IF(Asistencia!E11="","",Asistencia!E11)</f>
        <v/>
      </c>
      <c r="AE10" t="str">
        <f>IF(Asistencia!D11="","",UPPER(TRIM(Asistencia!D11)))</f>
        <v/>
      </c>
      <c r="AF10" t="s">
        <v>186</v>
      </c>
      <c r="AG10">
        <f>IF(AND(AA10&lt;&gt;"",COUNTIF($AA$5:AA10,AA10)=1),1,0)</f>
        <v>0</v>
      </c>
      <c r="AH10" t="str">
        <f>IF(AG10=1,SUM($AG$5:AG10),"")</f>
        <v/>
      </c>
      <c r="AI10">
        <f>IF(OR(EXACT(Asistencia!F11,"A"),EXACT(Asistencia!F11,"R"),EXACT(Asistencia!F11,"DL"),EXACT(Asistencia!F11,"FL"),EXACT(Asistencia!F11,"FE"),EXACT(Asistencia!F11,"PCS"),EXACT(Asistencia!F11,"V")),1,0)</f>
        <v>0</v>
      </c>
      <c r="AJ10">
        <f>IF(OR(EXACT(Asistencia!G11,"A"),EXACT(Asistencia!G11,"R"),EXACT(Asistencia!G11,"DL"),EXACT(Asistencia!G11,"FL"),EXACT(Asistencia!G11,"FE"),EXACT(Asistencia!G11,"PCS"),EXACT(Asistencia!G11,"V")),1,0)</f>
        <v>0</v>
      </c>
      <c r="AK10">
        <f>IF(OR(EXACT(Asistencia!H11,"A"),EXACT(Asistencia!H11,"R"),EXACT(Asistencia!H11,"DL"),EXACT(Asistencia!H11,"FL"),EXACT(Asistencia!H11,"FE"),EXACT(Asistencia!H11,"PCS"),EXACT(Asistencia!H11,"V")),1,0)</f>
        <v>0</v>
      </c>
      <c r="AL10">
        <f>IF(OR(EXACT(Asistencia!I11,"A"),EXACT(Asistencia!I11,"R"),EXACT(Asistencia!I11,"DL"),EXACT(Asistencia!I11,"FL"),EXACT(Asistencia!I11,"FE"),EXACT(Asistencia!I11,"PCS"),EXACT(Asistencia!I11,"V")),1,0)</f>
        <v>0</v>
      </c>
      <c r="AM10">
        <f>IF(OR(EXACT(Asistencia!J11,"A"),EXACT(Asistencia!J11,"R"),EXACT(Asistencia!J11,"DL"),EXACT(Asistencia!J11,"FL"),EXACT(Asistencia!J11,"FE"),EXACT(Asistencia!J11,"PCS"),EXACT(Asistencia!J11,"V")),1,0)</f>
        <v>0</v>
      </c>
      <c r="AN10">
        <f>IF(OR(EXACT(Asistencia!K11,"A"),EXACT(Asistencia!K11,"R"),EXACT(Asistencia!K11,"DL"),EXACT(Asistencia!K11,"FL"),EXACT(Asistencia!K11,"FE"),EXACT(Asistencia!K11,"PCS"),EXACT(Asistencia!K11,"V")),1,0)</f>
        <v>0</v>
      </c>
      <c r="AO10">
        <f>IF(OR(EXACT(Asistencia!L11,"A"),EXACT(Asistencia!L11,"R"),EXACT(Asistencia!L11,"DL"),EXACT(Asistencia!L11,"FL"),EXACT(Asistencia!L11,"FE"),EXACT(Asistencia!L11,"PCS"),EXACT(Asistencia!L11,"V")),1,0)</f>
        <v>0</v>
      </c>
      <c r="AP10">
        <f t="shared" si="20"/>
        <v>0</v>
      </c>
      <c r="AQ10">
        <f>IF(EXACT(Asistencia!F11,"FL"),1,0)</f>
        <v>0</v>
      </c>
      <c r="AR10">
        <f>IF(EXACT(Asistencia!G11,"FL"),1,0)</f>
        <v>0</v>
      </c>
      <c r="AS10">
        <f>IF(EXACT(Asistencia!H11,"FL"),1,0)</f>
        <v>0</v>
      </c>
      <c r="AT10">
        <f>IF(EXACT(Asistencia!I11,"FL"),1,0)</f>
        <v>0</v>
      </c>
      <c r="AU10">
        <f>IF(EXACT(Asistencia!J11,"FL"),1,0)</f>
        <v>0</v>
      </c>
      <c r="AV10">
        <f>IF(EXACT(Asistencia!K11,"FL"),1,0)</f>
        <v>0</v>
      </c>
      <c r="AW10">
        <f>IF(EXACT(Asistencia!L11,"FL"),1,0)</f>
        <v>0</v>
      </c>
      <c r="AX10">
        <f t="shared" si="21"/>
        <v>0</v>
      </c>
      <c r="AY10">
        <f>IF(EXACT(Asistencia!F11,"DL"),1,0)</f>
        <v>0</v>
      </c>
      <c r="AZ10">
        <f>IF(EXACT(Asistencia!G11,"DL"),1,0)</f>
        <v>0</v>
      </c>
      <c r="BA10">
        <f>IF(EXACT(Asistencia!H11,"DL"),1,0)</f>
        <v>0</v>
      </c>
      <c r="BB10">
        <f>IF(EXACT(Asistencia!I11,"DL"),1,0)</f>
        <v>0</v>
      </c>
      <c r="BC10">
        <f>IF(EXACT(Asistencia!J11,"DL"),1,0)</f>
        <v>0</v>
      </c>
      <c r="BD10">
        <f>IF(EXACT(Asistencia!K11,"DL"),1,0)</f>
        <v>0</v>
      </c>
      <c r="BE10">
        <f>IF(EXACT(Asistencia!L11,"DL"),1,0)</f>
        <v>0</v>
      </c>
      <c r="BF10">
        <f t="shared" si="22"/>
        <v>0</v>
      </c>
      <c r="BG10">
        <f>IF(ISNUMBER(Asistencia!M11),Asistencia!M11,0)</f>
        <v>0</v>
      </c>
      <c r="BH10">
        <f>IF(ISNUMBER(Asistencia!N11),Asistencia!N11,0)</f>
        <v>0</v>
      </c>
      <c r="BI10">
        <f>IF(ISNUMBER(Asistencia!O11),Asistencia!O11,0)</f>
        <v>0</v>
      </c>
      <c r="BJ10">
        <f>IF(ISNUMBER(Asistencia!P11),Asistencia!P11,0)</f>
        <v>0</v>
      </c>
      <c r="BK10" t="str">
        <f>IF(Asistencia!F11="","",Asistencia!F11)</f>
        <v/>
      </c>
      <c r="BL10" t="str">
        <f>IF(Asistencia!G11="","",Asistencia!G11)</f>
        <v/>
      </c>
      <c r="BM10" t="str">
        <f>IF(Asistencia!H11="","",Asistencia!H11)</f>
        <v/>
      </c>
      <c r="BN10" t="str">
        <f>IF(Asistencia!I11="","",Asistencia!I11)</f>
        <v/>
      </c>
      <c r="BO10" t="str">
        <f>IF(Asistencia!J11="","",Asistencia!J11)</f>
        <v/>
      </c>
      <c r="BP10" t="str">
        <f>IF(Asistencia!K11="","",Asistencia!K11)</f>
        <v/>
      </c>
      <c r="BQ10" t="str">
        <f>IF(Asistencia!L11="","",Asistencia!L11)</f>
        <v/>
      </c>
    </row>
    <row r="11" spans="1:69" ht="15.75" customHeight="1" x14ac:dyDescent="0.25">
      <c r="A11" s="46" t="str">
        <f t="shared" si="0"/>
        <v/>
      </c>
      <c r="B11" s="47" t="str">
        <f t="shared" si="1"/>
        <v/>
      </c>
      <c r="C11" s="47"/>
      <c r="D11" s="47"/>
      <c r="E11" s="46" t="str">
        <f t="shared" si="2"/>
        <v/>
      </c>
      <c r="F11" s="45" t="str">
        <f t="shared" si="3"/>
        <v/>
      </c>
      <c r="G11" s="44" t="str">
        <f t="shared" si="4"/>
        <v/>
      </c>
      <c r="H11" s="44" t="str">
        <f t="shared" si="5"/>
        <v/>
      </c>
      <c r="I11" s="44" t="str">
        <f t="shared" si="6"/>
        <v/>
      </c>
      <c r="J11" s="44" t="str">
        <f t="shared" si="7"/>
        <v/>
      </c>
      <c r="K11" s="44" t="str">
        <f t="shared" si="8"/>
        <v/>
      </c>
      <c r="L11" s="44" t="str">
        <f t="shared" si="9"/>
        <v/>
      </c>
      <c r="M11" s="43" t="str">
        <f t="shared" si="10"/>
        <v/>
      </c>
      <c r="N11" s="41" t="str">
        <f t="shared" si="11"/>
        <v/>
      </c>
      <c r="O11" s="41" t="str">
        <f t="shared" si="12"/>
        <v/>
      </c>
      <c r="P11" s="41" t="str">
        <f t="shared" si="13"/>
        <v/>
      </c>
      <c r="Q11" s="41" t="str">
        <f t="shared" si="14"/>
        <v/>
      </c>
      <c r="R11" s="41" t="str">
        <f t="shared" si="15"/>
        <v/>
      </c>
      <c r="S11" s="41"/>
      <c r="T11" s="48"/>
      <c r="U11" s="41" t="str">
        <f t="shared" si="16"/>
        <v/>
      </c>
      <c r="V11" s="41"/>
      <c r="W11" s="42" t="str">
        <f t="shared" si="17"/>
        <v/>
      </c>
      <c r="Y11" t="str">
        <f>IFERROR(MATCH(7,$AH$5:$AH$323,0),"")</f>
        <v/>
      </c>
      <c r="Z11" t="str">
        <f t="shared" si="18"/>
        <v/>
      </c>
      <c r="AA11" t="str">
        <f t="shared" si="19"/>
        <v/>
      </c>
      <c r="AB11" t="str">
        <f>IF(Asistencia!A12="","",Asistencia!A12)</f>
        <v/>
      </c>
      <c r="AC11" t="str">
        <f>IF(Asistencia!A12="","",SUBSTITUTE(SUBSTITUTE(SUBSTITUTE(SUBSTITUTE(SUBSTITUTE(SUBSTITUTE(SUBSTITUTE(UPPER(TRIM(Asistencia!A12)),"Á","A"),"É","E"),"Í","I"),"Ó","O"),"Ú","U"),"Ñ","N"),"  "," "))</f>
        <v/>
      </c>
      <c r="AD11" t="str">
        <f>IF(Asistencia!E12="","",Asistencia!E12)</f>
        <v/>
      </c>
      <c r="AE11" t="str">
        <f>IF(Asistencia!D12="","",UPPER(TRIM(Asistencia!D12)))</f>
        <v/>
      </c>
      <c r="AF11" t="s">
        <v>186</v>
      </c>
      <c r="AG11">
        <f>IF(AND(AA11&lt;&gt;"",COUNTIF($AA$5:AA11,AA11)=1),1,0)</f>
        <v>0</v>
      </c>
      <c r="AH11" t="str">
        <f>IF(AG11=1,SUM($AG$5:AG11),"")</f>
        <v/>
      </c>
      <c r="AI11">
        <f>IF(OR(EXACT(Asistencia!F12,"A"),EXACT(Asistencia!F12,"R"),EXACT(Asistencia!F12,"DL"),EXACT(Asistencia!F12,"FL"),EXACT(Asistencia!F12,"FE"),EXACT(Asistencia!F12,"PCS"),EXACT(Asistencia!F12,"V")),1,0)</f>
        <v>0</v>
      </c>
      <c r="AJ11">
        <f>IF(OR(EXACT(Asistencia!G12,"A"),EXACT(Asistencia!G12,"R"),EXACT(Asistencia!G12,"DL"),EXACT(Asistencia!G12,"FL"),EXACT(Asistencia!G12,"FE"),EXACT(Asistencia!G12,"PCS"),EXACT(Asistencia!G12,"V")),1,0)</f>
        <v>0</v>
      </c>
      <c r="AK11">
        <f>IF(OR(EXACT(Asistencia!H12,"A"),EXACT(Asistencia!H12,"R"),EXACT(Asistencia!H12,"DL"),EXACT(Asistencia!H12,"FL"),EXACT(Asistencia!H12,"FE"),EXACT(Asistencia!H12,"PCS"),EXACT(Asistencia!H12,"V")),1,0)</f>
        <v>0</v>
      </c>
      <c r="AL11">
        <f>IF(OR(EXACT(Asistencia!I12,"A"),EXACT(Asistencia!I12,"R"),EXACT(Asistencia!I12,"DL"),EXACT(Asistencia!I12,"FL"),EXACT(Asistencia!I12,"FE"),EXACT(Asistencia!I12,"PCS"),EXACT(Asistencia!I12,"V")),1,0)</f>
        <v>0</v>
      </c>
      <c r="AM11">
        <f>IF(OR(EXACT(Asistencia!J12,"A"),EXACT(Asistencia!J12,"R"),EXACT(Asistencia!J12,"DL"),EXACT(Asistencia!J12,"FL"),EXACT(Asistencia!J12,"FE"),EXACT(Asistencia!J12,"PCS"),EXACT(Asistencia!J12,"V")),1,0)</f>
        <v>0</v>
      </c>
      <c r="AN11">
        <f>IF(OR(EXACT(Asistencia!K12,"A"),EXACT(Asistencia!K12,"R"),EXACT(Asistencia!K12,"DL"),EXACT(Asistencia!K12,"FL"),EXACT(Asistencia!K12,"FE"),EXACT(Asistencia!K12,"PCS"),EXACT(Asistencia!K12,"V")),1,0)</f>
        <v>0</v>
      </c>
      <c r="AO11">
        <f>IF(OR(EXACT(Asistencia!L12,"A"),EXACT(Asistencia!L12,"R"),EXACT(Asistencia!L12,"DL"),EXACT(Asistencia!L12,"FL"),EXACT(Asistencia!L12,"FE"),EXACT(Asistencia!L12,"PCS"),EXACT(Asistencia!L12,"V")),1,0)</f>
        <v>0</v>
      </c>
      <c r="AP11">
        <f t="shared" si="20"/>
        <v>0</v>
      </c>
      <c r="AQ11">
        <f>IF(EXACT(Asistencia!F12,"FL"),1,0)</f>
        <v>0</v>
      </c>
      <c r="AR11">
        <f>IF(EXACT(Asistencia!G12,"FL"),1,0)</f>
        <v>0</v>
      </c>
      <c r="AS11">
        <f>IF(EXACT(Asistencia!H12,"FL"),1,0)</f>
        <v>0</v>
      </c>
      <c r="AT11">
        <f>IF(EXACT(Asistencia!I12,"FL"),1,0)</f>
        <v>0</v>
      </c>
      <c r="AU11">
        <f>IF(EXACT(Asistencia!J12,"FL"),1,0)</f>
        <v>0</v>
      </c>
      <c r="AV11">
        <f>IF(EXACT(Asistencia!K12,"FL"),1,0)</f>
        <v>0</v>
      </c>
      <c r="AW11">
        <f>IF(EXACT(Asistencia!L12,"FL"),1,0)</f>
        <v>0</v>
      </c>
      <c r="AX11">
        <f t="shared" si="21"/>
        <v>0</v>
      </c>
      <c r="AY11">
        <f>IF(EXACT(Asistencia!F12,"DL"),1,0)</f>
        <v>0</v>
      </c>
      <c r="AZ11">
        <f>IF(EXACT(Asistencia!G12,"DL"),1,0)</f>
        <v>0</v>
      </c>
      <c r="BA11">
        <f>IF(EXACT(Asistencia!H12,"DL"),1,0)</f>
        <v>0</v>
      </c>
      <c r="BB11">
        <f>IF(EXACT(Asistencia!I12,"DL"),1,0)</f>
        <v>0</v>
      </c>
      <c r="BC11">
        <f>IF(EXACT(Asistencia!J12,"DL"),1,0)</f>
        <v>0</v>
      </c>
      <c r="BD11">
        <f>IF(EXACT(Asistencia!K12,"DL"),1,0)</f>
        <v>0</v>
      </c>
      <c r="BE11">
        <f>IF(EXACT(Asistencia!L12,"DL"),1,0)</f>
        <v>0</v>
      </c>
      <c r="BF11">
        <f t="shared" si="22"/>
        <v>0</v>
      </c>
      <c r="BG11">
        <f>IF(ISNUMBER(Asistencia!M12),Asistencia!M12,0)</f>
        <v>0</v>
      </c>
      <c r="BH11">
        <f>IF(ISNUMBER(Asistencia!N12),Asistencia!N12,0)</f>
        <v>0</v>
      </c>
      <c r="BI11">
        <f>IF(ISNUMBER(Asistencia!O12),Asistencia!O12,0)</f>
        <v>0</v>
      </c>
      <c r="BJ11">
        <f>IF(ISNUMBER(Asistencia!P12),Asistencia!P12,0)</f>
        <v>0</v>
      </c>
      <c r="BK11" t="str">
        <f>IF(Asistencia!F12="","",Asistencia!F12)</f>
        <v/>
      </c>
      <c r="BL11" t="str">
        <f>IF(Asistencia!G12="","",Asistencia!G12)</f>
        <v/>
      </c>
      <c r="BM11" t="str">
        <f>IF(Asistencia!H12="","",Asistencia!H12)</f>
        <v/>
      </c>
      <c r="BN11" t="str">
        <f>IF(Asistencia!I12="","",Asistencia!I12)</f>
        <v/>
      </c>
      <c r="BO11" t="str">
        <f>IF(Asistencia!J12="","",Asistencia!J12)</f>
        <v/>
      </c>
      <c r="BP11" t="str">
        <f>IF(Asistencia!K12="","",Asistencia!K12)</f>
        <v/>
      </c>
      <c r="BQ11" t="str">
        <f>IF(Asistencia!L12="","",Asistencia!L12)</f>
        <v/>
      </c>
    </row>
    <row r="12" spans="1:69" ht="15.75" customHeight="1" x14ac:dyDescent="0.25">
      <c r="A12" s="46" t="str">
        <f t="shared" si="0"/>
        <v/>
      </c>
      <c r="B12" s="47" t="str">
        <f t="shared" si="1"/>
        <v/>
      </c>
      <c r="C12" s="47"/>
      <c r="D12" s="47"/>
      <c r="E12" s="46" t="str">
        <f t="shared" si="2"/>
        <v/>
      </c>
      <c r="F12" s="45" t="str">
        <f t="shared" si="3"/>
        <v/>
      </c>
      <c r="G12" s="44" t="str">
        <f t="shared" si="4"/>
        <v/>
      </c>
      <c r="H12" s="44" t="str">
        <f t="shared" si="5"/>
        <v/>
      </c>
      <c r="I12" s="44" t="str">
        <f t="shared" si="6"/>
        <v/>
      </c>
      <c r="J12" s="44" t="str">
        <f t="shared" si="7"/>
        <v/>
      </c>
      <c r="K12" s="44" t="str">
        <f t="shared" si="8"/>
        <v/>
      </c>
      <c r="L12" s="44" t="str">
        <f t="shared" si="9"/>
        <v/>
      </c>
      <c r="M12" s="43" t="str">
        <f t="shared" si="10"/>
        <v/>
      </c>
      <c r="N12" s="41" t="str">
        <f t="shared" si="11"/>
        <v/>
      </c>
      <c r="O12" s="41" t="str">
        <f t="shared" si="12"/>
        <v/>
      </c>
      <c r="P12" s="41" t="str">
        <f t="shared" si="13"/>
        <v/>
      </c>
      <c r="Q12" s="41" t="str">
        <f t="shared" si="14"/>
        <v/>
      </c>
      <c r="R12" s="41" t="str">
        <f t="shared" si="15"/>
        <v/>
      </c>
      <c r="S12" s="41"/>
      <c r="T12" s="48"/>
      <c r="U12" s="41" t="str">
        <f t="shared" si="16"/>
        <v/>
      </c>
      <c r="V12" s="41"/>
      <c r="W12" s="42" t="str">
        <f t="shared" si="17"/>
        <v/>
      </c>
      <c r="Y12" t="str">
        <f>IFERROR(MATCH(8,$AH$5:$AH$323,0),"")</f>
        <v/>
      </c>
      <c r="Z12" t="str">
        <f t="shared" si="18"/>
        <v/>
      </c>
      <c r="AA12" t="str">
        <f t="shared" si="19"/>
        <v/>
      </c>
      <c r="AB12" t="str">
        <f>IF(Asistencia!A13="","",Asistencia!A13)</f>
        <v/>
      </c>
      <c r="AC12" t="str">
        <f>IF(Asistencia!A13="","",SUBSTITUTE(SUBSTITUTE(SUBSTITUTE(SUBSTITUTE(SUBSTITUTE(SUBSTITUTE(SUBSTITUTE(UPPER(TRIM(Asistencia!A13)),"Á","A"),"É","E"),"Í","I"),"Ó","O"),"Ú","U"),"Ñ","N"),"  "," "))</f>
        <v/>
      </c>
      <c r="AD12" t="str">
        <f>IF(Asistencia!E13="","",Asistencia!E13)</f>
        <v/>
      </c>
      <c r="AE12" t="str">
        <f>IF(Asistencia!D13="","",UPPER(TRIM(Asistencia!D13)))</f>
        <v/>
      </c>
      <c r="AF12" t="s">
        <v>186</v>
      </c>
      <c r="AG12">
        <f>IF(AND(AA12&lt;&gt;"",COUNTIF($AA$5:AA12,AA12)=1),1,0)</f>
        <v>0</v>
      </c>
      <c r="AH12" t="str">
        <f>IF(AG12=1,SUM($AG$5:AG12),"")</f>
        <v/>
      </c>
      <c r="AI12">
        <f>IF(OR(EXACT(Asistencia!F13,"A"),EXACT(Asistencia!F13,"R"),EXACT(Asistencia!F13,"DL"),EXACT(Asistencia!F13,"FL"),EXACT(Asistencia!F13,"FE"),EXACT(Asistencia!F13,"PCS"),EXACT(Asistencia!F13,"V")),1,0)</f>
        <v>0</v>
      </c>
      <c r="AJ12">
        <f>IF(OR(EXACT(Asistencia!G13,"A"),EXACT(Asistencia!G13,"R"),EXACT(Asistencia!G13,"DL"),EXACT(Asistencia!G13,"FL"),EXACT(Asistencia!G13,"FE"),EXACT(Asistencia!G13,"PCS"),EXACT(Asistencia!G13,"V")),1,0)</f>
        <v>0</v>
      </c>
      <c r="AK12">
        <f>IF(OR(EXACT(Asistencia!H13,"A"),EXACT(Asistencia!H13,"R"),EXACT(Asistencia!H13,"DL"),EXACT(Asistencia!H13,"FL"),EXACT(Asistencia!H13,"FE"),EXACT(Asistencia!H13,"PCS"),EXACT(Asistencia!H13,"V")),1,0)</f>
        <v>0</v>
      </c>
      <c r="AL12">
        <f>IF(OR(EXACT(Asistencia!I13,"A"),EXACT(Asistencia!I13,"R"),EXACT(Asistencia!I13,"DL"),EXACT(Asistencia!I13,"FL"),EXACT(Asistencia!I13,"FE"),EXACT(Asistencia!I13,"PCS"),EXACT(Asistencia!I13,"V")),1,0)</f>
        <v>0</v>
      </c>
      <c r="AM12">
        <f>IF(OR(EXACT(Asistencia!J13,"A"),EXACT(Asistencia!J13,"R"),EXACT(Asistencia!J13,"DL"),EXACT(Asistencia!J13,"FL"),EXACT(Asistencia!J13,"FE"),EXACT(Asistencia!J13,"PCS"),EXACT(Asistencia!J13,"V")),1,0)</f>
        <v>0</v>
      </c>
      <c r="AN12">
        <f>IF(OR(EXACT(Asistencia!K13,"A"),EXACT(Asistencia!K13,"R"),EXACT(Asistencia!K13,"DL"),EXACT(Asistencia!K13,"FL"),EXACT(Asistencia!K13,"FE"),EXACT(Asistencia!K13,"PCS"),EXACT(Asistencia!K13,"V")),1,0)</f>
        <v>0</v>
      </c>
      <c r="AO12">
        <f>IF(OR(EXACT(Asistencia!L13,"A"),EXACT(Asistencia!L13,"R"),EXACT(Asistencia!L13,"DL"),EXACT(Asistencia!L13,"FL"),EXACT(Asistencia!L13,"FE"),EXACT(Asistencia!L13,"PCS"),EXACT(Asistencia!L13,"V")),1,0)</f>
        <v>0</v>
      </c>
      <c r="AP12">
        <f t="shared" si="20"/>
        <v>0</v>
      </c>
      <c r="AQ12">
        <f>IF(EXACT(Asistencia!F13,"FL"),1,0)</f>
        <v>0</v>
      </c>
      <c r="AR12">
        <f>IF(EXACT(Asistencia!G13,"FL"),1,0)</f>
        <v>0</v>
      </c>
      <c r="AS12">
        <f>IF(EXACT(Asistencia!H13,"FL"),1,0)</f>
        <v>0</v>
      </c>
      <c r="AT12">
        <f>IF(EXACT(Asistencia!I13,"FL"),1,0)</f>
        <v>0</v>
      </c>
      <c r="AU12">
        <f>IF(EXACT(Asistencia!J13,"FL"),1,0)</f>
        <v>0</v>
      </c>
      <c r="AV12">
        <f>IF(EXACT(Asistencia!K13,"FL"),1,0)</f>
        <v>0</v>
      </c>
      <c r="AW12">
        <f>IF(EXACT(Asistencia!L13,"FL"),1,0)</f>
        <v>0</v>
      </c>
      <c r="AX12">
        <f t="shared" si="21"/>
        <v>0</v>
      </c>
      <c r="AY12">
        <f>IF(EXACT(Asistencia!F13,"DL"),1,0)</f>
        <v>0</v>
      </c>
      <c r="AZ12">
        <f>IF(EXACT(Asistencia!G13,"DL"),1,0)</f>
        <v>0</v>
      </c>
      <c r="BA12">
        <f>IF(EXACT(Asistencia!H13,"DL"),1,0)</f>
        <v>0</v>
      </c>
      <c r="BB12">
        <f>IF(EXACT(Asistencia!I13,"DL"),1,0)</f>
        <v>0</v>
      </c>
      <c r="BC12">
        <f>IF(EXACT(Asistencia!J13,"DL"),1,0)</f>
        <v>0</v>
      </c>
      <c r="BD12">
        <f>IF(EXACT(Asistencia!K13,"DL"),1,0)</f>
        <v>0</v>
      </c>
      <c r="BE12">
        <f>IF(EXACT(Asistencia!L13,"DL"),1,0)</f>
        <v>0</v>
      </c>
      <c r="BF12">
        <f t="shared" si="22"/>
        <v>0</v>
      </c>
      <c r="BG12">
        <f>IF(ISNUMBER(Asistencia!M13),Asistencia!M13,0)</f>
        <v>0</v>
      </c>
      <c r="BH12">
        <f>IF(ISNUMBER(Asistencia!N13),Asistencia!N13,0)</f>
        <v>0</v>
      </c>
      <c r="BI12">
        <f>IF(ISNUMBER(Asistencia!O13),Asistencia!O13,0)</f>
        <v>0</v>
      </c>
      <c r="BJ12">
        <f>IF(ISNUMBER(Asistencia!P13),Asistencia!P13,0)</f>
        <v>0</v>
      </c>
      <c r="BK12" t="str">
        <f>IF(Asistencia!F13="","",Asistencia!F13)</f>
        <v/>
      </c>
      <c r="BL12" t="str">
        <f>IF(Asistencia!G13="","",Asistencia!G13)</f>
        <v/>
      </c>
      <c r="BM12" t="str">
        <f>IF(Asistencia!H13="","",Asistencia!H13)</f>
        <v/>
      </c>
      <c r="BN12" t="str">
        <f>IF(Asistencia!I13="","",Asistencia!I13)</f>
        <v/>
      </c>
      <c r="BO12" t="str">
        <f>IF(Asistencia!J13="","",Asistencia!J13)</f>
        <v/>
      </c>
      <c r="BP12" t="str">
        <f>IF(Asistencia!K13="","",Asistencia!K13)</f>
        <v/>
      </c>
      <c r="BQ12" t="str">
        <f>IF(Asistencia!L13="","",Asistencia!L13)</f>
        <v/>
      </c>
    </row>
    <row r="13" spans="1:69" ht="15.75" customHeight="1" x14ac:dyDescent="0.25">
      <c r="A13" s="46" t="str">
        <f t="shared" si="0"/>
        <v/>
      </c>
      <c r="B13" s="47" t="str">
        <f t="shared" si="1"/>
        <v/>
      </c>
      <c r="C13" s="47"/>
      <c r="D13" s="47"/>
      <c r="E13" s="46" t="str">
        <f t="shared" si="2"/>
        <v/>
      </c>
      <c r="F13" s="45" t="str">
        <f t="shared" si="3"/>
        <v/>
      </c>
      <c r="G13" s="44" t="str">
        <f t="shared" si="4"/>
        <v/>
      </c>
      <c r="H13" s="44" t="str">
        <f t="shared" si="5"/>
        <v/>
      </c>
      <c r="I13" s="44" t="str">
        <f t="shared" si="6"/>
        <v/>
      </c>
      <c r="J13" s="44" t="str">
        <f t="shared" si="7"/>
        <v/>
      </c>
      <c r="K13" s="44" t="str">
        <f t="shared" si="8"/>
        <v/>
      </c>
      <c r="L13" s="44" t="str">
        <f t="shared" si="9"/>
        <v/>
      </c>
      <c r="M13" s="43" t="str">
        <f t="shared" si="10"/>
        <v/>
      </c>
      <c r="N13" s="41" t="str">
        <f t="shared" si="11"/>
        <v/>
      </c>
      <c r="O13" s="41" t="str">
        <f t="shared" si="12"/>
        <v/>
      </c>
      <c r="P13" s="41" t="str">
        <f t="shared" si="13"/>
        <v/>
      </c>
      <c r="Q13" s="41" t="str">
        <f t="shared" si="14"/>
        <v/>
      </c>
      <c r="R13" s="41" t="str">
        <f t="shared" si="15"/>
        <v/>
      </c>
      <c r="S13" s="41"/>
      <c r="T13" s="48"/>
      <c r="U13" s="41" t="str">
        <f t="shared" si="16"/>
        <v/>
      </c>
      <c r="V13" s="41"/>
      <c r="W13" s="42" t="str">
        <f t="shared" si="17"/>
        <v/>
      </c>
      <c r="Y13" t="str">
        <f>IFERROR(MATCH(9,$AH$5:$AH$323,0),"")</f>
        <v/>
      </c>
      <c r="Z13" t="str">
        <f t="shared" si="18"/>
        <v/>
      </c>
      <c r="AA13" t="str">
        <f t="shared" si="19"/>
        <v/>
      </c>
      <c r="AB13" t="str">
        <f>IF(Asistencia!A14="","",Asistencia!A14)</f>
        <v/>
      </c>
      <c r="AC13" t="str">
        <f>IF(Asistencia!A14="","",SUBSTITUTE(SUBSTITUTE(SUBSTITUTE(SUBSTITUTE(SUBSTITUTE(SUBSTITUTE(SUBSTITUTE(UPPER(TRIM(Asistencia!A14)),"Á","A"),"É","E"),"Í","I"),"Ó","O"),"Ú","U"),"Ñ","N"),"  "," "))</f>
        <v/>
      </c>
      <c r="AD13" t="str">
        <f>IF(Asistencia!E14="","",Asistencia!E14)</f>
        <v/>
      </c>
      <c r="AE13" t="str">
        <f>IF(Asistencia!D14="","",UPPER(TRIM(Asistencia!D14)))</f>
        <v/>
      </c>
      <c r="AF13" t="s">
        <v>186</v>
      </c>
      <c r="AG13">
        <f>IF(AND(AA13&lt;&gt;"",COUNTIF($AA$5:AA13,AA13)=1),1,0)</f>
        <v>0</v>
      </c>
      <c r="AH13" t="str">
        <f>IF(AG13=1,SUM($AG$5:AG13),"")</f>
        <v/>
      </c>
      <c r="AI13">
        <f>IF(OR(EXACT(Asistencia!F14,"A"),EXACT(Asistencia!F14,"R"),EXACT(Asistencia!F14,"DL"),EXACT(Asistencia!F14,"FL"),EXACT(Asistencia!F14,"FE"),EXACT(Asistencia!F14,"PCS"),EXACT(Asistencia!F14,"V")),1,0)</f>
        <v>0</v>
      </c>
      <c r="AJ13">
        <f>IF(OR(EXACT(Asistencia!G14,"A"),EXACT(Asistencia!G14,"R"),EXACT(Asistencia!G14,"DL"),EXACT(Asistencia!G14,"FL"),EXACT(Asistencia!G14,"FE"),EXACT(Asistencia!G14,"PCS"),EXACT(Asistencia!G14,"V")),1,0)</f>
        <v>0</v>
      </c>
      <c r="AK13">
        <f>IF(OR(EXACT(Asistencia!H14,"A"),EXACT(Asistencia!H14,"R"),EXACT(Asistencia!H14,"DL"),EXACT(Asistencia!H14,"FL"),EXACT(Asistencia!H14,"FE"),EXACT(Asistencia!H14,"PCS"),EXACT(Asistencia!H14,"V")),1,0)</f>
        <v>0</v>
      </c>
      <c r="AL13">
        <f>IF(OR(EXACT(Asistencia!I14,"A"),EXACT(Asistencia!I14,"R"),EXACT(Asistencia!I14,"DL"),EXACT(Asistencia!I14,"FL"),EXACT(Asistencia!I14,"FE"),EXACT(Asistencia!I14,"PCS"),EXACT(Asistencia!I14,"V")),1,0)</f>
        <v>0</v>
      </c>
      <c r="AM13">
        <f>IF(OR(EXACT(Asistencia!J14,"A"),EXACT(Asistencia!J14,"R"),EXACT(Asistencia!J14,"DL"),EXACT(Asistencia!J14,"FL"),EXACT(Asistencia!J14,"FE"),EXACT(Asistencia!J14,"PCS"),EXACT(Asistencia!J14,"V")),1,0)</f>
        <v>0</v>
      </c>
      <c r="AN13">
        <f>IF(OR(EXACT(Asistencia!K14,"A"),EXACT(Asistencia!K14,"R"),EXACT(Asistencia!K14,"DL"),EXACT(Asistencia!K14,"FL"),EXACT(Asistencia!K14,"FE"),EXACT(Asistencia!K14,"PCS"),EXACT(Asistencia!K14,"V")),1,0)</f>
        <v>0</v>
      </c>
      <c r="AO13">
        <f>IF(OR(EXACT(Asistencia!L14,"A"),EXACT(Asistencia!L14,"R"),EXACT(Asistencia!L14,"DL"),EXACT(Asistencia!L14,"FL"),EXACT(Asistencia!L14,"FE"),EXACT(Asistencia!L14,"PCS"),EXACT(Asistencia!L14,"V")),1,0)</f>
        <v>0</v>
      </c>
      <c r="AP13">
        <f t="shared" si="20"/>
        <v>0</v>
      </c>
      <c r="AQ13">
        <f>IF(EXACT(Asistencia!F14,"FL"),1,0)</f>
        <v>0</v>
      </c>
      <c r="AR13">
        <f>IF(EXACT(Asistencia!G14,"FL"),1,0)</f>
        <v>0</v>
      </c>
      <c r="AS13">
        <f>IF(EXACT(Asistencia!H14,"FL"),1,0)</f>
        <v>0</v>
      </c>
      <c r="AT13">
        <f>IF(EXACT(Asistencia!I14,"FL"),1,0)</f>
        <v>0</v>
      </c>
      <c r="AU13">
        <f>IF(EXACT(Asistencia!J14,"FL"),1,0)</f>
        <v>0</v>
      </c>
      <c r="AV13">
        <f>IF(EXACT(Asistencia!K14,"FL"),1,0)</f>
        <v>0</v>
      </c>
      <c r="AW13">
        <f>IF(EXACT(Asistencia!L14,"FL"),1,0)</f>
        <v>0</v>
      </c>
      <c r="AX13">
        <f t="shared" si="21"/>
        <v>0</v>
      </c>
      <c r="AY13">
        <f>IF(EXACT(Asistencia!F14,"DL"),1,0)</f>
        <v>0</v>
      </c>
      <c r="AZ13">
        <f>IF(EXACT(Asistencia!G14,"DL"),1,0)</f>
        <v>0</v>
      </c>
      <c r="BA13">
        <f>IF(EXACT(Asistencia!H14,"DL"),1,0)</f>
        <v>0</v>
      </c>
      <c r="BB13">
        <f>IF(EXACT(Asistencia!I14,"DL"),1,0)</f>
        <v>0</v>
      </c>
      <c r="BC13">
        <f>IF(EXACT(Asistencia!J14,"DL"),1,0)</f>
        <v>0</v>
      </c>
      <c r="BD13">
        <f>IF(EXACT(Asistencia!K14,"DL"),1,0)</f>
        <v>0</v>
      </c>
      <c r="BE13">
        <f>IF(EXACT(Asistencia!L14,"DL"),1,0)</f>
        <v>0</v>
      </c>
      <c r="BF13">
        <f t="shared" si="22"/>
        <v>0</v>
      </c>
      <c r="BG13">
        <f>IF(ISNUMBER(Asistencia!M14),Asistencia!M14,0)</f>
        <v>0</v>
      </c>
      <c r="BH13">
        <f>IF(ISNUMBER(Asistencia!N14),Asistencia!N14,0)</f>
        <v>0</v>
      </c>
      <c r="BI13">
        <f>IF(ISNUMBER(Asistencia!O14),Asistencia!O14,0)</f>
        <v>0</v>
      </c>
      <c r="BJ13">
        <f>IF(ISNUMBER(Asistencia!P14),Asistencia!P14,0)</f>
        <v>0</v>
      </c>
      <c r="BK13" t="str">
        <f>IF(Asistencia!F14="","",Asistencia!F14)</f>
        <v/>
      </c>
      <c r="BL13" t="str">
        <f>IF(Asistencia!G14="","",Asistencia!G14)</f>
        <v/>
      </c>
      <c r="BM13" t="str">
        <f>IF(Asistencia!H14="","",Asistencia!H14)</f>
        <v/>
      </c>
      <c r="BN13" t="str">
        <f>IF(Asistencia!I14="","",Asistencia!I14)</f>
        <v/>
      </c>
      <c r="BO13" t="str">
        <f>IF(Asistencia!J14="","",Asistencia!J14)</f>
        <v/>
      </c>
      <c r="BP13" t="str">
        <f>IF(Asistencia!K14="","",Asistencia!K14)</f>
        <v/>
      </c>
      <c r="BQ13" t="str">
        <f>IF(Asistencia!L14="","",Asistencia!L14)</f>
        <v/>
      </c>
    </row>
    <row r="14" spans="1:69" ht="15.75" customHeight="1" x14ac:dyDescent="0.25">
      <c r="A14" s="46" t="str">
        <f t="shared" si="0"/>
        <v/>
      </c>
      <c r="B14" s="47" t="str">
        <f t="shared" si="1"/>
        <v/>
      </c>
      <c r="C14" s="47"/>
      <c r="D14" s="47"/>
      <c r="E14" s="46" t="str">
        <f t="shared" si="2"/>
        <v/>
      </c>
      <c r="F14" s="45" t="str">
        <f t="shared" si="3"/>
        <v/>
      </c>
      <c r="G14" s="44" t="str">
        <f t="shared" si="4"/>
        <v/>
      </c>
      <c r="H14" s="44" t="str">
        <f t="shared" si="5"/>
        <v/>
      </c>
      <c r="I14" s="44" t="str">
        <f t="shared" si="6"/>
        <v/>
      </c>
      <c r="J14" s="44" t="str">
        <f t="shared" si="7"/>
        <v/>
      </c>
      <c r="K14" s="44" t="str">
        <f t="shared" si="8"/>
        <v/>
      </c>
      <c r="L14" s="44" t="str">
        <f t="shared" si="9"/>
        <v/>
      </c>
      <c r="M14" s="43" t="str">
        <f t="shared" si="10"/>
        <v/>
      </c>
      <c r="N14" s="41" t="str">
        <f t="shared" si="11"/>
        <v/>
      </c>
      <c r="O14" s="41" t="str">
        <f t="shared" si="12"/>
        <v/>
      </c>
      <c r="P14" s="41" t="str">
        <f t="shared" si="13"/>
        <v/>
      </c>
      <c r="Q14" s="41" t="str">
        <f t="shared" si="14"/>
        <v/>
      </c>
      <c r="R14" s="41" t="str">
        <f t="shared" si="15"/>
        <v/>
      </c>
      <c r="S14" s="41"/>
      <c r="T14" s="48"/>
      <c r="U14" s="41" t="str">
        <f t="shared" si="16"/>
        <v/>
      </c>
      <c r="V14" s="41"/>
      <c r="W14" s="42" t="str">
        <f t="shared" si="17"/>
        <v/>
      </c>
      <c r="Y14" t="str">
        <f>IFERROR(MATCH(10,$AH$5:$AH$323,0),"")</f>
        <v/>
      </c>
      <c r="Z14" t="str">
        <f t="shared" si="18"/>
        <v/>
      </c>
      <c r="AA14" t="str">
        <f t="shared" si="19"/>
        <v/>
      </c>
      <c r="AB14" t="str">
        <f>IF(Asistencia!A15="","",Asistencia!A15)</f>
        <v/>
      </c>
      <c r="AC14" t="str">
        <f>IF(Asistencia!A15="","",SUBSTITUTE(SUBSTITUTE(SUBSTITUTE(SUBSTITUTE(SUBSTITUTE(SUBSTITUTE(SUBSTITUTE(UPPER(TRIM(Asistencia!A15)),"Á","A"),"É","E"),"Í","I"),"Ó","O"),"Ú","U"),"Ñ","N"),"  "," "))</f>
        <v/>
      </c>
      <c r="AD14" t="str">
        <f>IF(Asistencia!E15="","",Asistencia!E15)</f>
        <v/>
      </c>
      <c r="AE14" t="str">
        <f>IF(Asistencia!D15="","",UPPER(TRIM(Asistencia!D15)))</f>
        <v/>
      </c>
      <c r="AF14" t="s">
        <v>186</v>
      </c>
      <c r="AG14">
        <f>IF(AND(AA14&lt;&gt;"",COUNTIF($AA$5:AA14,AA14)=1),1,0)</f>
        <v>0</v>
      </c>
      <c r="AH14" t="str">
        <f>IF(AG14=1,SUM($AG$5:AG14),"")</f>
        <v/>
      </c>
      <c r="AI14">
        <f>IF(OR(EXACT(Asistencia!F15,"A"),EXACT(Asistencia!F15,"R"),EXACT(Asistencia!F15,"DL"),EXACT(Asistencia!F15,"FL"),EXACT(Asistencia!F15,"FE"),EXACT(Asistencia!F15,"PCS"),EXACT(Asistencia!F15,"V")),1,0)</f>
        <v>0</v>
      </c>
      <c r="AJ14">
        <f>IF(OR(EXACT(Asistencia!G15,"A"),EXACT(Asistencia!G15,"R"),EXACT(Asistencia!G15,"DL"),EXACT(Asistencia!G15,"FL"),EXACT(Asistencia!G15,"FE"),EXACT(Asistencia!G15,"PCS"),EXACT(Asistencia!G15,"V")),1,0)</f>
        <v>0</v>
      </c>
      <c r="AK14">
        <f>IF(OR(EXACT(Asistencia!H15,"A"),EXACT(Asistencia!H15,"R"),EXACT(Asistencia!H15,"DL"),EXACT(Asistencia!H15,"FL"),EXACT(Asistencia!H15,"FE"),EXACT(Asistencia!H15,"PCS"),EXACT(Asistencia!H15,"V")),1,0)</f>
        <v>0</v>
      </c>
      <c r="AL14">
        <f>IF(OR(EXACT(Asistencia!I15,"A"),EXACT(Asistencia!I15,"R"),EXACT(Asistencia!I15,"DL"),EXACT(Asistencia!I15,"FL"),EXACT(Asistencia!I15,"FE"),EXACT(Asistencia!I15,"PCS"),EXACT(Asistencia!I15,"V")),1,0)</f>
        <v>0</v>
      </c>
      <c r="AM14">
        <f>IF(OR(EXACT(Asistencia!J15,"A"),EXACT(Asistencia!J15,"R"),EXACT(Asistencia!J15,"DL"),EXACT(Asistencia!J15,"FL"),EXACT(Asistencia!J15,"FE"),EXACT(Asistencia!J15,"PCS"),EXACT(Asistencia!J15,"V")),1,0)</f>
        <v>0</v>
      </c>
      <c r="AN14">
        <f>IF(OR(EXACT(Asistencia!K15,"A"),EXACT(Asistencia!K15,"R"),EXACT(Asistencia!K15,"DL"),EXACT(Asistencia!K15,"FL"),EXACT(Asistencia!K15,"FE"),EXACT(Asistencia!K15,"PCS"),EXACT(Asistencia!K15,"V")),1,0)</f>
        <v>0</v>
      </c>
      <c r="AO14">
        <f>IF(OR(EXACT(Asistencia!L15,"A"),EXACT(Asistencia!L15,"R"),EXACT(Asistencia!L15,"DL"),EXACT(Asistencia!L15,"FL"),EXACT(Asistencia!L15,"FE"),EXACT(Asistencia!L15,"PCS"),EXACT(Asistencia!L15,"V")),1,0)</f>
        <v>0</v>
      </c>
      <c r="AP14">
        <f t="shared" si="20"/>
        <v>0</v>
      </c>
      <c r="AQ14">
        <f>IF(EXACT(Asistencia!F15,"FL"),1,0)</f>
        <v>0</v>
      </c>
      <c r="AR14">
        <f>IF(EXACT(Asistencia!G15,"FL"),1,0)</f>
        <v>0</v>
      </c>
      <c r="AS14">
        <f>IF(EXACT(Asistencia!H15,"FL"),1,0)</f>
        <v>0</v>
      </c>
      <c r="AT14">
        <f>IF(EXACT(Asistencia!I15,"FL"),1,0)</f>
        <v>0</v>
      </c>
      <c r="AU14">
        <f>IF(EXACT(Asistencia!J15,"FL"),1,0)</f>
        <v>0</v>
      </c>
      <c r="AV14">
        <f>IF(EXACT(Asistencia!K15,"FL"),1,0)</f>
        <v>0</v>
      </c>
      <c r="AW14">
        <f>IF(EXACT(Asistencia!L15,"FL"),1,0)</f>
        <v>0</v>
      </c>
      <c r="AX14">
        <f t="shared" si="21"/>
        <v>0</v>
      </c>
      <c r="AY14">
        <f>IF(EXACT(Asistencia!F15,"DL"),1,0)</f>
        <v>0</v>
      </c>
      <c r="AZ14">
        <f>IF(EXACT(Asistencia!G15,"DL"),1,0)</f>
        <v>0</v>
      </c>
      <c r="BA14">
        <f>IF(EXACT(Asistencia!H15,"DL"),1,0)</f>
        <v>0</v>
      </c>
      <c r="BB14">
        <f>IF(EXACT(Asistencia!I15,"DL"),1,0)</f>
        <v>0</v>
      </c>
      <c r="BC14">
        <f>IF(EXACT(Asistencia!J15,"DL"),1,0)</f>
        <v>0</v>
      </c>
      <c r="BD14">
        <f>IF(EXACT(Asistencia!K15,"DL"),1,0)</f>
        <v>0</v>
      </c>
      <c r="BE14">
        <f>IF(EXACT(Asistencia!L15,"DL"),1,0)</f>
        <v>0</v>
      </c>
      <c r="BF14">
        <f t="shared" si="22"/>
        <v>0</v>
      </c>
      <c r="BG14">
        <f>IF(ISNUMBER(Asistencia!M15),Asistencia!M15,0)</f>
        <v>0</v>
      </c>
      <c r="BH14">
        <f>IF(ISNUMBER(Asistencia!N15),Asistencia!N15,0)</f>
        <v>0</v>
      </c>
      <c r="BI14">
        <f>IF(ISNUMBER(Asistencia!O15),Asistencia!O15,0)</f>
        <v>0</v>
      </c>
      <c r="BJ14">
        <f>IF(ISNUMBER(Asistencia!P15),Asistencia!P15,0)</f>
        <v>0</v>
      </c>
      <c r="BK14" t="str">
        <f>IF(Asistencia!F15="","",Asistencia!F15)</f>
        <v/>
      </c>
      <c r="BL14" t="str">
        <f>IF(Asistencia!G15="","",Asistencia!G15)</f>
        <v/>
      </c>
      <c r="BM14" t="str">
        <f>IF(Asistencia!H15="","",Asistencia!H15)</f>
        <v/>
      </c>
      <c r="BN14" t="str">
        <f>IF(Asistencia!I15="","",Asistencia!I15)</f>
        <v/>
      </c>
      <c r="BO14" t="str">
        <f>IF(Asistencia!J15="","",Asistencia!J15)</f>
        <v/>
      </c>
      <c r="BP14" t="str">
        <f>IF(Asistencia!K15="","",Asistencia!K15)</f>
        <v/>
      </c>
      <c r="BQ14" t="str">
        <f>IF(Asistencia!L15="","",Asistencia!L15)</f>
        <v/>
      </c>
    </row>
    <row r="15" spans="1:69" ht="15.75" customHeight="1" x14ac:dyDescent="0.25">
      <c r="A15" s="46" t="str">
        <f t="shared" si="0"/>
        <v/>
      </c>
      <c r="B15" s="47" t="str">
        <f t="shared" si="1"/>
        <v/>
      </c>
      <c r="C15" s="47"/>
      <c r="D15" s="47"/>
      <c r="E15" s="46" t="str">
        <f t="shared" si="2"/>
        <v/>
      </c>
      <c r="F15" s="45" t="str">
        <f t="shared" si="3"/>
        <v/>
      </c>
      <c r="G15" s="44" t="str">
        <f t="shared" si="4"/>
        <v/>
      </c>
      <c r="H15" s="44" t="str">
        <f t="shared" si="5"/>
        <v/>
      </c>
      <c r="I15" s="44" t="str">
        <f t="shared" si="6"/>
        <v/>
      </c>
      <c r="J15" s="44" t="str">
        <f t="shared" si="7"/>
        <v/>
      </c>
      <c r="K15" s="44" t="str">
        <f t="shared" si="8"/>
        <v/>
      </c>
      <c r="L15" s="44" t="str">
        <f t="shared" si="9"/>
        <v/>
      </c>
      <c r="M15" s="43" t="str">
        <f t="shared" si="10"/>
        <v/>
      </c>
      <c r="N15" s="41" t="str">
        <f t="shared" si="11"/>
        <v/>
      </c>
      <c r="O15" s="41" t="str">
        <f t="shared" si="12"/>
        <v/>
      </c>
      <c r="P15" s="41" t="str">
        <f t="shared" si="13"/>
        <v/>
      </c>
      <c r="Q15" s="41" t="str">
        <f t="shared" si="14"/>
        <v/>
      </c>
      <c r="R15" s="41" t="str">
        <f t="shared" si="15"/>
        <v/>
      </c>
      <c r="S15" s="41"/>
      <c r="T15" s="48"/>
      <c r="U15" s="41" t="str">
        <f t="shared" si="16"/>
        <v/>
      </c>
      <c r="V15" s="41"/>
      <c r="W15" s="42" t="str">
        <f t="shared" si="17"/>
        <v/>
      </c>
      <c r="Y15" t="str">
        <f>IFERROR(MATCH(11,$AH$5:$AH$323,0),"")</f>
        <v/>
      </c>
      <c r="Z15" t="str">
        <f t="shared" si="18"/>
        <v/>
      </c>
      <c r="AA15" t="str">
        <f t="shared" si="19"/>
        <v/>
      </c>
      <c r="AB15" t="str">
        <f>IF(Asistencia!A16="","",Asistencia!A16)</f>
        <v/>
      </c>
      <c r="AC15" t="str">
        <f>IF(Asistencia!A16="","",SUBSTITUTE(SUBSTITUTE(SUBSTITUTE(SUBSTITUTE(SUBSTITUTE(SUBSTITUTE(SUBSTITUTE(UPPER(TRIM(Asistencia!A16)),"Á","A"),"É","E"),"Í","I"),"Ó","O"),"Ú","U"),"Ñ","N"),"  "," "))</f>
        <v/>
      </c>
      <c r="AD15" t="str">
        <f>IF(Asistencia!E16="","",Asistencia!E16)</f>
        <v/>
      </c>
      <c r="AE15" t="str">
        <f>IF(Asistencia!D16="","",UPPER(TRIM(Asistencia!D16)))</f>
        <v/>
      </c>
      <c r="AF15" t="s">
        <v>186</v>
      </c>
      <c r="AG15">
        <f>IF(AND(AA15&lt;&gt;"",COUNTIF($AA$5:AA15,AA15)=1),1,0)</f>
        <v>0</v>
      </c>
      <c r="AH15" t="str">
        <f>IF(AG15=1,SUM($AG$5:AG15),"")</f>
        <v/>
      </c>
      <c r="AI15">
        <f>IF(OR(EXACT(Asistencia!F16,"A"),EXACT(Asistencia!F16,"R"),EXACT(Asistencia!F16,"DL"),EXACT(Asistencia!F16,"FL"),EXACT(Asistencia!F16,"FE"),EXACT(Asistencia!F16,"PCS"),EXACT(Asistencia!F16,"V")),1,0)</f>
        <v>0</v>
      </c>
      <c r="AJ15">
        <f>IF(OR(EXACT(Asistencia!G16,"A"),EXACT(Asistencia!G16,"R"),EXACT(Asistencia!G16,"DL"),EXACT(Asistencia!G16,"FL"),EXACT(Asistencia!G16,"FE"),EXACT(Asistencia!G16,"PCS"),EXACT(Asistencia!G16,"V")),1,0)</f>
        <v>0</v>
      </c>
      <c r="AK15">
        <f>IF(OR(EXACT(Asistencia!H16,"A"),EXACT(Asistencia!H16,"R"),EXACT(Asistencia!H16,"DL"),EXACT(Asistencia!H16,"FL"),EXACT(Asistencia!H16,"FE"),EXACT(Asistencia!H16,"PCS"),EXACT(Asistencia!H16,"V")),1,0)</f>
        <v>0</v>
      </c>
      <c r="AL15">
        <f>IF(OR(EXACT(Asistencia!I16,"A"),EXACT(Asistencia!I16,"R"),EXACT(Asistencia!I16,"DL"),EXACT(Asistencia!I16,"FL"),EXACT(Asistencia!I16,"FE"),EXACT(Asistencia!I16,"PCS"),EXACT(Asistencia!I16,"V")),1,0)</f>
        <v>0</v>
      </c>
      <c r="AM15">
        <f>IF(OR(EXACT(Asistencia!J16,"A"),EXACT(Asistencia!J16,"R"),EXACT(Asistencia!J16,"DL"),EXACT(Asistencia!J16,"FL"),EXACT(Asistencia!J16,"FE"),EXACT(Asistencia!J16,"PCS"),EXACT(Asistencia!J16,"V")),1,0)</f>
        <v>0</v>
      </c>
      <c r="AN15">
        <f>IF(OR(EXACT(Asistencia!K16,"A"),EXACT(Asistencia!K16,"R"),EXACT(Asistencia!K16,"DL"),EXACT(Asistencia!K16,"FL"),EXACT(Asistencia!K16,"FE"),EXACT(Asistencia!K16,"PCS"),EXACT(Asistencia!K16,"V")),1,0)</f>
        <v>0</v>
      </c>
      <c r="AO15">
        <f>IF(OR(EXACT(Asistencia!L16,"A"),EXACT(Asistencia!L16,"R"),EXACT(Asistencia!L16,"DL"),EXACT(Asistencia!L16,"FL"),EXACT(Asistencia!L16,"FE"),EXACT(Asistencia!L16,"PCS"),EXACT(Asistencia!L16,"V")),1,0)</f>
        <v>0</v>
      </c>
      <c r="AP15">
        <f t="shared" si="20"/>
        <v>0</v>
      </c>
      <c r="AQ15">
        <f>IF(EXACT(Asistencia!F16,"FL"),1,0)</f>
        <v>0</v>
      </c>
      <c r="AR15">
        <f>IF(EXACT(Asistencia!G16,"FL"),1,0)</f>
        <v>0</v>
      </c>
      <c r="AS15">
        <f>IF(EXACT(Asistencia!H16,"FL"),1,0)</f>
        <v>0</v>
      </c>
      <c r="AT15">
        <f>IF(EXACT(Asistencia!I16,"FL"),1,0)</f>
        <v>0</v>
      </c>
      <c r="AU15">
        <f>IF(EXACT(Asistencia!J16,"FL"),1,0)</f>
        <v>0</v>
      </c>
      <c r="AV15">
        <f>IF(EXACT(Asistencia!K16,"FL"),1,0)</f>
        <v>0</v>
      </c>
      <c r="AW15">
        <f>IF(EXACT(Asistencia!L16,"FL"),1,0)</f>
        <v>0</v>
      </c>
      <c r="AX15">
        <f t="shared" si="21"/>
        <v>0</v>
      </c>
      <c r="AY15">
        <f>IF(EXACT(Asistencia!F16,"DL"),1,0)</f>
        <v>0</v>
      </c>
      <c r="AZ15">
        <f>IF(EXACT(Asistencia!G16,"DL"),1,0)</f>
        <v>0</v>
      </c>
      <c r="BA15">
        <f>IF(EXACT(Asistencia!H16,"DL"),1,0)</f>
        <v>0</v>
      </c>
      <c r="BB15">
        <f>IF(EXACT(Asistencia!I16,"DL"),1,0)</f>
        <v>0</v>
      </c>
      <c r="BC15">
        <f>IF(EXACT(Asistencia!J16,"DL"),1,0)</f>
        <v>0</v>
      </c>
      <c r="BD15">
        <f>IF(EXACT(Asistencia!K16,"DL"),1,0)</f>
        <v>0</v>
      </c>
      <c r="BE15">
        <f>IF(EXACT(Asistencia!L16,"DL"),1,0)</f>
        <v>0</v>
      </c>
      <c r="BF15">
        <f t="shared" si="22"/>
        <v>0</v>
      </c>
      <c r="BG15">
        <f>IF(ISNUMBER(Asistencia!M16),Asistencia!M16,0)</f>
        <v>0</v>
      </c>
      <c r="BH15">
        <f>IF(ISNUMBER(Asistencia!N16),Asistencia!N16,0)</f>
        <v>0</v>
      </c>
      <c r="BI15">
        <f>IF(ISNUMBER(Asistencia!O16),Asistencia!O16,0)</f>
        <v>0</v>
      </c>
      <c r="BJ15">
        <f>IF(ISNUMBER(Asistencia!P16),Asistencia!P16,0)</f>
        <v>0</v>
      </c>
      <c r="BK15" t="str">
        <f>IF(Asistencia!F16="","",Asistencia!F16)</f>
        <v/>
      </c>
      <c r="BL15" t="str">
        <f>IF(Asistencia!G16="","",Asistencia!G16)</f>
        <v/>
      </c>
      <c r="BM15" t="str">
        <f>IF(Asistencia!H16="","",Asistencia!H16)</f>
        <v/>
      </c>
      <c r="BN15" t="str">
        <f>IF(Asistencia!I16="","",Asistencia!I16)</f>
        <v/>
      </c>
      <c r="BO15" t="str">
        <f>IF(Asistencia!J16="","",Asistencia!J16)</f>
        <v/>
      </c>
      <c r="BP15" t="str">
        <f>IF(Asistencia!K16="","",Asistencia!K16)</f>
        <v/>
      </c>
      <c r="BQ15" t="str">
        <f>IF(Asistencia!L16="","",Asistencia!L16)</f>
        <v/>
      </c>
    </row>
    <row r="16" spans="1:69" ht="15.75" customHeight="1" x14ac:dyDescent="0.25">
      <c r="A16" s="46" t="str">
        <f t="shared" si="0"/>
        <v/>
      </c>
      <c r="B16" s="47" t="str">
        <f t="shared" si="1"/>
        <v/>
      </c>
      <c r="C16" s="47"/>
      <c r="D16" s="47"/>
      <c r="E16" s="46" t="str">
        <f t="shared" si="2"/>
        <v/>
      </c>
      <c r="F16" s="45" t="str">
        <f t="shared" si="3"/>
        <v/>
      </c>
      <c r="G16" s="44" t="str">
        <f t="shared" si="4"/>
        <v/>
      </c>
      <c r="H16" s="44" t="str">
        <f t="shared" si="5"/>
        <v/>
      </c>
      <c r="I16" s="44" t="str">
        <f t="shared" si="6"/>
        <v/>
      </c>
      <c r="J16" s="44" t="str">
        <f t="shared" si="7"/>
        <v/>
      </c>
      <c r="K16" s="44" t="str">
        <f t="shared" si="8"/>
        <v/>
      </c>
      <c r="L16" s="44" t="str">
        <f t="shared" si="9"/>
        <v/>
      </c>
      <c r="M16" s="43" t="str">
        <f t="shared" si="10"/>
        <v/>
      </c>
      <c r="N16" s="41" t="str">
        <f t="shared" si="11"/>
        <v/>
      </c>
      <c r="O16" s="41" t="str">
        <f t="shared" si="12"/>
        <v/>
      </c>
      <c r="P16" s="41" t="str">
        <f t="shared" si="13"/>
        <v/>
      </c>
      <c r="Q16" s="41" t="str">
        <f t="shared" si="14"/>
        <v/>
      </c>
      <c r="R16" s="41" t="str">
        <f t="shared" si="15"/>
        <v/>
      </c>
      <c r="S16" s="41"/>
      <c r="T16" s="48"/>
      <c r="U16" s="41" t="str">
        <f t="shared" si="16"/>
        <v/>
      </c>
      <c r="V16" s="41"/>
      <c r="W16" s="42" t="str">
        <f t="shared" si="17"/>
        <v/>
      </c>
      <c r="Y16" t="str">
        <f>IFERROR(MATCH(12,$AH$5:$AH$323,0),"")</f>
        <v/>
      </c>
      <c r="Z16" t="str">
        <f t="shared" si="18"/>
        <v/>
      </c>
      <c r="AA16" t="str">
        <f t="shared" si="19"/>
        <v/>
      </c>
      <c r="AB16" t="str">
        <f>IF(Asistencia!A17="","",Asistencia!A17)</f>
        <v/>
      </c>
      <c r="AC16" t="str">
        <f>IF(Asistencia!A17="","",SUBSTITUTE(SUBSTITUTE(SUBSTITUTE(SUBSTITUTE(SUBSTITUTE(SUBSTITUTE(SUBSTITUTE(UPPER(TRIM(Asistencia!A17)),"Á","A"),"É","E"),"Í","I"),"Ó","O"),"Ú","U"),"Ñ","N"),"  "," "))</f>
        <v/>
      </c>
      <c r="AD16" t="str">
        <f>IF(Asistencia!E17="","",Asistencia!E17)</f>
        <v/>
      </c>
      <c r="AE16" t="str">
        <f>IF(Asistencia!D17="","",UPPER(TRIM(Asistencia!D17)))</f>
        <v/>
      </c>
      <c r="AF16" t="s">
        <v>186</v>
      </c>
      <c r="AG16">
        <f>IF(AND(AA16&lt;&gt;"",COUNTIF($AA$5:AA16,AA16)=1),1,0)</f>
        <v>0</v>
      </c>
      <c r="AH16" t="str">
        <f>IF(AG16=1,SUM($AG$5:AG16),"")</f>
        <v/>
      </c>
      <c r="AI16">
        <f>IF(OR(EXACT(Asistencia!F17,"A"),EXACT(Asistencia!F17,"R"),EXACT(Asistencia!F17,"DL"),EXACT(Asistencia!F17,"FL"),EXACT(Asistencia!F17,"FE"),EXACT(Asistencia!F17,"PCS"),EXACT(Asistencia!F17,"V")),1,0)</f>
        <v>0</v>
      </c>
      <c r="AJ16">
        <f>IF(OR(EXACT(Asistencia!G17,"A"),EXACT(Asistencia!G17,"R"),EXACT(Asistencia!G17,"DL"),EXACT(Asistencia!G17,"FL"),EXACT(Asistencia!G17,"FE"),EXACT(Asistencia!G17,"PCS"),EXACT(Asistencia!G17,"V")),1,0)</f>
        <v>0</v>
      </c>
      <c r="AK16">
        <f>IF(OR(EXACT(Asistencia!H17,"A"),EXACT(Asistencia!H17,"R"),EXACT(Asistencia!H17,"DL"),EXACT(Asistencia!H17,"FL"),EXACT(Asistencia!H17,"FE"),EXACT(Asistencia!H17,"PCS"),EXACT(Asistencia!H17,"V")),1,0)</f>
        <v>0</v>
      </c>
      <c r="AL16">
        <f>IF(OR(EXACT(Asistencia!I17,"A"),EXACT(Asistencia!I17,"R"),EXACT(Asistencia!I17,"DL"),EXACT(Asistencia!I17,"FL"),EXACT(Asistencia!I17,"FE"),EXACT(Asistencia!I17,"PCS"),EXACT(Asistencia!I17,"V")),1,0)</f>
        <v>0</v>
      </c>
      <c r="AM16">
        <f>IF(OR(EXACT(Asistencia!J17,"A"),EXACT(Asistencia!J17,"R"),EXACT(Asistencia!J17,"DL"),EXACT(Asistencia!J17,"FL"),EXACT(Asistencia!J17,"FE"),EXACT(Asistencia!J17,"PCS"),EXACT(Asistencia!J17,"V")),1,0)</f>
        <v>0</v>
      </c>
      <c r="AN16">
        <f>IF(OR(EXACT(Asistencia!K17,"A"),EXACT(Asistencia!K17,"R"),EXACT(Asistencia!K17,"DL"),EXACT(Asistencia!K17,"FL"),EXACT(Asistencia!K17,"FE"),EXACT(Asistencia!K17,"PCS"),EXACT(Asistencia!K17,"V")),1,0)</f>
        <v>0</v>
      </c>
      <c r="AO16">
        <f>IF(OR(EXACT(Asistencia!L17,"A"),EXACT(Asistencia!L17,"R"),EXACT(Asistencia!L17,"DL"),EXACT(Asistencia!L17,"FL"),EXACT(Asistencia!L17,"FE"),EXACT(Asistencia!L17,"PCS"),EXACT(Asistencia!L17,"V")),1,0)</f>
        <v>0</v>
      </c>
      <c r="AP16">
        <f t="shared" si="20"/>
        <v>0</v>
      </c>
      <c r="AQ16">
        <f>IF(EXACT(Asistencia!F17,"FL"),1,0)</f>
        <v>0</v>
      </c>
      <c r="AR16">
        <f>IF(EXACT(Asistencia!G17,"FL"),1,0)</f>
        <v>0</v>
      </c>
      <c r="AS16">
        <f>IF(EXACT(Asistencia!H17,"FL"),1,0)</f>
        <v>0</v>
      </c>
      <c r="AT16">
        <f>IF(EXACT(Asistencia!I17,"FL"),1,0)</f>
        <v>0</v>
      </c>
      <c r="AU16">
        <f>IF(EXACT(Asistencia!J17,"FL"),1,0)</f>
        <v>0</v>
      </c>
      <c r="AV16">
        <f>IF(EXACT(Asistencia!K17,"FL"),1,0)</f>
        <v>0</v>
      </c>
      <c r="AW16">
        <f>IF(EXACT(Asistencia!L17,"FL"),1,0)</f>
        <v>0</v>
      </c>
      <c r="AX16">
        <f t="shared" si="21"/>
        <v>0</v>
      </c>
      <c r="AY16">
        <f>IF(EXACT(Asistencia!F17,"DL"),1,0)</f>
        <v>0</v>
      </c>
      <c r="AZ16">
        <f>IF(EXACT(Asistencia!G17,"DL"),1,0)</f>
        <v>0</v>
      </c>
      <c r="BA16">
        <f>IF(EXACT(Asistencia!H17,"DL"),1,0)</f>
        <v>0</v>
      </c>
      <c r="BB16">
        <f>IF(EXACT(Asistencia!I17,"DL"),1,0)</f>
        <v>0</v>
      </c>
      <c r="BC16">
        <f>IF(EXACT(Asistencia!J17,"DL"),1,0)</f>
        <v>0</v>
      </c>
      <c r="BD16">
        <f>IF(EXACT(Asistencia!K17,"DL"),1,0)</f>
        <v>0</v>
      </c>
      <c r="BE16">
        <f>IF(EXACT(Asistencia!L17,"DL"),1,0)</f>
        <v>0</v>
      </c>
      <c r="BF16">
        <f t="shared" si="22"/>
        <v>0</v>
      </c>
      <c r="BG16">
        <f>IF(ISNUMBER(Asistencia!M17),Asistencia!M17,0)</f>
        <v>0</v>
      </c>
      <c r="BH16">
        <f>IF(ISNUMBER(Asistencia!N17),Asistencia!N17,0)</f>
        <v>0</v>
      </c>
      <c r="BI16">
        <f>IF(ISNUMBER(Asistencia!O17),Asistencia!O17,0)</f>
        <v>0</v>
      </c>
      <c r="BJ16">
        <f>IF(ISNUMBER(Asistencia!P17),Asistencia!P17,0)</f>
        <v>0</v>
      </c>
      <c r="BK16" t="str">
        <f>IF(Asistencia!F17="","",Asistencia!F17)</f>
        <v/>
      </c>
      <c r="BL16" t="str">
        <f>IF(Asistencia!G17="","",Asistencia!G17)</f>
        <v/>
      </c>
      <c r="BM16" t="str">
        <f>IF(Asistencia!H17="","",Asistencia!H17)</f>
        <v/>
      </c>
      <c r="BN16" t="str">
        <f>IF(Asistencia!I17="","",Asistencia!I17)</f>
        <v/>
      </c>
      <c r="BO16" t="str">
        <f>IF(Asistencia!J17="","",Asistencia!J17)</f>
        <v/>
      </c>
      <c r="BP16" t="str">
        <f>IF(Asistencia!K17="","",Asistencia!K17)</f>
        <v/>
      </c>
      <c r="BQ16" t="str">
        <f>IF(Asistencia!L17="","",Asistencia!L17)</f>
        <v/>
      </c>
    </row>
    <row r="17" spans="1:69" ht="15.75" customHeight="1" x14ac:dyDescent="0.25">
      <c r="A17" s="46" t="str">
        <f t="shared" si="0"/>
        <v/>
      </c>
      <c r="B17" s="47" t="str">
        <f t="shared" si="1"/>
        <v/>
      </c>
      <c r="C17" s="47"/>
      <c r="D17" s="47"/>
      <c r="E17" s="46" t="str">
        <f t="shared" si="2"/>
        <v/>
      </c>
      <c r="F17" s="45" t="str">
        <f t="shared" si="3"/>
        <v/>
      </c>
      <c r="G17" s="44" t="str">
        <f t="shared" si="4"/>
        <v/>
      </c>
      <c r="H17" s="44" t="str">
        <f t="shared" si="5"/>
        <v/>
      </c>
      <c r="I17" s="44" t="str">
        <f t="shared" si="6"/>
        <v/>
      </c>
      <c r="J17" s="44" t="str">
        <f t="shared" si="7"/>
        <v/>
      </c>
      <c r="K17" s="44" t="str">
        <f t="shared" si="8"/>
        <v/>
      </c>
      <c r="L17" s="44" t="str">
        <f t="shared" si="9"/>
        <v/>
      </c>
      <c r="M17" s="43" t="str">
        <f t="shared" si="10"/>
        <v/>
      </c>
      <c r="N17" s="41" t="str">
        <f t="shared" si="11"/>
        <v/>
      </c>
      <c r="O17" s="41" t="str">
        <f t="shared" si="12"/>
        <v/>
      </c>
      <c r="P17" s="41" t="str">
        <f t="shared" si="13"/>
        <v/>
      </c>
      <c r="Q17" s="41" t="str">
        <f t="shared" si="14"/>
        <v/>
      </c>
      <c r="R17" s="41" t="str">
        <f t="shared" si="15"/>
        <v/>
      </c>
      <c r="S17" s="41"/>
      <c r="T17" s="48"/>
      <c r="U17" s="41" t="str">
        <f t="shared" si="16"/>
        <v/>
      </c>
      <c r="V17" s="41"/>
      <c r="W17" s="42" t="str">
        <f t="shared" si="17"/>
        <v/>
      </c>
      <c r="Y17" t="str">
        <f>IFERROR(MATCH(13,$AH$5:$AH$323,0),"")</f>
        <v/>
      </c>
      <c r="Z17" t="str">
        <f t="shared" si="18"/>
        <v/>
      </c>
      <c r="AA17" t="str">
        <f t="shared" si="19"/>
        <v/>
      </c>
      <c r="AB17" t="str">
        <f>IF(Asistencia!A18="","",Asistencia!A18)</f>
        <v/>
      </c>
      <c r="AC17" t="str">
        <f>IF(Asistencia!A18="","",SUBSTITUTE(SUBSTITUTE(SUBSTITUTE(SUBSTITUTE(SUBSTITUTE(SUBSTITUTE(SUBSTITUTE(UPPER(TRIM(Asistencia!A18)),"Á","A"),"É","E"),"Í","I"),"Ó","O"),"Ú","U"),"Ñ","N"),"  "," "))</f>
        <v/>
      </c>
      <c r="AD17" t="str">
        <f>IF(Asistencia!E18="","",Asistencia!E18)</f>
        <v/>
      </c>
      <c r="AE17" t="str">
        <f>IF(Asistencia!D18="","",UPPER(TRIM(Asistencia!D18)))</f>
        <v/>
      </c>
      <c r="AF17" t="s">
        <v>186</v>
      </c>
      <c r="AG17">
        <f>IF(AND(AA17&lt;&gt;"",COUNTIF($AA$5:AA17,AA17)=1),1,0)</f>
        <v>0</v>
      </c>
      <c r="AH17" t="str">
        <f>IF(AG17=1,SUM($AG$5:AG17),"")</f>
        <v/>
      </c>
      <c r="AI17">
        <f>IF(OR(EXACT(Asistencia!F18,"A"),EXACT(Asistencia!F18,"R"),EXACT(Asistencia!F18,"DL"),EXACT(Asistencia!F18,"FL"),EXACT(Asistencia!F18,"FE"),EXACT(Asistencia!F18,"PCS"),EXACT(Asistencia!F18,"V")),1,0)</f>
        <v>0</v>
      </c>
      <c r="AJ17">
        <f>IF(OR(EXACT(Asistencia!G18,"A"),EXACT(Asistencia!G18,"R"),EXACT(Asistencia!G18,"DL"),EXACT(Asistencia!G18,"FL"),EXACT(Asistencia!G18,"FE"),EXACT(Asistencia!G18,"PCS"),EXACT(Asistencia!G18,"V")),1,0)</f>
        <v>0</v>
      </c>
      <c r="AK17">
        <f>IF(OR(EXACT(Asistencia!H18,"A"),EXACT(Asistencia!H18,"R"),EXACT(Asistencia!H18,"DL"),EXACT(Asistencia!H18,"FL"),EXACT(Asistencia!H18,"FE"),EXACT(Asistencia!H18,"PCS"),EXACT(Asistencia!H18,"V")),1,0)</f>
        <v>0</v>
      </c>
      <c r="AL17">
        <f>IF(OR(EXACT(Asistencia!I18,"A"),EXACT(Asistencia!I18,"R"),EXACT(Asistencia!I18,"DL"),EXACT(Asistencia!I18,"FL"),EXACT(Asistencia!I18,"FE"),EXACT(Asistencia!I18,"PCS"),EXACT(Asistencia!I18,"V")),1,0)</f>
        <v>0</v>
      </c>
      <c r="AM17">
        <f>IF(OR(EXACT(Asistencia!J18,"A"),EXACT(Asistencia!J18,"R"),EXACT(Asistencia!J18,"DL"),EXACT(Asistencia!J18,"FL"),EXACT(Asistencia!J18,"FE"),EXACT(Asistencia!J18,"PCS"),EXACT(Asistencia!J18,"V")),1,0)</f>
        <v>0</v>
      </c>
      <c r="AN17">
        <f>IF(OR(EXACT(Asistencia!K18,"A"),EXACT(Asistencia!K18,"R"),EXACT(Asistencia!K18,"DL"),EXACT(Asistencia!K18,"FL"),EXACT(Asistencia!K18,"FE"),EXACT(Asistencia!K18,"PCS"),EXACT(Asistencia!K18,"V")),1,0)</f>
        <v>0</v>
      </c>
      <c r="AO17">
        <f>IF(OR(EXACT(Asistencia!L18,"A"),EXACT(Asistencia!L18,"R"),EXACT(Asistencia!L18,"DL"),EXACT(Asistencia!L18,"FL"),EXACT(Asistencia!L18,"FE"),EXACT(Asistencia!L18,"PCS"),EXACT(Asistencia!L18,"V")),1,0)</f>
        <v>0</v>
      </c>
      <c r="AP17">
        <f t="shared" si="20"/>
        <v>0</v>
      </c>
      <c r="AQ17">
        <f>IF(EXACT(Asistencia!F18,"FL"),1,0)</f>
        <v>0</v>
      </c>
      <c r="AR17">
        <f>IF(EXACT(Asistencia!G18,"FL"),1,0)</f>
        <v>0</v>
      </c>
      <c r="AS17">
        <f>IF(EXACT(Asistencia!H18,"FL"),1,0)</f>
        <v>0</v>
      </c>
      <c r="AT17">
        <f>IF(EXACT(Asistencia!I18,"FL"),1,0)</f>
        <v>0</v>
      </c>
      <c r="AU17">
        <f>IF(EXACT(Asistencia!J18,"FL"),1,0)</f>
        <v>0</v>
      </c>
      <c r="AV17">
        <f>IF(EXACT(Asistencia!K18,"FL"),1,0)</f>
        <v>0</v>
      </c>
      <c r="AW17">
        <f>IF(EXACT(Asistencia!L18,"FL"),1,0)</f>
        <v>0</v>
      </c>
      <c r="AX17">
        <f t="shared" si="21"/>
        <v>0</v>
      </c>
      <c r="AY17">
        <f>IF(EXACT(Asistencia!F18,"DL"),1,0)</f>
        <v>0</v>
      </c>
      <c r="AZ17">
        <f>IF(EXACT(Asistencia!G18,"DL"),1,0)</f>
        <v>0</v>
      </c>
      <c r="BA17">
        <f>IF(EXACT(Asistencia!H18,"DL"),1,0)</f>
        <v>0</v>
      </c>
      <c r="BB17">
        <f>IF(EXACT(Asistencia!I18,"DL"),1,0)</f>
        <v>0</v>
      </c>
      <c r="BC17">
        <f>IF(EXACT(Asistencia!J18,"DL"),1,0)</f>
        <v>0</v>
      </c>
      <c r="BD17">
        <f>IF(EXACT(Asistencia!K18,"DL"),1,0)</f>
        <v>0</v>
      </c>
      <c r="BE17">
        <f>IF(EXACT(Asistencia!L18,"DL"),1,0)</f>
        <v>0</v>
      </c>
      <c r="BF17">
        <f t="shared" si="22"/>
        <v>0</v>
      </c>
      <c r="BG17">
        <f>IF(ISNUMBER(Asistencia!M18),Asistencia!M18,0)</f>
        <v>0</v>
      </c>
      <c r="BH17">
        <f>IF(ISNUMBER(Asistencia!N18),Asistencia!N18,0)</f>
        <v>0</v>
      </c>
      <c r="BI17">
        <f>IF(ISNUMBER(Asistencia!O18),Asistencia!O18,0)</f>
        <v>0</v>
      </c>
      <c r="BJ17">
        <f>IF(ISNUMBER(Asistencia!P18),Asistencia!P18,0)</f>
        <v>0</v>
      </c>
      <c r="BK17" t="str">
        <f>IF(Asistencia!F18="","",Asistencia!F18)</f>
        <v/>
      </c>
      <c r="BL17" t="str">
        <f>IF(Asistencia!G18="","",Asistencia!G18)</f>
        <v/>
      </c>
      <c r="BM17" t="str">
        <f>IF(Asistencia!H18="","",Asistencia!H18)</f>
        <v/>
      </c>
      <c r="BN17" t="str">
        <f>IF(Asistencia!I18="","",Asistencia!I18)</f>
        <v/>
      </c>
      <c r="BO17" t="str">
        <f>IF(Asistencia!J18="","",Asistencia!J18)</f>
        <v/>
      </c>
      <c r="BP17" t="str">
        <f>IF(Asistencia!K18="","",Asistencia!K18)</f>
        <v/>
      </c>
      <c r="BQ17" t="str">
        <f>IF(Asistencia!L18="","",Asistencia!L18)</f>
        <v/>
      </c>
    </row>
    <row r="18" spans="1:69" ht="15.75" customHeight="1" x14ac:dyDescent="0.25">
      <c r="A18" s="46" t="str">
        <f t="shared" si="0"/>
        <v/>
      </c>
      <c r="B18" s="47" t="str">
        <f t="shared" si="1"/>
        <v/>
      </c>
      <c r="C18" s="47"/>
      <c r="D18" s="47"/>
      <c r="E18" s="46" t="str">
        <f t="shared" si="2"/>
        <v/>
      </c>
      <c r="F18" s="45" t="str">
        <f t="shared" si="3"/>
        <v/>
      </c>
      <c r="G18" s="44" t="str">
        <f t="shared" si="4"/>
        <v/>
      </c>
      <c r="H18" s="44" t="str">
        <f t="shared" si="5"/>
        <v/>
      </c>
      <c r="I18" s="44" t="str">
        <f t="shared" si="6"/>
        <v/>
      </c>
      <c r="J18" s="44" t="str">
        <f t="shared" si="7"/>
        <v/>
      </c>
      <c r="K18" s="44" t="str">
        <f t="shared" si="8"/>
        <v/>
      </c>
      <c r="L18" s="44" t="str">
        <f t="shared" si="9"/>
        <v/>
      </c>
      <c r="M18" s="43" t="str">
        <f t="shared" si="10"/>
        <v/>
      </c>
      <c r="N18" s="41" t="str">
        <f t="shared" si="11"/>
        <v/>
      </c>
      <c r="O18" s="41" t="str">
        <f t="shared" si="12"/>
        <v/>
      </c>
      <c r="P18" s="41" t="str">
        <f t="shared" si="13"/>
        <v/>
      </c>
      <c r="Q18" s="41" t="str">
        <f t="shared" si="14"/>
        <v/>
      </c>
      <c r="R18" s="41" t="str">
        <f t="shared" si="15"/>
        <v/>
      </c>
      <c r="S18" s="41"/>
      <c r="T18" s="48"/>
      <c r="U18" s="41" t="str">
        <f t="shared" si="16"/>
        <v/>
      </c>
      <c r="V18" s="41"/>
      <c r="W18" s="42" t="str">
        <f t="shared" si="17"/>
        <v/>
      </c>
      <c r="Y18" t="str">
        <f>IFERROR(MATCH(14,$AH$5:$AH$323,0),"")</f>
        <v/>
      </c>
      <c r="Z18" t="str">
        <f t="shared" si="18"/>
        <v/>
      </c>
      <c r="AA18" t="str">
        <f t="shared" si="19"/>
        <v/>
      </c>
      <c r="AB18" t="str">
        <f>IF(Asistencia!A19="","",Asistencia!A19)</f>
        <v/>
      </c>
      <c r="AC18" t="str">
        <f>IF(Asistencia!A19="","",SUBSTITUTE(SUBSTITUTE(SUBSTITUTE(SUBSTITUTE(SUBSTITUTE(SUBSTITUTE(SUBSTITUTE(UPPER(TRIM(Asistencia!A19)),"Á","A"),"É","E"),"Í","I"),"Ó","O"),"Ú","U"),"Ñ","N"),"  "," "))</f>
        <v/>
      </c>
      <c r="AD18" t="str">
        <f>IF(Asistencia!E19="","",Asistencia!E19)</f>
        <v/>
      </c>
      <c r="AE18" t="str">
        <f>IF(Asistencia!D19="","",UPPER(TRIM(Asistencia!D19)))</f>
        <v/>
      </c>
      <c r="AF18" t="s">
        <v>186</v>
      </c>
      <c r="AG18">
        <f>IF(AND(AA18&lt;&gt;"",COUNTIF($AA$5:AA18,AA18)=1),1,0)</f>
        <v>0</v>
      </c>
      <c r="AH18" t="str">
        <f>IF(AG18=1,SUM($AG$5:AG18),"")</f>
        <v/>
      </c>
      <c r="AI18">
        <f>IF(OR(EXACT(Asistencia!F19,"A"),EXACT(Asistencia!F19,"R"),EXACT(Asistencia!F19,"DL"),EXACT(Asistencia!F19,"FL"),EXACT(Asistencia!F19,"FE"),EXACT(Asistencia!F19,"PCS"),EXACT(Asistencia!F19,"V")),1,0)</f>
        <v>0</v>
      </c>
      <c r="AJ18">
        <f>IF(OR(EXACT(Asistencia!G19,"A"),EXACT(Asistencia!G19,"R"),EXACT(Asistencia!G19,"DL"),EXACT(Asistencia!G19,"FL"),EXACT(Asistencia!G19,"FE"),EXACT(Asistencia!G19,"PCS"),EXACT(Asistencia!G19,"V")),1,0)</f>
        <v>0</v>
      </c>
      <c r="AK18">
        <f>IF(OR(EXACT(Asistencia!H19,"A"),EXACT(Asistencia!H19,"R"),EXACT(Asistencia!H19,"DL"),EXACT(Asistencia!H19,"FL"),EXACT(Asistencia!H19,"FE"),EXACT(Asistencia!H19,"PCS"),EXACT(Asistencia!H19,"V")),1,0)</f>
        <v>0</v>
      </c>
      <c r="AL18">
        <f>IF(OR(EXACT(Asistencia!I19,"A"),EXACT(Asistencia!I19,"R"),EXACT(Asistencia!I19,"DL"),EXACT(Asistencia!I19,"FL"),EXACT(Asistencia!I19,"FE"),EXACT(Asistencia!I19,"PCS"),EXACT(Asistencia!I19,"V")),1,0)</f>
        <v>0</v>
      </c>
      <c r="AM18">
        <f>IF(OR(EXACT(Asistencia!J19,"A"),EXACT(Asistencia!J19,"R"),EXACT(Asistencia!J19,"DL"),EXACT(Asistencia!J19,"FL"),EXACT(Asistencia!J19,"FE"),EXACT(Asistencia!J19,"PCS"),EXACT(Asistencia!J19,"V")),1,0)</f>
        <v>0</v>
      </c>
      <c r="AN18">
        <f>IF(OR(EXACT(Asistencia!K19,"A"),EXACT(Asistencia!K19,"R"),EXACT(Asistencia!K19,"DL"),EXACT(Asistencia!K19,"FL"),EXACT(Asistencia!K19,"FE"),EXACT(Asistencia!K19,"PCS"),EXACT(Asistencia!K19,"V")),1,0)</f>
        <v>0</v>
      </c>
      <c r="AO18">
        <f>IF(OR(EXACT(Asistencia!L19,"A"),EXACT(Asistencia!L19,"R"),EXACT(Asistencia!L19,"DL"),EXACT(Asistencia!L19,"FL"),EXACT(Asistencia!L19,"FE"),EXACT(Asistencia!L19,"PCS"),EXACT(Asistencia!L19,"V")),1,0)</f>
        <v>0</v>
      </c>
      <c r="AP18">
        <f t="shared" si="20"/>
        <v>0</v>
      </c>
      <c r="AQ18">
        <f>IF(EXACT(Asistencia!F19,"FL"),1,0)</f>
        <v>0</v>
      </c>
      <c r="AR18">
        <f>IF(EXACT(Asistencia!G19,"FL"),1,0)</f>
        <v>0</v>
      </c>
      <c r="AS18">
        <f>IF(EXACT(Asistencia!H19,"FL"),1,0)</f>
        <v>0</v>
      </c>
      <c r="AT18">
        <f>IF(EXACT(Asistencia!I19,"FL"),1,0)</f>
        <v>0</v>
      </c>
      <c r="AU18">
        <f>IF(EXACT(Asistencia!J19,"FL"),1,0)</f>
        <v>0</v>
      </c>
      <c r="AV18">
        <f>IF(EXACT(Asistencia!K19,"FL"),1,0)</f>
        <v>0</v>
      </c>
      <c r="AW18">
        <f>IF(EXACT(Asistencia!L19,"FL"),1,0)</f>
        <v>0</v>
      </c>
      <c r="AX18">
        <f t="shared" si="21"/>
        <v>0</v>
      </c>
      <c r="AY18">
        <f>IF(EXACT(Asistencia!F19,"DL"),1,0)</f>
        <v>0</v>
      </c>
      <c r="AZ18">
        <f>IF(EXACT(Asistencia!G19,"DL"),1,0)</f>
        <v>0</v>
      </c>
      <c r="BA18">
        <f>IF(EXACT(Asistencia!H19,"DL"),1,0)</f>
        <v>0</v>
      </c>
      <c r="BB18">
        <f>IF(EXACT(Asistencia!I19,"DL"),1,0)</f>
        <v>0</v>
      </c>
      <c r="BC18">
        <f>IF(EXACT(Asistencia!J19,"DL"),1,0)</f>
        <v>0</v>
      </c>
      <c r="BD18">
        <f>IF(EXACT(Asistencia!K19,"DL"),1,0)</f>
        <v>0</v>
      </c>
      <c r="BE18">
        <f>IF(EXACT(Asistencia!L19,"DL"),1,0)</f>
        <v>0</v>
      </c>
      <c r="BF18">
        <f t="shared" si="22"/>
        <v>0</v>
      </c>
      <c r="BG18">
        <f>IF(ISNUMBER(Asistencia!M19),Asistencia!M19,0)</f>
        <v>0</v>
      </c>
      <c r="BH18">
        <f>IF(ISNUMBER(Asistencia!N19),Asistencia!N19,0)</f>
        <v>0</v>
      </c>
      <c r="BI18">
        <f>IF(ISNUMBER(Asistencia!O19),Asistencia!O19,0)</f>
        <v>0</v>
      </c>
      <c r="BJ18">
        <f>IF(ISNUMBER(Asistencia!P19),Asistencia!P19,0)</f>
        <v>0</v>
      </c>
      <c r="BK18" t="str">
        <f>IF(Asistencia!F19="","",Asistencia!F19)</f>
        <v/>
      </c>
      <c r="BL18" t="str">
        <f>IF(Asistencia!G19="","",Asistencia!G19)</f>
        <v/>
      </c>
      <c r="BM18" t="str">
        <f>IF(Asistencia!H19="","",Asistencia!H19)</f>
        <v/>
      </c>
      <c r="BN18" t="str">
        <f>IF(Asistencia!I19="","",Asistencia!I19)</f>
        <v/>
      </c>
      <c r="BO18" t="str">
        <f>IF(Asistencia!J19="","",Asistencia!J19)</f>
        <v/>
      </c>
      <c r="BP18" t="str">
        <f>IF(Asistencia!K19="","",Asistencia!K19)</f>
        <v/>
      </c>
      <c r="BQ18" t="str">
        <f>IF(Asistencia!L19="","",Asistencia!L19)</f>
        <v/>
      </c>
    </row>
    <row r="19" spans="1:69" ht="15.75" customHeight="1" x14ac:dyDescent="0.25">
      <c r="A19" s="46" t="str">
        <f t="shared" si="0"/>
        <v/>
      </c>
      <c r="B19" s="47" t="str">
        <f t="shared" si="1"/>
        <v/>
      </c>
      <c r="C19" s="47"/>
      <c r="D19" s="47"/>
      <c r="E19" s="46" t="str">
        <f t="shared" si="2"/>
        <v/>
      </c>
      <c r="F19" s="45" t="str">
        <f t="shared" si="3"/>
        <v/>
      </c>
      <c r="G19" s="44" t="str">
        <f t="shared" si="4"/>
        <v/>
      </c>
      <c r="H19" s="44" t="str">
        <f t="shared" si="5"/>
        <v/>
      </c>
      <c r="I19" s="44" t="str">
        <f t="shared" si="6"/>
        <v/>
      </c>
      <c r="J19" s="44" t="str">
        <f t="shared" si="7"/>
        <v/>
      </c>
      <c r="K19" s="44" t="str">
        <f t="shared" si="8"/>
        <v/>
      </c>
      <c r="L19" s="44" t="str">
        <f t="shared" si="9"/>
        <v/>
      </c>
      <c r="M19" s="43" t="str">
        <f t="shared" si="10"/>
        <v/>
      </c>
      <c r="N19" s="41" t="str">
        <f t="shared" si="11"/>
        <v/>
      </c>
      <c r="O19" s="41" t="str">
        <f t="shared" si="12"/>
        <v/>
      </c>
      <c r="P19" s="41" t="str">
        <f t="shared" si="13"/>
        <v/>
      </c>
      <c r="Q19" s="41" t="str">
        <f t="shared" si="14"/>
        <v/>
      </c>
      <c r="R19" s="41" t="str">
        <f t="shared" si="15"/>
        <v/>
      </c>
      <c r="S19" s="41"/>
      <c r="T19" s="48"/>
      <c r="U19" s="41" t="str">
        <f t="shared" si="16"/>
        <v/>
      </c>
      <c r="V19" s="41"/>
      <c r="W19" s="42" t="str">
        <f t="shared" si="17"/>
        <v/>
      </c>
      <c r="Y19" t="str">
        <f>IFERROR(MATCH(15,$AH$5:$AH$323,0),"")</f>
        <v/>
      </c>
      <c r="Z19" t="str">
        <f t="shared" si="18"/>
        <v/>
      </c>
      <c r="AA19" t="str">
        <f t="shared" si="19"/>
        <v/>
      </c>
      <c r="AB19" t="str">
        <f>IF(Asistencia!A20="","",Asistencia!A20)</f>
        <v/>
      </c>
      <c r="AC19" t="str">
        <f>IF(Asistencia!A20="","",SUBSTITUTE(SUBSTITUTE(SUBSTITUTE(SUBSTITUTE(SUBSTITUTE(SUBSTITUTE(SUBSTITUTE(UPPER(TRIM(Asistencia!A20)),"Á","A"),"É","E"),"Í","I"),"Ó","O"),"Ú","U"),"Ñ","N"),"  "," "))</f>
        <v/>
      </c>
      <c r="AD19" t="str">
        <f>IF(Asistencia!E20="","",Asistencia!E20)</f>
        <v/>
      </c>
      <c r="AE19" t="str">
        <f>IF(Asistencia!D20="","",UPPER(TRIM(Asistencia!D20)))</f>
        <v/>
      </c>
      <c r="AF19" t="s">
        <v>186</v>
      </c>
      <c r="AG19">
        <f>IF(AND(AA19&lt;&gt;"",COUNTIF($AA$5:AA19,AA19)=1),1,0)</f>
        <v>0</v>
      </c>
      <c r="AH19" t="str">
        <f>IF(AG19=1,SUM($AG$5:AG19),"")</f>
        <v/>
      </c>
      <c r="AI19">
        <f>IF(OR(EXACT(Asistencia!F20,"A"),EXACT(Asistencia!F20,"R"),EXACT(Asistencia!F20,"DL"),EXACT(Asistencia!F20,"FL"),EXACT(Asistencia!F20,"FE"),EXACT(Asistencia!F20,"PCS"),EXACT(Asistencia!F20,"V")),1,0)</f>
        <v>0</v>
      </c>
      <c r="AJ19">
        <f>IF(OR(EXACT(Asistencia!G20,"A"),EXACT(Asistencia!G20,"R"),EXACT(Asistencia!G20,"DL"),EXACT(Asistencia!G20,"FL"),EXACT(Asistencia!G20,"FE"),EXACT(Asistencia!G20,"PCS"),EXACT(Asistencia!G20,"V")),1,0)</f>
        <v>0</v>
      </c>
      <c r="AK19">
        <f>IF(OR(EXACT(Asistencia!H20,"A"),EXACT(Asistencia!H20,"R"),EXACT(Asistencia!H20,"DL"),EXACT(Asistencia!H20,"FL"),EXACT(Asistencia!H20,"FE"),EXACT(Asistencia!H20,"PCS"),EXACT(Asistencia!H20,"V")),1,0)</f>
        <v>0</v>
      </c>
      <c r="AL19">
        <f>IF(OR(EXACT(Asistencia!I20,"A"),EXACT(Asistencia!I20,"R"),EXACT(Asistencia!I20,"DL"),EXACT(Asistencia!I20,"FL"),EXACT(Asistencia!I20,"FE"),EXACT(Asistencia!I20,"PCS"),EXACT(Asistencia!I20,"V")),1,0)</f>
        <v>0</v>
      </c>
      <c r="AM19">
        <f>IF(OR(EXACT(Asistencia!J20,"A"),EXACT(Asistencia!J20,"R"),EXACT(Asistencia!J20,"DL"),EXACT(Asistencia!J20,"FL"),EXACT(Asistencia!J20,"FE"),EXACT(Asistencia!J20,"PCS"),EXACT(Asistencia!J20,"V")),1,0)</f>
        <v>0</v>
      </c>
      <c r="AN19">
        <f>IF(OR(EXACT(Asistencia!K20,"A"),EXACT(Asistencia!K20,"R"),EXACT(Asistencia!K20,"DL"),EXACT(Asistencia!K20,"FL"),EXACT(Asistencia!K20,"FE"),EXACT(Asistencia!K20,"PCS"),EXACT(Asistencia!K20,"V")),1,0)</f>
        <v>0</v>
      </c>
      <c r="AO19">
        <f>IF(OR(EXACT(Asistencia!L20,"A"),EXACT(Asistencia!L20,"R"),EXACT(Asistencia!L20,"DL"),EXACT(Asistencia!L20,"FL"),EXACT(Asistencia!L20,"FE"),EXACT(Asistencia!L20,"PCS"),EXACT(Asistencia!L20,"V")),1,0)</f>
        <v>0</v>
      </c>
      <c r="AP19">
        <f t="shared" si="20"/>
        <v>0</v>
      </c>
      <c r="AQ19">
        <f>IF(EXACT(Asistencia!F20,"FL"),1,0)</f>
        <v>0</v>
      </c>
      <c r="AR19">
        <f>IF(EXACT(Asistencia!G20,"FL"),1,0)</f>
        <v>0</v>
      </c>
      <c r="AS19">
        <f>IF(EXACT(Asistencia!H20,"FL"),1,0)</f>
        <v>0</v>
      </c>
      <c r="AT19">
        <f>IF(EXACT(Asistencia!I20,"FL"),1,0)</f>
        <v>0</v>
      </c>
      <c r="AU19">
        <f>IF(EXACT(Asistencia!J20,"FL"),1,0)</f>
        <v>0</v>
      </c>
      <c r="AV19">
        <f>IF(EXACT(Asistencia!K20,"FL"),1,0)</f>
        <v>0</v>
      </c>
      <c r="AW19">
        <f>IF(EXACT(Asistencia!L20,"FL"),1,0)</f>
        <v>0</v>
      </c>
      <c r="AX19">
        <f t="shared" si="21"/>
        <v>0</v>
      </c>
      <c r="AY19">
        <f>IF(EXACT(Asistencia!F20,"DL"),1,0)</f>
        <v>0</v>
      </c>
      <c r="AZ19">
        <f>IF(EXACT(Asistencia!G20,"DL"),1,0)</f>
        <v>0</v>
      </c>
      <c r="BA19">
        <f>IF(EXACT(Asistencia!H20,"DL"),1,0)</f>
        <v>0</v>
      </c>
      <c r="BB19">
        <f>IF(EXACT(Asistencia!I20,"DL"),1,0)</f>
        <v>0</v>
      </c>
      <c r="BC19">
        <f>IF(EXACT(Asistencia!J20,"DL"),1,0)</f>
        <v>0</v>
      </c>
      <c r="BD19">
        <f>IF(EXACT(Asistencia!K20,"DL"),1,0)</f>
        <v>0</v>
      </c>
      <c r="BE19">
        <f>IF(EXACT(Asistencia!L20,"DL"),1,0)</f>
        <v>0</v>
      </c>
      <c r="BF19">
        <f t="shared" si="22"/>
        <v>0</v>
      </c>
      <c r="BG19">
        <f>IF(ISNUMBER(Asistencia!M20),Asistencia!M20,0)</f>
        <v>0</v>
      </c>
      <c r="BH19">
        <f>IF(ISNUMBER(Asistencia!N20),Asistencia!N20,0)</f>
        <v>0</v>
      </c>
      <c r="BI19">
        <f>IF(ISNUMBER(Asistencia!O20),Asistencia!O20,0)</f>
        <v>0</v>
      </c>
      <c r="BJ19">
        <f>IF(ISNUMBER(Asistencia!P20),Asistencia!P20,0)</f>
        <v>0</v>
      </c>
      <c r="BK19" t="str">
        <f>IF(Asistencia!F20="","",Asistencia!F20)</f>
        <v/>
      </c>
      <c r="BL19" t="str">
        <f>IF(Asistencia!G20="","",Asistencia!G20)</f>
        <v/>
      </c>
      <c r="BM19" t="str">
        <f>IF(Asistencia!H20="","",Asistencia!H20)</f>
        <v/>
      </c>
      <c r="BN19" t="str">
        <f>IF(Asistencia!I20="","",Asistencia!I20)</f>
        <v/>
      </c>
      <c r="BO19" t="str">
        <f>IF(Asistencia!J20="","",Asistencia!J20)</f>
        <v/>
      </c>
      <c r="BP19" t="str">
        <f>IF(Asistencia!K20="","",Asistencia!K20)</f>
        <v/>
      </c>
      <c r="BQ19" t="str">
        <f>IF(Asistencia!L20="","",Asistencia!L20)</f>
        <v/>
      </c>
    </row>
    <row r="20" spans="1:69" ht="15.75" customHeight="1" x14ac:dyDescent="0.25">
      <c r="A20" s="46" t="str">
        <f t="shared" si="0"/>
        <v/>
      </c>
      <c r="B20" s="47" t="str">
        <f t="shared" si="1"/>
        <v/>
      </c>
      <c r="C20" s="47"/>
      <c r="D20" s="47"/>
      <c r="E20" s="46" t="str">
        <f t="shared" si="2"/>
        <v/>
      </c>
      <c r="F20" s="45" t="str">
        <f t="shared" si="3"/>
        <v/>
      </c>
      <c r="G20" s="44" t="str">
        <f t="shared" si="4"/>
        <v/>
      </c>
      <c r="H20" s="44" t="str">
        <f t="shared" si="5"/>
        <v/>
      </c>
      <c r="I20" s="44" t="str">
        <f t="shared" si="6"/>
        <v/>
      </c>
      <c r="J20" s="44" t="str">
        <f t="shared" si="7"/>
        <v/>
      </c>
      <c r="K20" s="44" t="str">
        <f t="shared" si="8"/>
        <v/>
      </c>
      <c r="L20" s="44" t="str">
        <f t="shared" si="9"/>
        <v/>
      </c>
      <c r="M20" s="43" t="str">
        <f t="shared" si="10"/>
        <v/>
      </c>
      <c r="N20" s="41" t="str">
        <f t="shared" si="11"/>
        <v/>
      </c>
      <c r="O20" s="41" t="str">
        <f t="shared" si="12"/>
        <v/>
      </c>
      <c r="P20" s="41" t="str">
        <f t="shared" si="13"/>
        <v/>
      </c>
      <c r="Q20" s="41" t="str">
        <f t="shared" si="14"/>
        <v/>
      </c>
      <c r="R20" s="41" t="str">
        <f t="shared" si="15"/>
        <v/>
      </c>
      <c r="S20" s="41"/>
      <c r="T20" s="48"/>
      <c r="U20" s="41" t="str">
        <f t="shared" si="16"/>
        <v/>
      </c>
      <c r="V20" s="41"/>
      <c r="W20" s="42" t="str">
        <f t="shared" si="17"/>
        <v/>
      </c>
      <c r="Y20" t="str">
        <f>IFERROR(MATCH(16,$AH$5:$AH$323,0),"")</f>
        <v/>
      </c>
      <c r="Z20" t="str">
        <f t="shared" si="18"/>
        <v/>
      </c>
      <c r="AA20" t="str">
        <f t="shared" si="19"/>
        <v/>
      </c>
      <c r="AB20" t="str">
        <f>IF(Asistencia!A21="","",Asistencia!A21)</f>
        <v/>
      </c>
      <c r="AC20" t="str">
        <f>IF(Asistencia!A21="","",SUBSTITUTE(SUBSTITUTE(SUBSTITUTE(SUBSTITUTE(SUBSTITUTE(SUBSTITUTE(SUBSTITUTE(UPPER(TRIM(Asistencia!A21)),"Á","A"),"É","E"),"Í","I"),"Ó","O"),"Ú","U"),"Ñ","N"),"  "," "))</f>
        <v/>
      </c>
      <c r="AD20" t="str">
        <f>IF(Asistencia!E21="","",Asistencia!E21)</f>
        <v/>
      </c>
      <c r="AE20" t="str">
        <f>IF(Asistencia!D21="","",UPPER(TRIM(Asistencia!D21)))</f>
        <v/>
      </c>
      <c r="AF20" t="s">
        <v>186</v>
      </c>
      <c r="AG20">
        <f>IF(AND(AA20&lt;&gt;"",COUNTIF($AA$5:AA20,AA20)=1),1,0)</f>
        <v>0</v>
      </c>
      <c r="AH20" t="str">
        <f>IF(AG20=1,SUM($AG$5:AG20),"")</f>
        <v/>
      </c>
      <c r="AI20">
        <f>IF(OR(EXACT(Asistencia!F21,"A"),EXACT(Asistencia!F21,"R"),EXACT(Asistencia!F21,"DL"),EXACT(Asistencia!F21,"FL"),EXACT(Asistencia!F21,"FE"),EXACT(Asistencia!F21,"PCS"),EXACT(Asistencia!F21,"V")),1,0)</f>
        <v>0</v>
      </c>
      <c r="AJ20">
        <f>IF(OR(EXACT(Asistencia!G21,"A"),EXACT(Asistencia!G21,"R"),EXACT(Asistencia!G21,"DL"),EXACT(Asistencia!G21,"FL"),EXACT(Asistencia!G21,"FE"),EXACT(Asistencia!G21,"PCS"),EXACT(Asistencia!G21,"V")),1,0)</f>
        <v>0</v>
      </c>
      <c r="AK20">
        <f>IF(OR(EXACT(Asistencia!H21,"A"),EXACT(Asistencia!H21,"R"),EXACT(Asistencia!H21,"DL"),EXACT(Asistencia!H21,"FL"),EXACT(Asistencia!H21,"FE"),EXACT(Asistencia!H21,"PCS"),EXACT(Asistencia!H21,"V")),1,0)</f>
        <v>0</v>
      </c>
      <c r="AL20">
        <f>IF(OR(EXACT(Asistencia!I21,"A"),EXACT(Asistencia!I21,"R"),EXACT(Asistencia!I21,"DL"),EXACT(Asistencia!I21,"FL"),EXACT(Asistencia!I21,"FE"),EXACT(Asistencia!I21,"PCS"),EXACT(Asistencia!I21,"V")),1,0)</f>
        <v>0</v>
      </c>
      <c r="AM20">
        <f>IF(OR(EXACT(Asistencia!J21,"A"),EXACT(Asistencia!J21,"R"),EXACT(Asistencia!J21,"DL"),EXACT(Asistencia!J21,"FL"),EXACT(Asistencia!J21,"FE"),EXACT(Asistencia!J21,"PCS"),EXACT(Asistencia!J21,"V")),1,0)</f>
        <v>0</v>
      </c>
      <c r="AN20">
        <f>IF(OR(EXACT(Asistencia!K21,"A"),EXACT(Asistencia!K21,"R"),EXACT(Asistencia!K21,"DL"),EXACT(Asistencia!K21,"FL"),EXACT(Asistencia!K21,"FE"),EXACT(Asistencia!K21,"PCS"),EXACT(Asistencia!K21,"V")),1,0)</f>
        <v>0</v>
      </c>
      <c r="AO20">
        <f>IF(OR(EXACT(Asistencia!L21,"A"),EXACT(Asistencia!L21,"R"),EXACT(Asistencia!L21,"DL"),EXACT(Asistencia!L21,"FL"),EXACT(Asistencia!L21,"FE"),EXACT(Asistencia!L21,"PCS"),EXACT(Asistencia!L21,"V")),1,0)</f>
        <v>0</v>
      </c>
      <c r="AP20">
        <f t="shared" si="20"/>
        <v>0</v>
      </c>
      <c r="AQ20">
        <f>IF(EXACT(Asistencia!F21,"FL"),1,0)</f>
        <v>0</v>
      </c>
      <c r="AR20">
        <f>IF(EXACT(Asistencia!G21,"FL"),1,0)</f>
        <v>0</v>
      </c>
      <c r="AS20">
        <f>IF(EXACT(Asistencia!H21,"FL"),1,0)</f>
        <v>0</v>
      </c>
      <c r="AT20">
        <f>IF(EXACT(Asistencia!I21,"FL"),1,0)</f>
        <v>0</v>
      </c>
      <c r="AU20">
        <f>IF(EXACT(Asistencia!J21,"FL"),1,0)</f>
        <v>0</v>
      </c>
      <c r="AV20">
        <f>IF(EXACT(Asistencia!K21,"FL"),1,0)</f>
        <v>0</v>
      </c>
      <c r="AW20">
        <f>IF(EXACT(Asistencia!L21,"FL"),1,0)</f>
        <v>0</v>
      </c>
      <c r="AX20">
        <f t="shared" si="21"/>
        <v>0</v>
      </c>
      <c r="AY20">
        <f>IF(EXACT(Asistencia!F21,"DL"),1,0)</f>
        <v>0</v>
      </c>
      <c r="AZ20">
        <f>IF(EXACT(Asistencia!G21,"DL"),1,0)</f>
        <v>0</v>
      </c>
      <c r="BA20">
        <f>IF(EXACT(Asistencia!H21,"DL"),1,0)</f>
        <v>0</v>
      </c>
      <c r="BB20">
        <f>IF(EXACT(Asistencia!I21,"DL"),1,0)</f>
        <v>0</v>
      </c>
      <c r="BC20">
        <f>IF(EXACT(Asistencia!J21,"DL"),1,0)</f>
        <v>0</v>
      </c>
      <c r="BD20">
        <f>IF(EXACT(Asistencia!K21,"DL"),1,0)</f>
        <v>0</v>
      </c>
      <c r="BE20">
        <f>IF(EXACT(Asistencia!L21,"DL"),1,0)</f>
        <v>0</v>
      </c>
      <c r="BF20">
        <f t="shared" si="22"/>
        <v>0</v>
      </c>
      <c r="BG20">
        <f>IF(ISNUMBER(Asistencia!M21),Asistencia!M21,0)</f>
        <v>0</v>
      </c>
      <c r="BH20">
        <f>IF(ISNUMBER(Asistencia!N21),Asistencia!N21,0)</f>
        <v>0</v>
      </c>
      <c r="BI20">
        <f>IF(ISNUMBER(Asistencia!O21),Asistencia!O21,0)</f>
        <v>0</v>
      </c>
      <c r="BJ20">
        <f>IF(ISNUMBER(Asistencia!P21),Asistencia!P21,0)</f>
        <v>0</v>
      </c>
      <c r="BK20" t="str">
        <f>IF(Asistencia!F21="","",Asistencia!F21)</f>
        <v/>
      </c>
      <c r="BL20" t="str">
        <f>IF(Asistencia!G21="","",Asistencia!G21)</f>
        <v/>
      </c>
      <c r="BM20" t="str">
        <f>IF(Asistencia!H21="","",Asistencia!H21)</f>
        <v/>
      </c>
      <c r="BN20" t="str">
        <f>IF(Asistencia!I21="","",Asistencia!I21)</f>
        <v/>
      </c>
      <c r="BO20" t="str">
        <f>IF(Asistencia!J21="","",Asistencia!J21)</f>
        <v/>
      </c>
      <c r="BP20" t="str">
        <f>IF(Asistencia!K21="","",Asistencia!K21)</f>
        <v/>
      </c>
      <c r="BQ20" t="str">
        <f>IF(Asistencia!L21="","",Asistencia!L21)</f>
        <v/>
      </c>
    </row>
    <row r="21" spans="1:69" ht="15.75" customHeight="1" x14ac:dyDescent="0.25">
      <c r="A21" s="46" t="str">
        <f t="shared" si="0"/>
        <v/>
      </c>
      <c r="B21" s="47" t="str">
        <f t="shared" si="1"/>
        <v/>
      </c>
      <c r="C21" s="47"/>
      <c r="D21" s="47"/>
      <c r="E21" s="46" t="str">
        <f t="shared" si="2"/>
        <v/>
      </c>
      <c r="F21" s="45" t="str">
        <f t="shared" si="3"/>
        <v/>
      </c>
      <c r="G21" s="44" t="str">
        <f t="shared" si="4"/>
        <v/>
      </c>
      <c r="H21" s="44" t="str">
        <f t="shared" si="5"/>
        <v/>
      </c>
      <c r="I21" s="44" t="str">
        <f t="shared" si="6"/>
        <v/>
      </c>
      <c r="J21" s="44" t="str">
        <f t="shared" si="7"/>
        <v/>
      </c>
      <c r="K21" s="44" t="str">
        <f t="shared" si="8"/>
        <v/>
      </c>
      <c r="L21" s="44" t="str">
        <f t="shared" si="9"/>
        <v/>
      </c>
      <c r="M21" s="43" t="str">
        <f t="shared" si="10"/>
        <v/>
      </c>
      <c r="N21" s="41" t="str">
        <f t="shared" si="11"/>
        <v/>
      </c>
      <c r="O21" s="41" t="str">
        <f t="shared" si="12"/>
        <v/>
      </c>
      <c r="P21" s="41" t="str">
        <f t="shared" si="13"/>
        <v/>
      </c>
      <c r="Q21" s="41" t="str">
        <f t="shared" si="14"/>
        <v/>
      </c>
      <c r="R21" s="41" t="str">
        <f t="shared" si="15"/>
        <v/>
      </c>
      <c r="S21" s="41"/>
      <c r="T21" s="48"/>
      <c r="U21" s="41" t="str">
        <f t="shared" si="16"/>
        <v/>
      </c>
      <c r="V21" s="41"/>
      <c r="W21" s="42" t="str">
        <f t="shared" si="17"/>
        <v/>
      </c>
      <c r="Y21" t="str">
        <f>IFERROR(MATCH(17,$AH$5:$AH$323,0),"")</f>
        <v/>
      </c>
      <c r="Z21" t="str">
        <f t="shared" si="18"/>
        <v/>
      </c>
      <c r="AA21" t="str">
        <f t="shared" si="19"/>
        <v/>
      </c>
      <c r="AB21" t="str">
        <f>IF(Asistencia!A22="","",Asistencia!A22)</f>
        <v/>
      </c>
      <c r="AC21" t="str">
        <f>IF(Asistencia!A22="","",SUBSTITUTE(SUBSTITUTE(SUBSTITUTE(SUBSTITUTE(SUBSTITUTE(SUBSTITUTE(SUBSTITUTE(UPPER(TRIM(Asistencia!A22)),"Á","A"),"É","E"),"Í","I"),"Ó","O"),"Ú","U"),"Ñ","N"),"  "," "))</f>
        <v/>
      </c>
      <c r="AD21" t="str">
        <f>IF(Asistencia!E22="","",Asistencia!E22)</f>
        <v/>
      </c>
      <c r="AE21" t="str">
        <f>IF(Asistencia!D22="","",UPPER(TRIM(Asistencia!D22)))</f>
        <v/>
      </c>
      <c r="AF21" t="s">
        <v>186</v>
      </c>
      <c r="AG21">
        <f>IF(AND(AA21&lt;&gt;"",COUNTIF($AA$5:AA21,AA21)=1),1,0)</f>
        <v>0</v>
      </c>
      <c r="AH21" t="str">
        <f>IF(AG21=1,SUM($AG$5:AG21),"")</f>
        <v/>
      </c>
      <c r="AI21">
        <f>IF(OR(EXACT(Asistencia!F22,"A"),EXACT(Asistencia!F22,"R"),EXACT(Asistencia!F22,"DL"),EXACT(Asistencia!F22,"FL"),EXACT(Asistencia!F22,"FE"),EXACT(Asistencia!F22,"PCS"),EXACT(Asistencia!F22,"V")),1,0)</f>
        <v>0</v>
      </c>
      <c r="AJ21">
        <f>IF(OR(EXACT(Asistencia!G22,"A"),EXACT(Asistencia!G22,"R"),EXACT(Asistencia!G22,"DL"),EXACT(Asistencia!G22,"FL"),EXACT(Asistencia!G22,"FE"),EXACT(Asistencia!G22,"PCS"),EXACT(Asistencia!G22,"V")),1,0)</f>
        <v>0</v>
      </c>
      <c r="AK21">
        <f>IF(OR(EXACT(Asistencia!H22,"A"),EXACT(Asistencia!H22,"R"),EXACT(Asistencia!H22,"DL"),EXACT(Asistencia!H22,"FL"),EXACT(Asistencia!H22,"FE"),EXACT(Asistencia!H22,"PCS"),EXACT(Asistencia!H22,"V")),1,0)</f>
        <v>0</v>
      </c>
      <c r="AL21">
        <f>IF(OR(EXACT(Asistencia!I22,"A"),EXACT(Asistencia!I22,"R"),EXACT(Asistencia!I22,"DL"),EXACT(Asistencia!I22,"FL"),EXACT(Asistencia!I22,"FE"),EXACT(Asistencia!I22,"PCS"),EXACT(Asistencia!I22,"V")),1,0)</f>
        <v>0</v>
      </c>
      <c r="AM21">
        <f>IF(OR(EXACT(Asistencia!J22,"A"),EXACT(Asistencia!J22,"R"),EXACT(Asistencia!J22,"DL"),EXACT(Asistencia!J22,"FL"),EXACT(Asistencia!J22,"FE"),EXACT(Asistencia!J22,"PCS"),EXACT(Asistencia!J22,"V")),1,0)</f>
        <v>0</v>
      </c>
      <c r="AN21">
        <f>IF(OR(EXACT(Asistencia!K22,"A"),EXACT(Asistencia!K22,"R"),EXACT(Asistencia!K22,"DL"),EXACT(Asistencia!K22,"FL"),EXACT(Asistencia!K22,"FE"),EXACT(Asistencia!K22,"PCS"),EXACT(Asistencia!K22,"V")),1,0)</f>
        <v>0</v>
      </c>
      <c r="AO21">
        <f>IF(OR(EXACT(Asistencia!L22,"A"),EXACT(Asistencia!L22,"R"),EXACT(Asistencia!L22,"DL"),EXACT(Asistencia!L22,"FL"),EXACT(Asistencia!L22,"FE"),EXACT(Asistencia!L22,"PCS"),EXACT(Asistencia!L22,"V")),1,0)</f>
        <v>0</v>
      </c>
      <c r="AP21">
        <f t="shared" si="20"/>
        <v>0</v>
      </c>
      <c r="AQ21">
        <f>IF(EXACT(Asistencia!F22,"FL"),1,0)</f>
        <v>0</v>
      </c>
      <c r="AR21">
        <f>IF(EXACT(Asistencia!G22,"FL"),1,0)</f>
        <v>0</v>
      </c>
      <c r="AS21">
        <f>IF(EXACT(Asistencia!H22,"FL"),1,0)</f>
        <v>0</v>
      </c>
      <c r="AT21">
        <f>IF(EXACT(Asistencia!I22,"FL"),1,0)</f>
        <v>0</v>
      </c>
      <c r="AU21">
        <f>IF(EXACT(Asistencia!J22,"FL"),1,0)</f>
        <v>0</v>
      </c>
      <c r="AV21">
        <f>IF(EXACT(Asistencia!K22,"FL"),1,0)</f>
        <v>0</v>
      </c>
      <c r="AW21">
        <f>IF(EXACT(Asistencia!L22,"FL"),1,0)</f>
        <v>0</v>
      </c>
      <c r="AX21">
        <f t="shared" si="21"/>
        <v>0</v>
      </c>
      <c r="AY21">
        <f>IF(EXACT(Asistencia!F22,"DL"),1,0)</f>
        <v>0</v>
      </c>
      <c r="AZ21">
        <f>IF(EXACT(Asistencia!G22,"DL"),1,0)</f>
        <v>0</v>
      </c>
      <c r="BA21">
        <f>IF(EXACT(Asistencia!H22,"DL"),1,0)</f>
        <v>0</v>
      </c>
      <c r="BB21">
        <f>IF(EXACT(Asistencia!I22,"DL"),1,0)</f>
        <v>0</v>
      </c>
      <c r="BC21">
        <f>IF(EXACT(Asistencia!J22,"DL"),1,0)</f>
        <v>0</v>
      </c>
      <c r="BD21">
        <f>IF(EXACT(Asistencia!K22,"DL"),1,0)</f>
        <v>0</v>
      </c>
      <c r="BE21">
        <f>IF(EXACT(Asistencia!L22,"DL"),1,0)</f>
        <v>0</v>
      </c>
      <c r="BF21">
        <f t="shared" si="22"/>
        <v>0</v>
      </c>
      <c r="BG21">
        <f>IF(ISNUMBER(Asistencia!M22),Asistencia!M22,0)</f>
        <v>0</v>
      </c>
      <c r="BH21">
        <f>IF(ISNUMBER(Asistencia!N22),Asistencia!N22,0)</f>
        <v>0</v>
      </c>
      <c r="BI21">
        <f>IF(ISNUMBER(Asistencia!O22),Asistencia!O22,0)</f>
        <v>0</v>
      </c>
      <c r="BJ21">
        <f>IF(ISNUMBER(Asistencia!P22),Asistencia!P22,0)</f>
        <v>0</v>
      </c>
      <c r="BK21" t="str">
        <f>IF(Asistencia!F22="","",Asistencia!F22)</f>
        <v/>
      </c>
      <c r="BL21" t="str">
        <f>IF(Asistencia!G22="","",Asistencia!G22)</f>
        <v/>
      </c>
      <c r="BM21" t="str">
        <f>IF(Asistencia!H22="","",Asistencia!H22)</f>
        <v/>
      </c>
      <c r="BN21" t="str">
        <f>IF(Asistencia!I22="","",Asistencia!I22)</f>
        <v/>
      </c>
      <c r="BO21" t="str">
        <f>IF(Asistencia!J22="","",Asistencia!J22)</f>
        <v/>
      </c>
      <c r="BP21" t="str">
        <f>IF(Asistencia!K22="","",Asistencia!K22)</f>
        <v/>
      </c>
      <c r="BQ21" t="str">
        <f>IF(Asistencia!L22="","",Asistencia!L22)</f>
        <v/>
      </c>
    </row>
    <row r="22" spans="1:69" ht="15.75" customHeight="1" x14ac:dyDescent="0.25">
      <c r="A22" s="46" t="str">
        <f t="shared" si="0"/>
        <v/>
      </c>
      <c r="B22" s="47" t="str">
        <f t="shared" si="1"/>
        <v/>
      </c>
      <c r="C22" s="47"/>
      <c r="D22" s="47"/>
      <c r="E22" s="46" t="str">
        <f t="shared" si="2"/>
        <v/>
      </c>
      <c r="F22" s="45" t="str">
        <f t="shared" si="3"/>
        <v/>
      </c>
      <c r="G22" s="44" t="str">
        <f t="shared" si="4"/>
        <v/>
      </c>
      <c r="H22" s="44" t="str">
        <f t="shared" si="5"/>
        <v/>
      </c>
      <c r="I22" s="44" t="str">
        <f t="shared" si="6"/>
        <v/>
      </c>
      <c r="J22" s="44" t="str">
        <f t="shared" si="7"/>
        <v/>
      </c>
      <c r="K22" s="44" t="str">
        <f t="shared" si="8"/>
        <v/>
      </c>
      <c r="L22" s="44" t="str">
        <f t="shared" si="9"/>
        <v/>
      </c>
      <c r="M22" s="43" t="str">
        <f t="shared" si="10"/>
        <v/>
      </c>
      <c r="N22" s="41" t="str">
        <f t="shared" si="11"/>
        <v/>
      </c>
      <c r="O22" s="41" t="str">
        <f t="shared" si="12"/>
        <v/>
      </c>
      <c r="P22" s="41" t="str">
        <f t="shared" si="13"/>
        <v/>
      </c>
      <c r="Q22" s="41" t="str">
        <f t="shared" si="14"/>
        <v/>
      </c>
      <c r="R22" s="41" t="str">
        <f t="shared" si="15"/>
        <v/>
      </c>
      <c r="S22" s="41"/>
      <c r="T22" s="48"/>
      <c r="U22" s="41" t="str">
        <f t="shared" si="16"/>
        <v/>
      </c>
      <c r="V22" s="41"/>
      <c r="W22" s="42" t="str">
        <f t="shared" si="17"/>
        <v/>
      </c>
      <c r="Y22" t="str">
        <f>IFERROR(MATCH(18,$AH$5:$AH$323,0),"")</f>
        <v/>
      </c>
      <c r="Z22" t="str">
        <f t="shared" si="18"/>
        <v/>
      </c>
      <c r="AA22" t="str">
        <f t="shared" si="19"/>
        <v/>
      </c>
      <c r="AB22" t="str">
        <f>IF(Asistencia!A23="","",Asistencia!A23)</f>
        <v/>
      </c>
      <c r="AC22" t="str">
        <f>IF(Asistencia!A23="","",SUBSTITUTE(SUBSTITUTE(SUBSTITUTE(SUBSTITUTE(SUBSTITUTE(SUBSTITUTE(SUBSTITUTE(UPPER(TRIM(Asistencia!A23)),"Á","A"),"É","E"),"Í","I"),"Ó","O"),"Ú","U"),"Ñ","N"),"  "," "))</f>
        <v/>
      </c>
      <c r="AD22" t="str">
        <f>IF(Asistencia!E23="","",Asistencia!E23)</f>
        <v/>
      </c>
      <c r="AE22" t="str">
        <f>IF(Asistencia!D23="","",UPPER(TRIM(Asistencia!D23)))</f>
        <v/>
      </c>
      <c r="AF22" t="s">
        <v>186</v>
      </c>
      <c r="AG22">
        <f>IF(AND(AA22&lt;&gt;"",COUNTIF($AA$5:AA22,AA22)=1),1,0)</f>
        <v>0</v>
      </c>
      <c r="AH22" t="str">
        <f>IF(AG22=1,SUM($AG$5:AG22),"")</f>
        <v/>
      </c>
      <c r="AI22">
        <f>IF(OR(EXACT(Asistencia!F23,"A"),EXACT(Asistencia!F23,"R"),EXACT(Asistencia!F23,"DL"),EXACT(Asistencia!F23,"FL"),EXACT(Asistencia!F23,"FE"),EXACT(Asistencia!F23,"PCS"),EXACT(Asistencia!F23,"V")),1,0)</f>
        <v>0</v>
      </c>
      <c r="AJ22">
        <f>IF(OR(EXACT(Asistencia!G23,"A"),EXACT(Asistencia!G23,"R"),EXACT(Asistencia!G23,"DL"),EXACT(Asistencia!G23,"FL"),EXACT(Asistencia!G23,"FE"),EXACT(Asistencia!G23,"PCS"),EXACT(Asistencia!G23,"V")),1,0)</f>
        <v>0</v>
      </c>
      <c r="AK22">
        <f>IF(OR(EXACT(Asistencia!H23,"A"),EXACT(Asistencia!H23,"R"),EXACT(Asistencia!H23,"DL"),EXACT(Asistencia!H23,"FL"),EXACT(Asistencia!H23,"FE"),EXACT(Asistencia!H23,"PCS"),EXACT(Asistencia!H23,"V")),1,0)</f>
        <v>0</v>
      </c>
      <c r="AL22">
        <f>IF(OR(EXACT(Asistencia!I23,"A"),EXACT(Asistencia!I23,"R"),EXACT(Asistencia!I23,"DL"),EXACT(Asistencia!I23,"FL"),EXACT(Asistencia!I23,"FE"),EXACT(Asistencia!I23,"PCS"),EXACT(Asistencia!I23,"V")),1,0)</f>
        <v>0</v>
      </c>
      <c r="AM22">
        <f>IF(OR(EXACT(Asistencia!J23,"A"),EXACT(Asistencia!J23,"R"),EXACT(Asistencia!J23,"DL"),EXACT(Asistencia!J23,"FL"),EXACT(Asistencia!J23,"FE"),EXACT(Asistencia!J23,"PCS"),EXACT(Asistencia!J23,"V")),1,0)</f>
        <v>0</v>
      </c>
      <c r="AN22">
        <f>IF(OR(EXACT(Asistencia!K23,"A"),EXACT(Asistencia!K23,"R"),EXACT(Asistencia!K23,"DL"),EXACT(Asistencia!K23,"FL"),EXACT(Asistencia!K23,"FE"),EXACT(Asistencia!K23,"PCS"),EXACT(Asistencia!K23,"V")),1,0)</f>
        <v>0</v>
      </c>
      <c r="AO22">
        <f>IF(OR(EXACT(Asistencia!L23,"A"),EXACT(Asistencia!L23,"R"),EXACT(Asistencia!L23,"DL"),EXACT(Asistencia!L23,"FL"),EXACT(Asistencia!L23,"FE"),EXACT(Asistencia!L23,"PCS"),EXACT(Asistencia!L23,"V")),1,0)</f>
        <v>0</v>
      </c>
      <c r="AP22">
        <f t="shared" si="20"/>
        <v>0</v>
      </c>
      <c r="AQ22">
        <f>IF(EXACT(Asistencia!F23,"FL"),1,0)</f>
        <v>0</v>
      </c>
      <c r="AR22">
        <f>IF(EXACT(Asistencia!G23,"FL"),1,0)</f>
        <v>0</v>
      </c>
      <c r="AS22">
        <f>IF(EXACT(Asistencia!H23,"FL"),1,0)</f>
        <v>0</v>
      </c>
      <c r="AT22">
        <f>IF(EXACT(Asistencia!I23,"FL"),1,0)</f>
        <v>0</v>
      </c>
      <c r="AU22">
        <f>IF(EXACT(Asistencia!J23,"FL"),1,0)</f>
        <v>0</v>
      </c>
      <c r="AV22">
        <f>IF(EXACT(Asistencia!K23,"FL"),1,0)</f>
        <v>0</v>
      </c>
      <c r="AW22">
        <f>IF(EXACT(Asistencia!L23,"FL"),1,0)</f>
        <v>0</v>
      </c>
      <c r="AX22">
        <f t="shared" si="21"/>
        <v>0</v>
      </c>
      <c r="AY22">
        <f>IF(EXACT(Asistencia!F23,"DL"),1,0)</f>
        <v>0</v>
      </c>
      <c r="AZ22">
        <f>IF(EXACT(Asistencia!G23,"DL"),1,0)</f>
        <v>0</v>
      </c>
      <c r="BA22">
        <f>IF(EXACT(Asistencia!H23,"DL"),1,0)</f>
        <v>0</v>
      </c>
      <c r="BB22">
        <f>IF(EXACT(Asistencia!I23,"DL"),1,0)</f>
        <v>0</v>
      </c>
      <c r="BC22">
        <f>IF(EXACT(Asistencia!J23,"DL"),1,0)</f>
        <v>0</v>
      </c>
      <c r="BD22">
        <f>IF(EXACT(Asistencia!K23,"DL"),1,0)</f>
        <v>0</v>
      </c>
      <c r="BE22">
        <f>IF(EXACT(Asistencia!L23,"DL"),1,0)</f>
        <v>0</v>
      </c>
      <c r="BF22">
        <f t="shared" si="22"/>
        <v>0</v>
      </c>
      <c r="BG22">
        <f>IF(ISNUMBER(Asistencia!M23),Asistencia!M23,0)</f>
        <v>0</v>
      </c>
      <c r="BH22">
        <f>IF(ISNUMBER(Asistencia!N23),Asistencia!N23,0)</f>
        <v>0</v>
      </c>
      <c r="BI22">
        <f>IF(ISNUMBER(Asistencia!O23),Asistencia!O23,0)</f>
        <v>0</v>
      </c>
      <c r="BJ22">
        <f>IF(ISNUMBER(Asistencia!P23),Asistencia!P23,0)</f>
        <v>0</v>
      </c>
      <c r="BK22" t="str">
        <f>IF(Asistencia!F23="","",Asistencia!F23)</f>
        <v/>
      </c>
      <c r="BL22" t="str">
        <f>IF(Asistencia!G23="","",Asistencia!G23)</f>
        <v/>
      </c>
      <c r="BM22" t="str">
        <f>IF(Asistencia!H23="","",Asistencia!H23)</f>
        <v/>
      </c>
      <c r="BN22" t="str">
        <f>IF(Asistencia!I23="","",Asistencia!I23)</f>
        <v/>
      </c>
      <c r="BO22" t="str">
        <f>IF(Asistencia!J23="","",Asistencia!J23)</f>
        <v/>
      </c>
      <c r="BP22" t="str">
        <f>IF(Asistencia!K23="","",Asistencia!K23)</f>
        <v/>
      </c>
      <c r="BQ22" t="str">
        <f>IF(Asistencia!L23="","",Asistencia!L23)</f>
        <v/>
      </c>
    </row>
    <row r="23" spans="1:69" ht="15.75" customHeight="1" x14ac:dyDescent="0.25">
      <c r="A23" s="46" t="str">
        <f t="shared" si="0"/>
        <v/>
      </c>
      <c r="B23" s="47" t="str">
        <f t="shared" si="1"/>
        <v/>
      </c>
      <c r="C23" s="47"/>
      <c r="D23" s="47"/>
      <c r="E23" s="46" t="str">
        <f t="shared" si="2"/>
        <v/>
      </c>
      <c r="F23" s="45" t="str">
        <f t="shared" si="3"/>
        <v/>
      </c>
      <c r="G23" s="44" t="str">
        <f t="shared" si="4"/>
        <v/>
      </c>
      <c r="H23" s="44" t="str">
        <f t="shared" si="5"/>
        <v/>
      </c>
      <c r="I23" s="44" t="str">
        <f t="shared" si="6"/>
        <v/>
      </c>
      <c r="J23" s="44" t="str">
        <f t="shared" si="7"/>
        <v/>
      </c>
      <c r="K23" s="44" t="str">
        <f t="shared" si="8"/>
        <v/>
      </c>
      <c r="L23" s="44" t="str">
        <f t="shared" si="9"/>
        <v/>
      </c>
      <c r="M23" s="43" t="str">
        <f t="shared" si="10"/>
        <v/>
      </c>
      <c r="N23" s="41" t="str">
        <f t="shared" si="11"/>
        <v/>
      </c>
      <c r="O23" s="41" t="str">
        <f t="shared" si="12"/>
        <v/>
      </c>
      <c r="P23" s="41" t="str">
        <f t="shared" si="13"/>
        <v/>
      </c>
      <c r="Q23" s="41" t="str">
        <f t="shared" si="14"/>
        <v/>
      </c>
      <c r="R23" s="41" t="str">
        <f t="shared" si="15"/>
        <v/>
      </c>
      <c r="S23" s="41"/>
      <c r="T23" s="48"/>
      <c r="U23" s="41" t="str">
        <f t="shared" si="16"/>
        <v/>
      </c>
      <c r="V23" s="41"/>
      <c r="W23" s="42" t="str">
        <f t="shared" si="17"/>
        <v/>
      </c>
      <c r="Y23" t="str">
        <f>IFERROR(MATCH(19,$AH$5:$AH$323,0),"")</f>
        <v/>
      </c>
      <c r="Z23" t="str">
        <f t="shared" si="18"/>
        <v/>
      </c>
      <c r="AA23" t="str">
        <f t="shared" si="19"/>
        <v/>
      </c>
      <c r="AB23" t="str">
        <f>IF(Asistencia!A24="","",Asistencia!A24)</f>
        <v/>
      </c>
      <c r="AC23" t="str">
        <f>IF(Asistencia!A24="","",SUBSTITUTE(SUBSTITUTE(SUBSTITUTE(SUBSTITUTE(SUBSTITUTE(SUBSTITUTE(SUBSTITUTE(UPPER(TRIM(Asistencia!A24)),"Á","A"),"É","E"),"Í","I"),"Ó","O"),"Ú","U"),"Ñ","N"),"  "," "))</f>
        <v/>
      </c>
      <c r="AD23" t="str">
        <f>IF(Asistencia!E24="","",Asistencia!E24)</f>
        <v/>
      </c>
      <c r="AE23" t="str">
        <f>IF(Asistencia!D24="","",UPPER(TRIM(Asistencia!D24)))</f>
        <v/>
      </c>
      <c r="AF23" t="s">
        <v>186</v>
      </c>
      <c r="AG23">
        <f>IF(AND(AA23&lt;&gt;"",COUNTIF($AA$5:AA23,AA23)=1),1,0)</f>
        <v>0</v>
      </c>
      <c r="AH23" t="str">
        <f>IF(AG23=1,SUM($AG$5:AG23),"")</f>
        <v/>
      </c>
      <c r="AI23">
        <f>IF(OR(EXACT(Asistencia!F24,"A"),EXACT(Asistencia!F24,"R"),EXACT(Asistencia!F24,"DL"),EXACT(Asistencia!F24,"FL"),EXACT(Asistencia!F24,"FE"),EXACT(Asistencia!F24,"PCS"),EXACT(Asistencia!F24,"V")),1,0)</f>
        <v>0</v>
      </c>
      <c r="AJ23">
        <f>IF(OR(EXACT(Asistencia!G24,"A"),EXACT(Asistencia!G24,"R"),EXACT(Asistencia!G24,"DL"),EXACT(Asistencia!G24,"FL"),EXACT(Asistencia!G24,"FE"),EXACT(Asistencia!G24,"PCS"),EXACT(Asistencia!G24,"V")),1,0)</f>
        <v>0</v>
      </c>
      <c r="AK23">
        <f>IF(OR(EXACT(Asistencia!H24,"A"),EXACT(Asistencia!H24,"R"),EXACT(Asistencia!H24,"DL"),EXACT(Asistencia!H24,"FL"),EXACT(Asistencia!H24,"FE"),EXACT(Asistencia!H24,"PCS"),EXACT(Asistencia!H24,"V")),1,0)</f>
        <v>0</v>
      </c>
      <c r="AL23">
        <f>IF(OR(EXACT(Asistencia!I24,"A"),EXACT(Asistencia!I24,"R"),EXACT(Asistencia!I24,"DL"),EXACT(Asistencia!I24,"FL"),EXACT(Asistencia!I24,"FE"),EXACT(Asistencia!I24,"PCS"),EXACT(Asistencia!I24,"V")),1,0)</f>
        <v>0</v>
      </c>
      <c r="AM23">
        <f>IF(OR(EXACT(Asistencia!J24,"A"),EXACT(Asistencia!J24,"R"),EXACT(Asistencia!J24,"DL"),EXACT(Asistencia!J24,"FL"),EXACT(Asistencia!J24,"FE"),EXACT(Asistencia!J24,"PCS"),EXACT(Asistencia!J24,"V")),1,0)</f>
        <v>0</v>
      </c>
      <c r="AN23">
        <f>IF(OR(EXACT(Asistencia!K24,"A"),EXACT(Asistencia!K24,"R"),EXACT(Asistencia!K24,"DL"),EXACT(Asistencia!K24,"FL"),EXACT(Asistencia!K24,"FE"),EXACT(Asistencia!K24,"PCS"),EXACT(Asistencia!K24,"V")),1,0)</f>
        <v>0</v>
      </c>
      <c r="AO23">
        <f>IF(OR(EXACT(Asistencia!L24,"A"),EXACT(Asistencia!L24,"R"),EXACT(Asistencia!L24,"DL"),EXACT(Asistencia!L24,"FL"),EXACT(Asistencia!L24,"FE"),EXACT(Asistencia!L24,"PCS"),EXACT(Asistencia!L24,"V")),1,0)</f>
        <v>0</v>
      </c>
      <c r="AP23">
        <f t="shared" si="20"/>
        <v>0</v>
      </c>
      <c r="AQ23">
        <f>IF(EXACT(Asistencia!F24,"FL"),1,0)</f>
        <v>0</v>
      </c>
      <c r="AR23">
        <f>IF(EXACT(Asistencia!G24,"FL"),1,0)</f>
        <v>0</v>
      </c>
      <c r="AS23">
        <f>IF(EXACT(Asistencia!H24,"FL"),1,0)</f>
        <v>0</v>
      </c>
      <c r="AT23">
        <f>IF(EXACT(Asistencia!I24,"FL"),1,0)</f>
        <v>0</v>
      </c>
      <c r="AU23">
        <f>IF(EXACT(Asistencia!J24,"FL"),1,0)</f>
        <v>0</v>
      </c>
      <c r="AV23">
        <f>IF(EXACT(Asistencia!K24,"FL"),1,0)</f>
        <v>0</v>
      </c>
      <c r="AW23">
        <f>IF(EXACT(Asistencia!L24,"FL"),1,0)</f>
        <v>0</v>
      </c>
      <c r="AX23">
        <f t="shared" si="21"/>
        <v>0</v>
      </c>
      <c r="AY23">
        <f>IF(EXACT(Asistencia!F24,"DL"),1,0)</f>
        <v>0</v>
      </c>
      <c r="AZ23">
        <f>IF(EXACT(Asistencia!G24,"DL"),1,0)</f>
        <v>0</v>
      </c>
      <c r="BA23">
        <f>IF(EXACT(Asistencia!H24,"DL"),1,0)</f>
        <v>0</v>
      </c>
      <c r="BB23">
        <f>IF(EXACT(Asistencia!I24,"DL"),1,0)</f>
        <v>0</v>
      </c>
      <c r="BC23">
        <f>IF(EXACT(Asistencia!J24,"DL"),1,0)</f>
        <v>0</v>
      </c>
      <c r="BD23">
        <f>IF(EXACT(Asistencia!K24,"DL"),1,0)</f>
        <v>0</v>
      </c>
      <c r="BE23">
        <f>IF(EXACT(Asistencia!L24,"DL"),1,0)</f>
        <v>0</v>
      </c>
      <c r="BF23">
        <f t="shared" si="22"/>
        <v>0</v>
      </c>
      <c r="BG23">
        <f>IF(ISNUMBER(Asistencia!M24),Asistencia!M24,0)</f>
        <v>0</v>
      </c>
      <c r="BH23">
        <f>IF(ISNUMBER(Asistencia!N24),Asistencia!N24,0)</f>
        <v>0</v>
      </c>
      <c r="BI23">
        <f>IF(ISNUMBER(Asistencia!O24),Asistencia!O24,0)</f>
        <v>0</v>
      </c>
      <c r="BJ23">
        <f>IF(ISNUMBER(Asistencia!P24),Asistencia!P24,0)</f>
        <v>0</v>
      </c>
      <c r="BK23" t="str">
        <f>IF(Asistencia!F24="","",Asistencia!F24)</f>
        <v/>
      </c>
      <c r="BL23" t="str">
        <f>IF(Asistencia!G24="","",Asistencia!G24)</f>
        <v/>
      </c>
      <c r="BM23" t="str">
        <f>IF(Asistencia!H24="","",Asistencia!H24)</f>
        <v/>
      </c>
      <c r="BN23" t="str">
        <f>IF(Asistencia!I24="","",Asistencia!I24)</f>
        <v/>
      </c>
      <c r="BO23" t="str">
        <f>IF(Asistencia!J24="","",Asistencia!J24)</f>
        <v/>
      </c>
      <c r="BP23" t="str">
        <f>IF(Asistencia!K24="","",Asistencia!K24)</f>
        <v/>
      </c>
      <c r="BQ23" t="str">
        <f>IF(Asistencia!L24="","",Asistencia!L24)</f>
        <v/>
      </c>
    </row>
    <row r="24" spans="1:69" ht="15.75" customHeight="1" x14ac:dyDescent="0.25">
      <c r="A24" s="46" t="str">
        <f t="shared" si="0"/>
        <v/>
      </c>
      <c r="B24" s="47" t="str">
        <f t="shared" si="1"/>
        <v/>
      </c>
      <c r="C24" s="47"/>
      <c r="D24" s="47"/>
      <c r="E24" s="46" t="str">
        <f t="shared" si="2"/>
        <v/>
      </c>
      <c r="F24" s="45" t="str">
        <f t="shared" si="3"/>
        <v/>
      </c>
      <c r="G24" s="44" t="str">
        <f t="shared" si="4"/>
        <v/>
      </c>
      <c r="H24" s="44" t="str">
        <f t="shared" si="5"/>
        <v/>
      </c>
      <c r="I24" s="44" t="str">
        <f t="shared" si="6"/>
        <v/>
      </c>
      <c r="J24" s="44" t="str">
        <f t="shared" si="7"/>
        <v/>
      </c>
      <c r="K24" s="44" t="str">
        <f t="shared" si="8"/>
        <v/>
      </c>
      <c r="L24" s="44" t="str">
        <f t="shared" si="9"/>
        <v/>
      </c>
      <c r="M24" s="43" t="str">
        <f t="shared" si="10"/>
        <v/>
      </c>
      <c r="N24" s="41" t="str">
        <f t="shared" si="11"/>
        <v/>
      </c>
      <c r="O24" s="41" t="str">
        <f t="shared" si="12"/>
        <v/>
      </c>
      <c r="P24" s="41" t="str">
        <f t="shared" si="13"/>
        <v/>
      </c>
      <c r="Q24" s="41" t="str">
        <f t="shared" si="14"/>
        <v/>
      </c>
      <c r="R24" s="41" t="str">
        <f t="shared" si="15"/>
        <v/>
      </c>
      <c r="S24" s="41"/>
      <c r="T24" s="48"/>
      <c r="U24" s="41" t="str">
        <f t="shared" si="16"/>
        <v/>
      </c>
      <c r="V24" s="41"/>
      <c r="W24" s="42" t="str">
        <f t="shared" si="17"/>
        <v/>
      </c>
      <c r="Y24" t="str">
        <f>IFERROR(MATCH(20,$AH$5:$AH$323,0),"")</f>
        <v/>
      </c>
      <c r="Z24" t="str">
        <f t="shared" si="18"/>
        <v/>
      </c>
      <c r="AA24" t="str">
        <f t="shared" si="19"/>
        <v/>
      </c>
      <c r="AB24" t="str">
        <f>IF(Asistencia!A25="","",Asistencia!A25)</f>
        <v/>
      </c>
      <c r="AC24" t="str">
        <f>IF(Asistencia!A25="","",SUBSTITUTE(SUBSTITUTE(SUBSTITUTE(SUBSTITUTE(SUBSTITUTE(SUBSTITUTE(SUBSTITUTE(UPPER(TRIM(Asistencia!A25)),"Á","A"),"É","E"),"Í","I"),"Ó","O"),"Ú","U"),"Ñ","N"),"  "," "))</f>
        <v/>
      </c>
      <c r="AD24" t="str">
        <f>IF(Asistencia!E25="","",Asistencia!E25)</f>
        <v/>
      </c>
      <c r="AE24" t="str">
        <f>IF(Asistencia!D25="","",UPPER(TRIM(Asistencia!D25)))</f>
        <v/>
      </c>
      <c r="AF24" t="s">
        <v>186</v>
      </c>
      <c r="AG24">
        <f>IF(AND(AA24&lt;&gt;"",COUNTIF($AA$5:AA24,AA24)=1),1,0)</f>
        <v>0</v>
      </c>
      <c r="AH24" t="str">
        <f>IF(AG24=1,SUM($AG$5:AG24),"")</f>
        <v/>
      </c>
      <c r="AI24">
        <f>IF(OR(EXACT(Asistencia!F25,"A"),EXACT(Asistencia!F25,"R"),EXACT(Asistencia!F25,"DL"),EXACT(Asistencia!F25,"FL"),EXACT(Asistencia!F25,"FE"),EXACT(Asistencia!F25,"PCS"),EXACT(Asistencia!F25,"V")),1,0)</f>
        <v>0</v>
      </c>
      <c r="AJ24">
        <f>IF(OR(EXACT(Asistencia!G25,"A"),EXACT(Asistencia!G25,"R"),EXACT(Asistencia!G25,"DL"),EXACT(Asistencia!G25,"FL"),EXACT(Asistencia!G25,"FE"),EXACT(Asistencia!G25,"PCS"),EXACT(Asistencia!G25,"V")),1,0)</f>
        <v>0</v>
      </c>
      <c r="AK24">
        <f>IF(OR(EXACT(Asistencia!H25,"A"),EXACT(Asistencia!H25,"R"),EXACT(Asistencia!H25,"DL"),EXACT(Asistencia!H25,"FL"),EXACT(Asistencia!H25,"FE"),EXACT(Asistencia!H25,"PCS"),EXACT(Asistencia!H25,"V")),1,0)</f>
        <v>0</v>
      </c>
      <c r="AL24">
        <f>IF(OR(EXACT(Asistencia!I25,"A"),EXACT(Asistencia!I25,"R"),EXACT(Asistencia!I25,"DL"),EXACT(Asistencia!I25,"FL"),EXACT(Asistencia!I25,"FE"),EXACT(Asistencia!I25,"PCS"),EXACT(Asistencia!I25,"V")),1,0)</f>
        <v>0</v>
      </c>
      <c r="AM24">
        <f>IF(OR(EXACT(Asistencia!J25,"A"),EXACT(Asistencia!J25,"R"),EXACT(Asistencia!J25,"DL"),EXACT(Asistencia!J25,"FL"),EXACT(Asistencia!J25,"FE"),EXACT(Asistencia!J25,"PCS"),EXACT(Asistencia!J25,"V")),1,0)</f>
        <v>0</v>
      </c>
      <c r="AN24">
        <f>IF(OR(EXACT(Asistencia!K25,"A"),EXACT(Asistencia!K25,"R"),EXACT(Asistencia!K25,"DL"),EXACT(Asistencia!K25,"FL"),EXACT(Asistencia!K25,"FE"),EXACT(Asistencia!K25,"PCS"),EXACT(Asistencia!K25,"V")),1,0)</f>
        <v>0</v>
      </c>
      <c r="AO24">
        <f>IF(OR(EXACT(Asistencia!L25,"A"),EXACT(Asistencia!L25,"R"),EXACT(Asistencia!L25,"DL"),EXACT(Asistencia!L25,"FL"),EXACT(Asistencia!L25,"FE"),EXACT(Asistencia!L25,"PCS"),EXACT(Asistencia!L25,"V")),1,0)</f>
        <v>0</v>
      </c>
      <c r="AP24">
        <f t="shared" si="20"/>
        <v>0</v>
      </c>
      <c r="AQ24">
        <f>IF(EXACT(Asistencia!F25,"FL"),1,0)</f>
        <v>0</v>
      </c>
      <c r="AR24">
        <f>IF(EXACT(Asistencia!G25,"FL"),1,0)</f>
        <v>0</v>
      </c>
      <c r="AS24">
        <f>IF(EXACT(Asistencia!H25,"FL"),1,0)</f>
        <v>0</v>
      </c>
      <c r="AT24">
        <f>IF(EXACT(Asistencia!I25,"FL"),1,0)</f>
        <v>0</v>
      </c>
      <c r="AU24">
        <f>IF(EXACT(Asistencia!J25,"FL"),1,0)</f>
        <v>0</v>
      </c>
      <c r="AV24">
        <f>IF(EXACT(Asistencia!K25,"FL"),1,0)</f>
        <v>0</v>
      </c>
      <c r="AW24">
        <f>IF(EXACT(Asistencia!L25,"FL"),1,0)</f>
        <v>0</v>
      </c>
      <c r="AX24">
        <f t="shared" si="21"/>
        <v>0</v>
      </c>
      <c r="AY24">
        <f>IF(EXACT(Asistencia!F25,"DL"),1,0)</f>
        <v>0</v>
      </c>
      <c r="AZ24">
        <f>IF(EXACT(Asistencia!G25,"DL"),1,0)</f>
        <v>0</v>
      </c>
      <c r="BA24">
        <f>IF(EXACT(Asistencia!H25,"DL"),1,0)</f>
        <v>0</v>
      </c>
      <c r="BB24">
        <f>IF(EXACT(Asistencia!I25,"DL"),1,0)</f>
        <v>0</v>
      </c>
      <c r="BC24">
        <f>IF(EXACT(Asistencia!J25,"DL"),1,0)</f>
        <v>0</v>
      </c>
      <c r="BD24">
        <f>IF(EXACT(Asistencia!K25,"DL"),1,0)</f>
        <v>0</v>
      </c>
      <c r="BE24">
        <f>IF(EXACT(Asistencia!L25,"DL"),1,0)</f>
        <v>0</v>
      </c>
      <c r="BF24">
        <f t="shared" si="22"/>
        <v>0</v>
      </c>
      <c r="BG24">
        <f>IF(ISNUMBER(Asistencia!M25),Asistencia!M25,0)</f>
        <v>0</v>
      </c>
      <c r="BH24">
        <f>IF(ISNUMBER(Asistencia!N25),Asistencia!N25,0)</f>
        <v>0</v>
      </c>
      <c r="BI24">
        <f>IF(ISNUMBER(Asistencia!O25),Asistencia!O25,0)</f>
        <v>0</v>
      </c>
      <c r="BJ24">
        <f>IF(ISNUMBER(Asistencia!P25),Asistencia!P25,0)</f>
        <v>0</v>
      </c>
      <c r="BK24" t="str">
        <f>IF(Asistencia!F25="","",Asistencia!F25)</f>
        <v/>
      </c>
      <c r="BL24" t="str">
        <f>IF(Asistencia!G25="","",Asistencia!G25)</f>
        <v/>
      </c>
      <c r="BM24" t="str">
        <f>IF(Asistencia!H25="","",Asistencia!H25)</f>
        <v/>
      </c>
      <c r="BN24" t="str">
        <f>IF(Asistencia!I25="","",Asistencia!I25)</f>
        <v/>
      </c>
      <c r="BO24" t="str">
        <f>IF(Asistencia!J25="","",Asistencia!J25)</f>
        <v/>
      </c>
      <c r="BP24" t="str">
        <f>IF(Asistencia!K25="","",Asistencia!K25)</f>
        <v/>
      </c>
      <c r="BQ24" t="str">
        <f>IF(Asistencia!L25="","",Asistencia!L25)</f>
        <v/>
      </c>
    </row>
    <row r="25" spans="1:69" ht="15.75" customHeight="1" x14ac:dyDescent="0.25">
      <c r="A25" s="46" t="str">
        <f t="shared" si="0"/>
        <v/>
      </c>
      <c r="B25" s="47" t="str">
        <f t="shared" si="1"/>
        <v/>
      </c>
      <c r="C25" s="47"/>
      <c r="D25" s="47"/>
      <c r="E25" s="46" t="str">
        <f t="shared" si="2"/>
        <v/>
      </c>
      <c r="F25" s="45" t="str">
        <f t="shared" si="3"/>
        <v/>
      </c>
      <c r="G25" s="44" t="str">
        <f t="shared" si="4"/>
        <v/>
      </c>
      <c r="H25" s="44" t="str">
        <f t="shared" si="5"/>
        <v/>
      </c>
      <c r="I25" s="44" t="str">
        <f t="shared" si="6"/>
        <v/>
      </c>
      <c r="J25" s="44" t="str">
        <f t="shared" si="7"/>
        <v/>
      </c>
      <c r="K25" s="44" t="str">
        <f t="shared" si="8"/>
        <v/>
      </c>
      <c r="L25" s="44" t="str">
        <f t="shared" si="9"/>
        <v/>
      </c>
      <c r="M25" s="43" t="str">
        <f t="shared" si="10"/>
        <v/>
      </c>
      <c r="N25" s="41" t="str">
        <f t="shared" si="11"/>
        <v/>
      </c>
      <c r="O25" s="41" t="str">
        <f t="shared" si="12"/>
        <v/>
      </c>
      <c r="P25" s="41" t="str">
        <f t="shared" si="13"/>
        <v/>
      </c>
      <c r="Q25" s="41" t="str">
        <f t="shared" si="14"/>
        <v/>
      </c>
      <c r="R25" s="41" t="str">
        <f t="shared" si="15"/>
        <v/>
      </c>
      <c r="S25" s="41"/>
      <c r="T25" s="48"/>
      <c r="U25" s="41" t="str">
        <f t="shared" si="16"/>
        <v/>
      </c>
      <c r="V25" s="41"/>
      <c r="W25" s="42" t="str">
        <f t="shared" si="17"/>
        <v/>
      </c>
      <c r="Y25" t="str">
        <f>IFERROR(MATCH(21,$AH$5:$AH$323,0),"")</f>
        <v/>
      </c>
      <c r="Z25" t="str">
        <f t="shared" si="18"/>
        <v/>
      </c>
      <c r="AA25" t="str">
        <f t="shared" si="19"/>
        <v/>
      </c>
      <c r="AB25" t="str">
        <f>IF(Asistencia!A26="","",Asistencia!A26)</f>
        <v/>
      </c>
      <c r="AC25" t="str">
        <f>IF(Asistencia!A26="","",SUBSTITUTE(SUBSTITUTE(SUBSTITUTE(SUBSTITUTE(SUBSTITUTE(SUBSTITUTE(SUBSTITUTE(UPPER(TRIM(Asistencia!A26)),"Á","A"),"É","E"),"Í","I"),"Ó","O"),"Ú","U"),"Ñ","N"),"  "," "))</f>
        <v/>
      </c>
      <c r="AD25" t="str">
        <f>IF(Asistencia!E26="","",Asistencia!E26)</f>
        <v/>
      </c>
      <c r="AE25" t="str">
        <f>IF(Asistencia!D26="","",UPPER(TRIM(Asistencia!D26)))</f>
        <v/>
      </c>
      <c r="AF25" t="s">
        <v>186</v>
      </c>
      <c r="AG25">
        <f>IF(AND(AA25&lt;&gt;"",COUNTIF($AA$5:AA25,AA25)=1),1,0)</f>
        <v>0</v>
      </c>
      <c r="AH25" t="str">
        <f>IF(AG25=1,SUM($AG$5:AG25),"")</f>
        <v/>
      </c>
      <c r="AI25">
        <f>IF(OR(EXACT(Asistencia!F26,"A"),EXACT(Asistencia!F26,"R"),EXACT(Asistencia!F26,"DL"),EXACT(Asistencia!F26,"FL"),EXACT(Asistencia!F26,"FE"),EXACT(Asistencia!F26,"PCS"),EXACT(Asistencia!F26,"V")),1,0)</f>
        <v>0</v>
      </c>
      <c r="AJ25">
        <f>IF(OR(EXACT(Asistencia!G26,"A"),EXACT(Asistencia!G26,"R"),EXACT(Asistencia!G26,"DL"),EXACT(Asistencia!G26,"FL"),EXACT(Asistencia!G26,"FE"),EXACT(Asistencia!G26,"PCS"),EXACT(Asistencia!G26,"V")),1,0)</f>
        <v>0</v>
      </c>
      <c r="AK25">
        <f>IF(OR(EXACT(Asistencia!H26,"A"),EXACT(Asistencia!H26,"R"),EXACT(Asistencia!H26,"DL"),EXACT(Asistencia!H26,"FL"),EXACT(Asistencia!H26,"FE"),EXACT(Asistencia!H26,"PCS"),EXACT(Asistencia!H26,"V")),1,0)</f>
        <v>0</v>
      </c>
      <c r="AL25">
        <f>IF(OR(EXACT(Asistencia!I26,"A"),EXACT(Asistencia!I26,"R"),EXACT(Asistencia!I26,"DL"),EXACT(Asistencia!I26,"FL"),EXACT(Asistencia!I26,"FE"),EXACT(Asistencia!I26,"PCS"),EXACT(Asistencia!I26,"V")),1,0)</f>
        <v>0</v>
      </c>
      <c r="AM25">
        <f>IF(OR(EXACT(Asistencia!J26,"A"),EXACT(Asistencia!J26,"R"),EXACT(Asistencia!J26,"DL"),EXACT(Asistencia!J26,"FL"),EXACT(Asistencia!J26,"FE"),EXACT(Asistencia!J26,"PCS"),EXACT(Asistencia!J26,"V")),1,0)</f>
        <v>0</v>
      </c>
      <c r="AN25">
        <f>IF(OR(EXACT(Asistencia!K26,"A"),EXACT(Asistencia!K26,"R"),EXACT(Asistencia!K26,"DL"),EXACT(Asistencia!K26,"FL"),EXACT(Asistencia!K26,"FE"),EXACT(Asistencia!K26,"PCS"),EXACT(Asistencia!K26,"V")),1,0)</f>
        <v>0</v>
      </c>
      <c r="AO25">
        <f>IF(OR(EXACT(Asistencia!L26,"A"),EXACT(Asistencia!L26,"R"),EXACT(Asistencia!L26,"DL"),EXACT(Asistencia!L26,"FL"),EXACT(Asistencia!L26,"FE"),EXACT(Asistencia!L26,"PCS"),EXACT(Asistencia!L26,"V")),1,0)</f>
        <v>0</v>
      </c>
      <c r="AP25">
        <f t="shared" si="20"/>
        <v>0</v>
      </c>
      <c r="AQ25">
        <f>IF(EXACT(Asistencia!F26,"FL"),1,0)</f>
        <v>0</v>
      </c>
      <c r="AR25">
        <f>IF(EXACT(Asistencia!G26,"FL"),1,0)</f>
        <v>0</v>
      </c>
      <c r="AS25">
        <f>IF(EXACT(Asistencia!H26,"FL"),1,0)</f>
        <v>0</v>
      </c>
      <c r="AT25">
        <f>IF(EXACT(Asistencia!I26,"FL"),1,0)</f>
        <v>0</v>
      </c>
      <c r="AU25">
        <f>IF(EXACT(Asistencia!J26,"FL"),1,0)</f>
        <v>0</v>
      </c>
      <c r="AV25">
        <f>IF(EXACT(Asistencia!K26,"FL"),1,0)</f>
        <v>0</v>
      </c>
      <c r="AW25">
        <f>IF(EXACT(Asistencia!L26,"FL"),1,0)</f>
        <v>0</v>
      </c>
      <c r="AX25">
        <f t="shared" si="21"/>
        <v>0</v>
      </c>
      <c r="AY25">
        <f>IF(EXACT(Asistencia!F26,"DL"),1,0)</f>
        <v>0</v>
      </c>
      <c r="AZ25">
        <f>IF(EXACT(Asistencia!G26,"DL"),1,0)</f>
        <v>0</v>
      </c>
      <c r="BA25">
        <f>IF(EXACT(Asistencia!H26,"DL"),1,0)</f>
        <v>0</v>
      </c>
      <c r="BB25">
        <f>IF(EXACT(Asistencia!I26,"DL"),1,0)</f>
        <v>0</v>
      </c>
      <c r="BC25">
        <f>IF(EXACT(Asistencia!J26,"DL"),1,0)</f>
        <v>0</v>
      </c>
      <c r="BD25">
        <f>IF(EXACT(Asistencia!K26,"DL"),1,0)</f>
        <v>0</v>
      </c>
      <c r="BE25">
        <f>IF(EXACT(Asistencia!L26,"DL"),1,0)</f>
        <v>0</v>
      </c>
      <c r="BF25">
        <f t="shared" si="22"/>
        <v>0</v>
      </c>
      <c r="BG25">
        <f>IF(ISNUMBER(Asistencia!M26),Asistencia!M26,0)</f>
        <v>0</v>
      </c>
      <c r="BH25">
        <f>IF(ISNUMBER(Asistencia!N26),Asistencia!N26,0)</f>
        <v>0</v>
      </c>
      <c r="BI25">
        <f>IF(ISNUMBER(Asistencia!O26),Asistencia!O26,0)</f>
        <v>0</v>
      </c>
      <c r="BJ25">
        <f>IF(ISNUMBER(Asistencia!P26),Asistencia!P26,0)</f>
        <v>0</v>
      </c>
      <c r="BK25" t="str">
        <f>IF(Asistencia!F26="","",Asistencia!F26)</f>
        <v/>
      </c>
      <c r="BL25" t="str">
        <f>IF(Asistencia!G26="","",Asistencia!G26)</f>
        <v/>
      </c>
      <c r="BM25" t="str">
        <f>IF(Asistencia!H26="","",Asistencia!H26)</f>
        <v/>
      </c>
      <c r="BN25" t="str">
        <f>IF(Asistencia!I26="","",Asistencia!I26)</f>
        <v/>
      </c>
      <c r="BO25" t="str">
        <f>IF(Asistencia!J26="","",Asistencia!J26)</f>
        <v/>
      </c>
      <c r="BP25" t="str">
        <f>IF(Asistencia!K26="","",Asistencia!K26)</f>
        <v/>
      </c>
      <c r="BQ25" t="str">
        <f>IF(Asistencia!L26="","",Asistencia!L26)</f>
        <v/>
      </c>
    </row>
    <row r="26" spans="1:69" ht="15.75" customHeight="1" x14ac:dyDescent="0.25">
      <c r="A26" s="46" t="str">
        <f t="shared" si="0"/>
        <v/>
      </c>
      <c r="B26" s="47" t="str">
        <f t="shared" si="1"/>
        <v/>
      </c>
      <c r="C26" s="47"/>
      <c r="D26" s="47"/>
      <c r="E26" s="46" t="str">
        <f t="shared" si="2"/>
        <v/>
      </c>
      <c r="F26" s="45" t="str">
        <f t="shared" si="3"/>
        <v/>
      </c>
      <c r="G26" s="44" t="str">
        <f t="shared" si="4"/>
        <v/>
      </c>
      <c r="H26" s="44" t="str">
        <f t="shared" si="5"/>
        <v/>
      </c>
      <c r="I26" s="44" t="str">
        <f t="shared" si="6"/>
        <v/>
      </c>
      <c r="J26" s="44" t="str">
        <f t="shared" si="7"/>
        <v/>
      </c>
      <c r="K26" s="44" t="str">
        <f t="shared" si="8"/>
        <v/>
      </c>
      <c r="L26" s="44" t="str">
        <f t="shared" si="9"/>
        <v/>
      </c>
      <c r="M26" s="43" t="str">
        <f t="shared" si="10"/>
        <v/>
      </c>
      <c r="N26" s="41" t="str">
        <f t="shared" si="11"/>
        <v/>
      </c>
      <c r="O26" s="41" t="str">
        <f t="shared" si="12"/>
        <v/>
      </c>
      <c r="P26" s="41" t="str">
        <f t="shared" si="13"/>
        <v/>
      </c>
      <c r="Q26" s="41" t="str">
        <f t="shared" si="14"/>
        <v/>
      </c>
      <c r="R26" s="41" t="str">
        <f t="shared" si="15"/>
        <v/>
      </c>
      <c r="S26" s="41"/>
      <c r="T26" s="48"/>
      <c r="U26" s="41" t="str">
        <f t="shared" si="16"/>
        <v/>
      </c>
      <c r="V26" s="41"/>
      <c r="W26" s="42" t="str">
        <f t="shared" si="17"/>
        <v/>
      </c>
      <c r="Y26" t="str">
        <f>IFERROR(MATCH(22,$AH$5:$AH$323,0),"")</f>
        <v/>
      </c>
      <c r="Z26" t="str">
        <f t="shared" si="18"/>
        <v/>
      </c>
      <c r="AA26" t="str">
        <f t="shared" si="19"/>
        <v/>
      </c>
      <c r="AB26" t="str">
        <f>IF(Asistencia!A27="","",Asistencia!A27)</f>
        <v/>
      </c>
      <c r="AC26" t="str">
        <f>IF(Asistencia!A27="","",SUBSTITUTE(SUBSTITUTE(SUBSTITUTE(SUBSTITUTE(SUBSTITUTE(SUBSTITUTE(SUBSTITUTE(UPPER(TRIM(Asistencia!A27)),"Á","A"),"É","E"),"Í","I"),"Ó","O"),"Ú","U"),"Ñ","N"),"  "," "))</f>
        <v/>
      </c>
      <c r="AD26" t="str">
        <f>IF(Asistencia!E27="","",Asistencia!E27)</f>
        <v/>
      </c>
      <c r="AE26" t="str">
        <f>IF(Asistencia!D27="","",UPPER(TRIM(Asistencia!D27)))</f>
        <v/>
      </c>
      <c r="AF26" t="s">
        <v>186</v>
      </c>
      <c r="AG26">
        <f>IF(AND(AA26&lt;&gt;"",COUNTIF($AA$5:AA26,AA26)=1),1,0)</f>
        <v>0</v>
      </c>
      <c r="AH26" t="str">
        <f>IF(AG26=1,SUM($AG$5:AG26),"")</f>
        <v/>
      </c>
      <c r="AI26">
        <f>IF(OR(EXACT(Asistencia!F27,"A"),EXACT(Asistencia!F27,"R"),EXACT(Asistencia!F27,"DL"),EXACT(Asistencia!F27,"FL"),EXACT(Asistencia!F27,"FE"),EXACT(Asistencia!F27,"PCS"),EXACT(Asistencia!F27,"V")),1,0)</f>
        <v>0</v>
      </c>
      <c r="AJ26">
        <f>IF(OR(EXACT(Asistencia!G27,"A"),EXACT(Asistencia!G27,"R"),EXACT(Asistencia!G27,"DL"),EXACT(Asistencia!G27,"FL"),EXACT(Asistencia!G27,"FE"),EXACT(Asistencia!G27,"PCS"),EXACT(Asistencia!G27,"V")),1,0)</f>
        <v>0</v>
      </c>
      <c r="AK26">
        <f>IF(OR(EXACT(Asistencia!H27,"A"),EXACT(Asistencia!H27,"R"),EXACT(Asistencia!H27,"DL"),EXACT(Asistencia!H27,"FL"),EXACT(Asistencia!H27,"FE"),EXACT(Asistencia!H27,"PCS"),EXACT(Asistencia!H27,"V")),1,0)</f>
        <v>0</v>
      </c>
      <c r="AL26">
        <f>IF(OR(EXACT(Asistencia!I27,"A"),EXACT(Asistencia!I27,"R"),EXACT(Asistencia!I27,"DL"),EXACT(Asistencia!I27,"FL"),EXACT(Asistencia!I27,"FE"),EXACT(Asistencia!I27,"PCS"),EXACT(Asistencia!I27,"V")),1,0)</f>
        <v>0</v>
      </c>
      <c r="AM26">
        <f>IF(OR(EXACT(Asistencia!J27,"A"),EXACT(Asistencia!J27,"R"),EXACT(Asistencia!J27,"DL"),EXACT(Asistencia!J27,"FL"),EXACT(Asistencia!J27,"FE"),EXACT(Asistencia!J27,"PCS"),EXACT(Asistencia!J27,"V")),1,0)</f>
        <v>0</v>
      </c>
      <c r="AN26">
        <f>IF(OR(EXACT(Asistencia!K27,"A"),EXACT(Asistencia!K27,"R"),EXACT(Asistencia!K27,"DL"),EXACT(Asistencia!K27,"FL"),EXACT(Asistencia!K27,"FE"),EXACT(Asistencia!K27,"PCS"),EXACT(Asistencia!K27,"V")),1,0)</f>
        <v>0</v>
      </c>
      <c r="AO26">
        <f>IF(OR(EXACT(Asistencia!L27,"A"),EXACT(Asistencia!L27,"R"),EXACT(Asistencia!L27,"DL"),EXACT(Asistencia!L27,"FL"),EXACT(Asistencia!L27,"FE"),EXACT(Asistencia!L27,"PCS"),EXACT(Asistencia!L27,"V")),1,0)</f>
        <v>0</v>
      </c>
      <c r="AP26">
        <f t="shared" si="20"/>
        <v>0</v>
      </c>
      <c r="AQ26">
        <f>IF(EXACT(Asistencia!F27,"FL"),1,0)</f>
        <v>0</v>
      </c>
      <c r="AR26">
        <f>IF(EXACT(Asistencia!G27,"FL"),1,0)</f>
        <v>0</v>
      </c>
      <c r="AS26">
        <f>IF(EXACT(Asistencia!H27,"FL"),1,0)</f>
        <v>0</v>
      </c>
      <c r="AT26">
        <f>IF(EXACT(Asistencia!I27,"FL"),1,0)</f>
        <v>0</v>
      </c>
      <c r="AU26">
        <f>IF(EXACT(Asistencia!J27,"FL"),1,0)</f>
        <v>0</v>
      </c>
      <c r="AV26">
        <f>IF(EXACT(Asistencia!K27,"FL"),1,0)</f>
        <v>0</v>
      </c>
      <c r="AW26">
        <f>IF(EXACT(Asistencia!L27,"FL"),1,0)</f>
        <v>0</v>
      </c>
      <c r="AX26">
        <f t="shared" si="21"/>
        <v>0</v>
      </c>
      <c r="AY26">
        <f>IF(EXACT(Asistencia!F27,"DL"),1,0)</f>
        <v>0</v>
      </c>
      <c r="AZ26">
        <f>IF(EXACT(Asistencia!G27,"DL"),1,0)</f>
        <v>0</v>
      </c>
      <c r="BA26">
        <f>IF(EXACT(Asistencia!H27,"DL"),1,0)</f>
        <v>0</v>
      </c>
      <c r="BB26">
        <f>IF(EXACT(Asistencia!I27,"DL"),1,0)</f>
        <v>0</v>
      </c>
      <c r="BC26">
        <f>IF(EXACT(Asistencia!J27,"DL"),1,0)</f>
        <v>0</v>
      </c>
      <c r="BD26">
        <f>IF(EXACT(Asistencia!K27,"DL"),1,0)</f>
        <v>0</v>
      </c>
      <c r="BE26">
        <f>IF(EXACT(Asistencia!L27,"DL"),1,0)</f>
        <v>0</v>
      </c>
      <c r="BF26">
        <f t="shared" si="22"/>
        <v>0</v>
      </c>
      <c r="BG26">
        <f>IF(ISNUMBER(Asistencia!M27),Asistencia!M27,0)</f>
        <v>0</v>
      </c>
      <c r="BH26">
        <f>IF(ISNUMBER(Asistencia!N27),Asistencia!N27,0)</f>
        <v>0</v>
      </c>
      <c r="BI26">
        <f>IF(ISNUMBER(Asistencia!O27),Asistencia!O27,0)</f>
        <v>0</v>
      </c>
      <c r="BJ26">
        <f>IF(ISNUMBER(Asistencia!P27),Asistencia!P27,0)</f>
        <v>0</v>
      </c>
      <c r="BK26" t="str">
        <f>IF(Asistencia!F27="","",Asistencia!F27)</f>
        <v/>
      </c>
      <c r="BL26" t="str">
        <f>IF(Asistencia!G27="","",Asistencia!G27)</f>
        <v/>
      </c>
      <c r="BM26" t="str">
        <f>IF(Asistencia!H27="","",Asistencia!H27)</f>
        <v/>
      </c>
      <c r="BN26" t="str">
        <f>IF(Asistencia!I27="","",Asistencia!I27)</f>
        <v/>
      </c>
      <c r="BO26" t="str">
        <f>IF(Asistencia!J27="","",Asistencia!J27)</f>
        <v/>
      </c>
      <c r="BP26" t="str">
        <f>IF(Asistencia!K27="","",Asistencia!K27)</f>
        <v/>
      </c>
      <c r="BQ26" t="str">
        <f>IF(Asistencia!L27="","",Asistencia!L27)</f>
        <v/>
      </c>
    </row>
    <row r="27" spans="1:69" ht="15.75" customHeight="1" x14ac:dyDescent="0.25">
      <c r="A27" s="46" t="str">
        <f t="shared" si="0"/>
        <v/>
      </c>
      <c r="B27" s="47" t="str">
        <f t="shared" si="1"/>
        <v/>
      </c>
      <c r="C27" s="47"/>
      <c r="D27" s="47"/>
      <c r="E27" s="46" t="str">
        <f t="shared" si="2"/>
        <v/>
      </c>
      <c r="F27" s="45" t="str">
        <f t="shared" si="3"/>
        <v/>
      </c>
      <c r="G27" s="44" t="str">
        <f t="shared" si="4"/>
        <v/>
      </c>
      <c r="H27" s="44" t="str">
        <f t="shared" si="5"/>
        <v/>
      </c>
      <c r="I27" s="44" t="str">
        <f t="shared" si="6"/>
        <v/>
      </c>
      <c r="J27" s="44" t="str">
        <f t="shared" si="7"/>
        <v/>
      </c>
      <c r="K27" s="44" t="str">
        <f t="shared" si="8"/>
        <v/>
      </c>
      <c r="L27" s="44" t="str">
        <f t="shared" si="9"/>
        <v/>
      </c>
      <c r="M27" s="43" t="str">
        <f t="shared" si="10"/>
        <v/>
      </c>
      <c r="N27" s="41" t="str">
        <f t="shared" si="11"/>
        <v/>
      </c>
      <c r="O27" s="41" t="str">
        <f t="shared" si="12"/>
        <v/>
      </c>
      <c r="P27" s="41" t="str">
        <f t="shared" si="13"/>
        <v/>
      </c>
      <c r="Q27" s="41" t="str">
        <f t="shared" si="14"/>
        <v/>
      </c>
      <c r="R27" s="41" t="str">
        <f t="shared" si="15"/>
        <v/>
      </c>
      <c r="S27" s="41"/>
      <c r="T27" s="48"/>
      <c r="U27" s="41" t="str">
        <f t="shared" si="16"/>
        <v/>
      </c>
      <c r="V27" s="41"/>
      <c r="W27" s="42" t="str">
        <f t="shared" si="17"/>
        <v/>
      </c>
      <c r="Y27" t="str">
        <f>IFERROR(MATCH(23,$AH$5:$AH$323,0),"")</f>
        <v/>
      </c>
      <c r="Z27" t="str">
        <f t="shared" si="18"/>
        <v/>
      </c>
      <c r="AA27" t="str">
        <f t="shared" si="19"/>
        <v/>
      </c>
      <c r="AB27" t="str">
        <f>IF(Asistencia!A28="","",Asistencia!A28)</f>
        <v/>
      </c>
      <c r="AC27" t="str">
        <f>IF(Asistencia!A28="","",SUBSTITUTE(SUBSTITUTE(SUBSTITUTE(SUBSTITUTE(SUBSTITUTE(SUBSTITUTE(SUBSTITUTE(UPPER(TRIM(Asistencia!A28)),"Á","A"),"É","E"),"Í","I"),"Ó","O"),"Ú","U"),"Ñ","N"),"  "," "))</f>
        <v/>
      </c>
      <c r="AD27" t="str">
        <f>IF(Asistencia!E28="","",Asistencia!E28)</f>
        <v/>
      </c>
      <c r="AE27" t="str">
        <f>IF(Asistencia!D28="","",UPPER(TRIM(Asistencia!D28)))</f>
        <v/>
      </c>
      <c r="AF27" t="s">
        <v>186</v>
      </c>
      <c r="AG27">
        <f>IF(AND(AA27&lt;&gt;"",COUNTIF($AA$5:AA27,AA27)=1),1,0)</f>
        <v>0</v>
      </c>
      <c r="AH27" t="str">
        <f>IF(AG27=1,SUM($AG$5:AG27),"")</f>
        <v/>
      </c>
      <c r="AI27">
        <f>IF(OR(EXACT(Asistencia!F28,"A"),EXACT(Asistencia!F28,"R"),EXACT(Asistencia!F28,"DL"),EXACT(Asistencia!F28,"FL"),EXACT(Asistencia!F28,"FE"),EXACT(Asistencia!F28,"PCS"),EXACT(Asistencia!F28,"V")),1,0)</f>
        <v>0</v>
      </c>
      <c r="AJ27">
        <f>IF(OR(EXACT(Asistencia!G28,"A"),EXACT(Asistencia!G28,"R"),EXACT(Asistencia!G28,"DL"),EXACT(Asistencia!G28,"FL"),EXACT(Asistencia!G28,"FE"),EXACT(Asistencia!G28,"PCS"),EXACT(Asistencia!G28,"V")),1,0)</f>
        <v>0</v>
      </c>
      <c r="AK27">
        <f>IF(OR(EXACT(Asistencia!H28,"A"),EXACT(Asistencia!H28,"R"),EXACT(Asistencia!H28,"DL"),EXACT(Asistencia!H28,"FL"),EXACT(Asistencia!H28,"FE"),EXACT(Asistencia!H28,"PCS"),EXACT(Asistencia!H28,"V")),1,0)</f>
        <v>0</v>
      </c>
      <c r="AL27">
        <f>IF(OR(EXACT(Asistencia!I28,"A"),EXACT(Asistencia!I28,"R"),EXACT(Asistencia!I28,"DL"),EXACT(Asistencia!I28,"FL"),EXACT(Asistencia!I28,"FE"),EXACT(Asistencia!I28,"PCS"),EXACT(Asistencia!I28,"V")),1,0)</f>
        <v>0</v>
      </c>
      <c r="AM27">
        <f>IF(OR(EXACT(Asistencia!J28,"A"),EXACT(Asistencia!J28,"R"),EXACT(Asistencia!J28,"DL"),EXACT(Asistencia!J28,"FL"),EXACT(Asistencia!J28,"FE"),EXACT(Asistencia!J28,"PCS"),EXACT(Asistencia!J28,"V")),1,0)</f>
        <v>0</v>
      </c>
      <c r="AN27">
        <f>IF(OR(EXACT(Asistencia!K28,"A"),EXACT(Asistencia!K28,"R"),EXACT(Asistencia!K28,"DL"),EXACT(Asistencia!K28,"FL"),EXACT(Asistencia!K28,"FE"),EXACT(Asistencia!K28,"PCS"),EXACT(Asistencia!K28,"V")),1,0)</f>
        <v>0</v>
      </c>
      <c r="AO27">
        <f>IF(OR(EXACT(Asistencia!L28,"A"),EXACT(Asistencia!L28,"R"),EXACT(Asistencia!L28,"DL"),EXACT(Asistencia!L28,"FL"),EXACT(Asistencia!L28,"FE"),EXACT(Asistencia!L28,"PCS"),EXACT(Asistencia!L28,"V")),1,0)</f>
        <v>0</v>
      </c>
      <c r="AP27">
        <f t="shared" si="20"/>
        <v>0</v>
      </c>
      <c r="AQ27">
        <f>IF(EXACT(Asistencia!F28,"FL"),1,0)</f>
        <v>0</v>
      </c>
      <c r="AR27">
        <f>IF(EXACT(Asistencia!G28,"FL"),1,0)</f>
        <v>0</v>
      </c>
      <c r="AS27">
        <f>IF(EXACT(Asistencia!H28,"FL"),1,0)</f>
        <v>0</v>
      </c>
      <c r="AT27">
        <f>IF(EXACT(Asistencia!I28,"FL"),1,0)</f>
        <v>0</v>
      </c>
      <c r="AU27">
        <f>IF(EXACT(Asistencia!J28,"FL"),1,0)</f>
        <v>0</v>
      </c>
      <c r="AV27">
        <f>IF(EXACT(Asistencia!K28,"FL"),1,0)</f>
        <v>0</v>
      </c>
      <c r="AW27">
        <f>IF(EXACT(Asistencia!L28,"FL"),1,0)</f>
        <v>0</v>
      </c>
      <c r="AX27">
        <f t="shared" si="21"/>
        <v>0</v>
      </c>
      <c r="AY27">
        <f>IF(EXACT(Asistencia!F28,"DL"),1,0)</f>
        <v>0</v>
      </c>
      <c r="AZ27">
        <f>IF(EXACT(Asistencia!G28,"DL"),1,0)</f>
        <v>0</v>
      </c>
      <c r="BA27">
        <f>IF(EXACT(Asistencia!H28,"DL"),1,0)</f>
        <v>0</v>
      </c>
      <c r="BB27">
        <f>IF(EXACT(Asistencia!I28,"DL"),1,0)</f>
        <v>0</v>
      </c>
      <c r="BC27">
        <f>IF(EXACT(Asistencia!J28,"DL"),1,0)</f>
        <v>0</v>
      </c>
      <c r="BD27">
        <f>IF(EXACT(Asistencia!K28,"DL"),1,0)</f>
        <v>0</v>
      </c>
      <c r="BE27">
        <f>IF(EXACT(Asistencia!L28,"DL"),1,0)</f>
        <v>0</v>
      </c>
      <c r="BF27">
        <f t="shared" si="22"/>
        <v>0</v>
      </c>
      <c r="BG27">
        <f>IF(ISNUMBER(Asistencia!M28),Asistencia!M28,0)</f>
        <v>0</v>
      </c>
      <c r="BH27">
        <f>IF(ISNUMBER(Asistencia!N28),Asistencia!N28,0)</f>
        <v>0</v>
      </c>
      <c r="BI27">
        <f>IF(ISNUMBER(Asistencia!O28),Asistencia!O28,0)</f>
        <v>0</v>
      </c>
      <c r="BJ27">
        <f>IF(ISNUMBER(Asistencia!P28),Asistencia!P28,0)</f>
        <v>0</v>
      </c>
      <c r="BK27" t="str">
        <f>IF(Asistencia!F28="","",Asistencia!F28)</f>
        <v/>
      </c>
      <c r="BL27" t="str">
        <f>IF(Asistencia!G28="","",Asistencia!G28)</f>
        <v/>
      </c>
      <c r="BM27" t="str">
        <f>IF(Asistencia!H28="","",Asistencia!H28)</f>
        <v/>
      </c>
      <c r="BN27" t="str">
        <f>IF(Asistencia!I28="","",Asistencia!I28)</f>
        <v/>
      </c>
      <c r="BO27" t="str">
        <f>IF(Asistencia!J28="","",Asistencia!J28)</f>
        <v/>
      </c>
      <c r="BP27" t="str">
        <f>IF(Asistencia!K28="","",Asistencia!K28)</f>
        <v/>
      </c>
      <c r="BQ27" t="str">
        <f>IF(Asistencia!L28="","",Asistencia!L28)</f>
        <v/>
      </c>
    </row>
    <row r="28" spans="1:69" ht="15.75" customHeight="1" x14ac:dyDescent="0.25">
      <c r="A28" s="46" t="str">
        <f t="shared" si="0"/>
        <v/>
      </c>
      <c r="B28" s="47" t="str">
        <f t="shared" si="1"/>
        <v/>
      </c>
      <c r="C28" s="47"/>
      <c r="D28" s="47"/>
      <c r="E28" s="46" t="str">
        <f t="shared" si="2"/>
        <v/>
      </c>
      <c r="F28" s="45" t="str">
        <f t="shared" si="3"/>
        <v/>
      </c>
      <c r="G28" s="44" t="str">
        <f t="shared" si="4"/>
        <v/>
      </c>
      <c r="H28" s="44" t="str">
        <f t="shared" si="5"/>
        <v/>
      </c>
      <c r="I28" s="44" t="str">
        <f t="shared" si="6"/>
        <v/>
      </c>
      <c r="J28" s="44" t="str">
        <f t="shared" si="7"/>
        <v/>
      </c>
      <c r="K28" s="44" t="str">
        <f t="shared" si="8"/>
        <v/>
      </c>
      <c r="L28" s="44" t="str">
        <f t="shared" si="9"/>
        <v/>
      </c>
      <c r="M28" s="43" t="str">
        <f t="shared" si="10"/>
        <v/>
      </c>
      <c r="N28" s="41" t="str">
        <f t="shared" si="11"/>
        <v/>
      </c>
      <c r="O28" s="41" t="str">
        <f t="shared" si="12"/>
        <v/>
      </c>
      <c r="P28" s="41" t="str">
        <f t="shared" si="13"/>
        <v/>
      </c>
      <c r="Q28" s="41" t="str">
        <f t="shared" si="14"/>
        <v/>
      </c>
      <c r="R28" s="41" t="str">
        <f t="shared" si="15"/>
        <v/>
      </c>
      <c r="S28" s="41"/>
      <c r="T28" s="48"/>
      <c r="U28" s="41" t="str">
        <f t="shared" si="16"/>
        <v/>
      </c>
      <c r="V28" s="41"/>
      <c r="W28" s="42" t="str">
        <f t="shared" si="17"/>
        <v/>
      </c>
      <c r="Y28" t="str">
        <f>IFERROR(MATCH(24,$AH$5:$AH$323,0),"")</f>
        <v/>
      </c>
      <c r="Z28" t="str">
        <f t="shared" si="18"/>
        <v/>
      </c>
      <c r="AA28" t="str">
        <f t="shared" si="19"/>
        <v/>
      </c>
      <c r="AB28" t="str">
        <f>IF(Asistencia!A29="","",Asistencia!A29)</f>
        <v/>
      </c>
      <c r="AC28" t="str">
        <f>IF(Asistencia!A29="","",SUBSTITUTE(SUBSTITUTE(SUBSTITUTE(SUBSTITUTE(SUBSTITUTE(SUBSTITUTE(SUBSTITUTE(UPPER(TRIM(Asistencia!A29)),"Á","A"),"É","E"),"Í","I"),"Ó","O"),"Ú","U"),"Ñ","N"),"  "," "))</f>
        <v/>
      </c>
      <c r="AD28" t="str">
        <f>IF(Asistencia!E29="","",Asistencia!E29)</f>
        <v/>
      </c>
      <c r="AE28" t="str">
        <f>IF(Asistencia!D29="","",UPPER(TRIM(Asistencia!D29)))</f>
        <v/>
      </c>
      <c r="AF28" t="s">
        <v>186</v>
      </c>
      <c r="AG28">
        <f>IF(AND(AA28&lt;&gt;"",COUNTIF($AA$5:AA28,AA28)=1),1,0)</f>
        <v>0</v>
      </c>
      <c r="AH28" t="str">
        <f>IF(AG28=1,SUM($AG$5:AG28),"")</f>
        <v/>
      </c>
      <c r="AI28">
        <f>IF(OR(EXACT(Asistencia!F29,"A"),EXACT(Asistencia!F29,"R"),EXACT(Asistencia!F29,"DL"),EXACT(Asistencia!F29,"FL"),EXACT(Asistencia!F29,"FE"),EXACT(Asistencia!F29,"PCS"),EXACT(Asistencia!F29,"V")),1,0)</f>
        <v>0</v>
      </c>
      <c r="AJ28">
        <f>IF(OR(EXACT(Asistencia!G29,"A"),EXACT(Asistencia!G29,"R"),EXACT(Asistencia!G29,"DL"),EXACT(Asistencia!G29,"FL"),EXACT(Asistencia!G29,"FE"),EXACT(Asistencia!G29,"PCS"),EXACT(Asistencia!G29,"V")),1,0)</f>
        <v>0</v>
      </c>
      <c r="AK28">
        <f>IF(OR(EXACT(Asistencia!H29,"A"),EXACT(Asistencia!H29,"R"),EXACT(Asistencia!H29,"DL"),EXACT(Asistencia!H29,"FL"),EXACT(Asistencia!H29,"FE"),EXACT(Asistencia!H29,"PCS"),EXACT(Asistencia!H29,"V")),1,0)</f>
        <v>0</v>
      </c>
      <c r="AL28">
        <f>IF(OR(EXACT(Asistencia!I29,"A"),EXACT(Asistencia!I29,"R"),EXACT(Asistencia!I29,"DL"),EXACT(Asistencia!I29,"FL"),EXACT(Asistencia!I29,"FE"),EXACT(Asistencia!I29,"PCS"),EXACT(Asistencia!I29,"V")),1,0)</f>
        <v>0</v>
      </c>
      <c r="AM28">
        <f>IF(OR(EXACT(Asistencia!J29,"A"),EXACT(Asistencia!J29,"R"),EXACT(Asistencia!J29,"DL"),EXACT(Asistencia!J29,"FL"),EXACT(Asistencia!J29,"FE"),EXACT(Asistencia!J29,"PCS"),EXACT(Asistencia!J29,"V")),1,0)</f>
        <v>0</v>
      </c>
      <c r="AN28">
        <f>IF(OR(EXACT(Asistencia!K29,"A"),EXACT(Asistencia!K29,"R"),EXACT(Asistencia!K29,"DL"),EXACT(Asistencia!K29,"FL"),EXACT(Asistencia!K29,"FE"),EXACT(Asistencia!K29,"PCS"),EXACT(Asistencia!K29,"V")),1,0)</f>
        <v>0</v>
      </c>
      <c r="AO28">
        <f>IF(OR(EXACT(Asistencia!L29,"A"),EXACT(Asistencia!L29,"R"),EXACT(Asistencia!L29,"DL"),EXACT(Asistencia!L29,"FL"),EXACT(Asistencia!L29,"FE"),EXACT(Asistencia!L29,"PCS"),EXACT(Asistencia!L29,"V")),1,0)</f>
        <v>0</v>
      </c>
      <c r="AP28">
        <f t="shared" si="20"/>
        <v>0</v>
      </c>
      <c r="AQ28">
        <f>IF(EXACT(Asistencia!F29,"FL"),1,0)</f>
        <v>0</v>
      </c>
      <c r="AR28">
        <f>IF(EXACT(Asistencia!G29,"FL"),1,0)</f>
        <v>0</v>
      </c>
      <c r="AS28">
        <f>IF(EXACT(Asistencia!H29,"FL"),1,0)</f>
        <v>0</v>
      </c>
      <c r="AT28">
        <f>IF(EXACT(Asistencia!I29,"FL"),1,0)</f>
        <v>0</v>
      </c>
      <c r="AU28">
        <f>IF(EXACT(Asistencia!J29,"FL"),1,0)</f>
        <v>0</v>
      </c>
      <c r="AV28">
        <f>IF(EXACT(Asistencia!K29,"FL"),1,0)</f>
        <v>0</v>
      </c>
      <c r="AW28">
        <f>IF(EXACT(Asistencia!L29,"FL"),1,0)</f>
        <v>0</v>
      </c>
      <c r="AX28">
        <f t="shared" si="21"/>
        <v>0</v>
      </c>
      <c r="AY28">
        <f>IF(EXACT(Asistencia!F29,"DL"),1,0)</f>
        <v>0</v>
      </c>
      <c r="AZ28">
        <f>IF(EXACT(Asistencia!G29,"DL"),1,0)</f>
        <v>0</v>
      </c>
      <c r="BA28">
        <f>IF(EXACT(Asistencia!H29,"DL"),1,0)</f>
        <v>0</v>
      </c>
      <c r="BB28">
        <f>IF(EXACT(Asistencia!I29,"DL"),1,0)</f>
        <v>0</v>
      </c>
      <c r="BC28">
        <f>IF(EXACT(Asistencia!J29,"DL"),1,0)</f>
        <v>0</v>
      </c>
      <c r="BD28">
        <f>IF(EXACT(Asistencia!K29,"DL"),1,0)</f>
        <v>0</v>
      </c>
      <c r="BE28">
        <f>IF(EXACT(Asistencia!L29,"DL"),1,0)</f>
        <v>0</v>
      </c>
      <c r="BF28">
        <f t="shared" si="22"/>
        <v>0</v>
      </c>
      <c r="BG28">
        <f>IF(ISNUMBER(Asistencia!M29),Asistencia!M29,0)</f>
        <v>0</v>
      </c>
      <c r="BH28">
        <f>IF(ISNUMBER(Asistencia!N29),Asistencia!N29,0)</f>
        <v>0</v>
      </c>
      <c r="BI28">
        <f>IF(ISNUMBER(Asistencia!O29),Asistencia!O29,0)</f>
        <v>0</v>
      </c>
      <c r="BJ28">
        <f>IF(ISNUMBER(Asistencia!P29),Asistencia!P29,0)</f>
        <v>0</v>
      </c>
      <c r="BK28" t="str">
        <f>IF(Asistencia!F29="","",Asistencia!F29)</f>
        <v/>
      </c>
      <c r="BL28" t="str">
        <f>IF(Asistencia!G29="","",Asistencia!G29)</f>
        <v/>
      </c>
      <c r="BM28" t="str">
        <f>IF(Asistencia!H29="","",Asistencia!H29)</f>
        <v/>
      </c>
      <c r="BN28" t="str">
        <f>IF(Asistencia!I29="","",Asistencia!I29)</f>
        <v/>
      </c>
      <c r="BO28" t="str">
        <f>IF(Asistencia!J29="","",Asistencia!J29)</f>
        <v/>
      </c>
      <c r="BP28" t="str">
        <f>IF(Asistencia!K29="","",Asistencia!K29)</f>
        <v/>
      </c>
      <c r="BQ28" t="str">
        <f>IF(Asistencia!L29="","",Asistencia!L29)</f>
        <v/>
      </c>
    </row>
    <row r="29" spans="1:69" ht="15.75" customHeight="1" x14ac:dyDescent="0.25">
      <c r="A29" s="46" t="str">
        <f t="shared" si="0"/>
        <v/>
      </c>
      <c r="B29" s="47" t="str">
        <f t="shared" si="1"/>
        <v/>
      </c>
      <c r="C29" s="47"/>
      <c r="D29" s="47"/>
      <c r="E29" s="46" t="str">
        <f t="shared" si="2"/>
        <v/>
      </c>
      <c r="F29" s="45" t="str">
        <f t="shared" si="3"/>
        <v/>
      </c>
      <c r="G29" s="44" t="str">
        <f t="shared" si="4"/>
        <v/>
      </c>
      <c r="H29" s="44" t="str">
        <f t="shared" si="5"/>
        <v/>
      </c>
      <c r="I29" s="44" t="str">
        <f t="shared" si="6"/>
        <v/>
      </c>
      <c r="J29" s="44" t="str">
        <f t="shared" si="7"/>
        <v/>
      </c>
      <c r="K29" s="44" t="str">
        <f t="shared" si="8"/>
        <v/>
      </c>
      <c r="L29" s="44" t="str">
        <f t="shared" si="9"/>
        <v/>
      </c>
      <c r="M29" s="43" t="str">
        <f t="shared" si="10"/>
        <v/>
      </c>
      <c r="N29" s="41" t="str">
        <f t="shared" si="11"/>
        <v/>
      </c>
      <c r="O29" s="41" t="str">
        <f t="shared" si="12"/>
        <v/>
      </c>
      <c r="P29" s="41" t="str">
        <f t="shared" si="13"/>
        <v/>
      </c>
      <c r="Q29" s="41" t="str">
        <f t="shared" si="14"/>
        <v/>
      </c>
      <c r="R29" s="41" t="str">
        <f t="shared" si="15"/>
        <v/>
      </c>
      <c r="S29" s="41"/>
      <c r="T29" s="48"/>
      <c r="U29" s="41" t="str">
        <f t="shared" si="16"/>
        <v/>
      </c>
      <c r="V29" s="41"/>
      <c r="W29" s="42" t="str">
        <f t="shared" si="17"/>
        <v/>
      </c>
      <c r="Y29" t="str">
        <f>IFERROR(MATCH(25,$AH$5:$AH$323,0),"")</f>
        <v/>
      </c>
      <c r="Z29" t="str">
        <f t="shared" si="18"/>
        <v/>
      </c>
      <c r="AA29" t="str">
        <f t="shared" si="19"/>
        <v/>
      </c>
      <c r="AB29" t="str">
        <f>IF(Asistencia!A30="","",Asistencia!A30)</f>
        <v/>
      </c>
      <c r="AC29" t="str">
        <f>IF(Asistencia!A30="","",SUBSTITUTE(SUBSTITUTE(SUBSTITUTE(SUBSTITUTE(SUBSTITUTE(SUBSTITUTE(SUBSTITUTE(UPPER(TRIM(Asistencia!A30)),"Á","A"),"É","E"),"Í","I"),"Ó","O"),"Ú","U"),"Ñ","N"),"  "," "))</f>
        <v/>
      </c>
      <c r="AD29" t="str">
        <f>IF(Asistencia!E30="","",Asistencia!E30)</f>
        <v/>
      </c>
      <c r="AE29" t="str">
        <f>IF(Asistencia!D30="","",UPPER(TRIM(Asistencia!D30)))</f>
        <v/>
      </c>
      <c r="AF29" t="s">
        <v>186</v>
      </c>
      <c r="AG29">
        <f>IF(AND(AA29&lt;&gt;"",COUNTIF($AA$5:AA29,AA29)=1),1,0)</f>
        <v>0</v>
      </c>
      <c r="AH29" t="str">
        <f>IF(AG29=1,SUM($AG$5:AG29),"")</f>
        <v/>
      </c>
      <c r="AI29">
        <f>IF(OR(EXACT(Asistencia!F30,"A"),EXACT(Asistencia!F30,"R"),EXACT(Asistencia!F30,"DL"),EXACT(Asistencia!F30,"FL"),EXACT(Asistencia!F30,"FE"),EXACT(Asistencia!F30,"PCS"),EXACT(Asistencia!F30,"V")),1,0)</f>
        <v>0</v>
      </c>
      <c r="AJ29">
        <f>IF(OR(EXACT(Asistencia!G30,"A"),EXACT(Asistencia!G30,"R"),EXACT(Asistencia!G30,"DL"),EXACT(Asistencia!G30,"FL"),EXACT(Asistencia!G30,"FE"),EXACT(Asistencia!G30,"PCS"),EXACT(Asistencia!G30,"V")),1,0)</f>
        <v>0</v>
      </c>
      <c r="AK29">
        <f>IF(OR(EXACT(Asistencia!H30,"A"),EXACT(Asistencia!H30,"R"),EXACT(Asistencia!H30,"DL"),EXACT(Asistencia!H30,"FL"),EXACT(Asistencia!H30,"FE"),EXACT(Asistencia!H30,"PCS"),EXACT(Asistencia!H30,"V")),1,0)</f>
        <v>0</v>
      </c>
      <c r="AL29">
        <f>IF(OR(EXACT(Asistencia!I30,"A"),EXACT(Asistencia!I30,"R"),EXACT(Asistencia!I30,"DL"),EXACT(Asistencia!I30,"FL"),EXACT(Asistencia!I30,"FE"),EXACT(Asistencia!I30,"PCS"),EXACT(Asistencia!I30,"V")),1,0)</f>
        <v>0</v>
      </c>
      <c r="AM29">
        <f>IF(OR(EXACT(Asistencia!J30,"A"),EXACT(Asistencia!J30,"R"),EXACT(Asistencia!J30,"DL"),EXACT(Asistencia!J30,"FL"),EXACT(Asistencia!J30,"FE"),EXACT(Asistencia!J30,"PCS"),EXACT(Asistencia!J30,"V")),1,0)</f>
        <v>0</v>
      </c>
      <c r="AN29">
        <f>IF(OR(EXACT(Asistencia!K30,"A"),EXACT(Asistencia!K30,"R"),EXACT(Asistencia!K30,"DL"),EXACT(Asistencia!K30,"FL"),EXACT(Asistencia!K30,"FE"),EXACT(Asistencia!K30,"PCS"),EXACT(Asistencia!K30,"V")),1,0)</f>
        <v>0</v>
      </c>
      <c r="AO29">
        <f>IF(OR(EXACT(Asistencia!L30,"A"),EXACT(Asistencia!L30,"R"),EXACT(Asistencia!L30,"DL"),EXACT(Asistencia!L30,"FL"),EXACT(Asistencia!L30,"FE"),EXACT(Asistencia!L30,"PCS"),EXACT(Asistencia!L30,"V")),1,0)</f>
        <v>0</v>
      </c>
      <c r="AP29">
        <f t="shared" si="20"/>
        <v>0</v>
      </c>
      <c r="AQ29">
        <f>IF(EXACT(Asistencia!F30,"FL"),1,0)</f>
        <v>0</v>
      </c>
      <c r="AR29">
        <f>IF(EXACT(Asistencia!G30,"FL"),1,0)</f>
        <v>0</v>
      </c>
      <c r="AS29">
        <f>IF(EXACT(Asistencia!H30,"FL"),1,0)</f>
        <v>0</v>
      </c>
      <c r="AT29">
        <f>IF(EXACT(Asistencia!I30,"FL"),1,0)</f>
        <v>0</v>
      </c>
      <c r="AU29">
        <f>IF(EXACT(Asistencia!J30,"FL"),1,0)</f>
        <v>0</v>
      </c>
      <c r="AV29">
        <f>IF(EXACT(Asistencia!K30,"FL"),1,0)</f>
        <v>0</v>
      </c>
      <c r="AW29">
        <f>IF(EXACT(Asistencia!L30,"FL"),1,0)</f>
        <v>0</v>
      </c>
      <c r="AX29">
        <f t="shared" si="21"/>
        <v>0</v>
      </c>
      <c r="AY29">
        <f>IF(EXACT(Asistencia!F30,"DL"),1,0)</f>
        <v>0</v>
      </c>
      <c r="AZ29">
        <f>IF(EXACT(Asistencia!G30,"DL"),1,0)</f>
        <v>0</v>
      </c>
      <c r="BA29">
        <f>IF(EXACT(Asistencia!H30,"DL"),1,0)</f>
        <v>0</v>
      </c>
      <c r="BB29">
        <f>IF(EXACT(Asistencia!I30,"DL"),1,0)</f>
        <v>0</v>
      </c>
      <c r="BC29">
        <f>IF(EXACT(Asistencia!J30,"DL"),1,0)</f>
        <v>0</v>
      </c>
      <c r="BD29">
        <f>IF(EXACT(Asistencia!K30,"DL"),1,0)</f>
        <v>0</v>
      </c>
      <c r="BE29">
        <f>IF(EXACT(Asistencia!L30,"DL"),1,0)</f>
        <v>0</v>
      </c>
      <c r="BF29">
        <f t="shared" si="22"/>
        <v>0</v>
      </c>
      <c r="BG29">
        <f>IF(ISNUMBER(Asistencia!M30),Asistencia!M30,0)</f>
        <v>0</v>
      </c>
      <c r="BH29">
        <f>IF(ISNUMBER(Asistencia!N30),Asistencia!N30,0)</f>
        <v>0</v>
      </c>
      <c r="BI29">
        <f>IF(ISNUMBER(Asistencia!O30),Asistencia!O30,0)</f>
        <v>0</v>
      </c>
      <c r="BJ29">
        <f>IF(ISNUMBER(Asistencia!P30),Asistencia!P30,0)</f>
        <v>0</v>
      </c>
      <c r="BK29" t="str">
        <f>IF(Asistencia!F30="","",Asistencia!F30)</f>
        <v/>
      </c>
      <c r="BL29" t="str">
        <f>IF(Asistencia!G30="","",Asistencia!G30)</f>
        <v/>
      </c>
      <c r="BM29" t="str">
        <f>IF(Asistencia!H30="","",Asistencia!H30)</f>
        <v/>
      </c>
      <c r="BN29" t="str">
        <f>IF(Asistencia!I30="","",Asistencia!I30)</f>
        <v/>
      </c>
      <c r="BO29" t="str">
        <f>IF(Asistencia!J30="","",Asistencia!J30)</f>
        <v/>
      </c>
      <c r="BP29" t="str">
        <f>IF(Asistencia!K30="","",Asistencia!K30)</f>
        <v/>
      </c>
      <c r="BQ29" t="str">
        <f>IF(Asistencia!L30="","",Asistencia!L30)</f>
        <v/>
      </c>
    </row>
    <row r="30" spans="1:69" ht="15.75" customHeight="1" x14ac:dyDescent="0.25">
      <c r="A30" s="46" t="str">
        <f t="shared" si="0"/>
        <v/>
      </c>
      <c r="B30" s="47" t="str">
        <f t="shared" si="1"/>
        <v/>
      </c>
      <c r="C30" s="47"/>
      <c r="D30" s="47"/>
      <c r="E30" s="46" t="str">
        <f t="shared" si="2"/>
        <v/>
      </c>
      <c r="F30" s="45" t="str">
        <f t="shared" si="3"/>
        <v/>
      </c>
      <c r="G30" s="44" t="str">
        <f t="shared" si="4"/>
        <v/>
      </c>
      <c r="H30" s="44" t="str">
        <f t="shared" si="5"/>
        <v/>
      </c>
      <c r="I30" s="44" t="str">
        <f t="shared" si="6"/>
        <v/>
      </c>
      <c r="J30" s="44" t="str">
        <f t="shared" si="7"/>
        <v/>
      </c>
      <c r="K30" s="44" t="str">
        <f t="shared" si="8"/>
        <v/>
      </c>
      <c r="L30" s="44" t="str">
        <f t="shared" si="9"/>
        <v/>
      </c>
      <c r="M30" s="43" t="str">
        <f t="shared" si="10"/>
        <v/>
      </c>
      <c r="N30" s="41" t="str">
        <f t="shared" si="11"/>
        <v/>
      </c>
      <c r="O30" s="41" t="str">
        <f t="shared" si="12"/>
        <v/>
      </c>
      <c r="P30" s="41" t="str">
        <f t="shared" si="13"/>
        <v/>
      </c>
      <c r="Q30" s="41" t="str">
        <f t="shared" si="14"/>
        <v/>
      </c>
      <c r="R30" s="41" t="str">
        <f t="shared" si="15"/>
        <v/>
      </c>
      <c r="S30" s="41"/>
      <c r="T30" s="48"/>
      <c r="U30" s="41" t="str">
        <f t="shared" si="16"/>
        <v/>
      </c>
      <c r="V30" s="41"/>
      <c r="W30" s="42" t="str">
        <f t="shared" si="17"/>
        <v/>
      </c>
      <c r="Y30" t="str">
        <f>IFERROR(MATCH(26,$AH$5:$AH$323,0),"")</f>
        <v/>
      </c>
      <c r="Z30" t="str">
        <f t="shared" si="18"/>
        <v/>
      </c>
      <c r="AA30" t="str">
        <f t="shared" si="19"/>
        <v/>
      </c>
      <c r="AB30" t="str">
        <f>IF(Asistencia!A31="","",Asistencia!A31)</f>
        <v/>
      </c>
      <c r="AC30" t="str">
        <f>IF(Asistencia!A31="","",SUBSTITUTE(SUBSTITUTE(SUBSTITUTE(SUBSTITUTE(SUBSTITUTE(SUBSTITUTE(SUBSTITUTE(UPPER(TRIM(Asistencia!A31)),"Á","A"),"É","E"),"Í","I"),"Ó","O"),"Ú","U"),"Ñ","N"),"  "," "))</f>
        <v/>
      </c>
      <c r="AD30" t="str">
        <f>IF(Asistencia!E31="","",Asistencia!E31)</f>
        <v/>
      </c>
      <c r="AE30" t="str">
        <f>IF(Asistencia!D31="","",UPPER(TRIM(Asistencia!D31)))</f>
        <v/>
      </c>
      <c r="AF30" t="s">
        <v>186</v>
      </c>
      <c r="AG30">
        <f>IF(AND(AA30&lt;&gt;"",COUNTIF($AA$5:AA30,AA30)=1),1,0)</f>
        <v>0</v>
      </c>
      <c r="AH30" t="str">
        <f>IF(AG30=1,SUM($AG$5:AG30),"")</f>
        <v/>
      </c>
      <c r="AI30">
        <f>IF(OR(EXACT(Asistencia!F31,"A"),EXACT(Asistencia!F31,"R"),EXACT(Asistencia!F31,"DL"),EXACT(Asistencia!F31,"FL"),EXACT(Asistencia!F31,"FE"),EXACT(Asistencia!F31,"PCS"),EXACT(Asistencia!F31,"V")),1,0)</f>
        <v>0</v>
      </c>
      <c r="AJ30">
        <f>IF(OR(EXACT(Asistencia!G31,"A"),EXACT(Asistencia!G31,"R"),EXACT(Asistencia!G31,"DL"),EXACT(Asistencia!G31,"FL"),EXACT(Asistencia!G31,"FE"),EXACT(Asistencia!G31,"PCS"),EXACT(Asistencia!G31,"V")),1,0)</f>
        <v>0</v>
      </c>
      <c r="AK30">
        <f>IF(OR(EXACT(Asistencia!H31,"A"),EXACT(Asistencia!H31,"R"),EXACT(Asistencia!H31,"DL"),EXACT(Asistencia!H31,"FL"),EXACT(Asistencia!H31,"FE"),EXACT(Asistencia!H31,"PCS"),EXACT(Asistencia!H31,"V")),1,0)</f>
        <v>0</v>
      </c>
      <c r="AL30">
        <f>IF(OR(EXACT(Asistencia!I31,"A"),EXACT(Asistencia!I31,"R"),EXACT(Asistencia!I31,"DL"),EXACT(Asistencia!I31,"FL"),EXACT(Asistencia!I31,"FE"),EXACT(Asistencia!I31,"PCS"),EXACT(Asistencia!I31,"V")),1,0)</f>
        <v>0</v>
      </c>
      <c r="AM30">
        <f>IF(OR(EXACT(Asistencia!J31,"A"),EXACT(Asistencia!J31,"R"),EXACT(Asistencia!J31,"DL"),EXACT(Asistencia!J31,"FL"),EXACT(Asistencia!J31,"FE"),EXACT(Asistencia!J31,"PCS"),EXACT(Asistencia!J31,"V")),1,0)</f>
        <v>0</v>
      </c>
      <c r="AN30">
        <f>IF(OR(EXACT(Asistencia!K31,"A"),EXACT(Asistencia!K31,"R"),EXACT(Asistencia!K31,"DL"),EXACT(Asistencia!K31,"FL"),EXACT(Asistencia!K31,"FE"),EXACT(Asistencia!K31,"PCS"),EXACT(Asistencia!K31,"V")),1,0)</f>
        <v>0</v>
      </c>
      <c r="AO30">
        <f>IF(OR(EXACT(Asistencia!L31,"A"),EXACT(Asistencia!L31,"R"),EXACT(Asistencia!L31,"DL"),EXACT(Asistencia!L31,"FL"),EXACT(Asistencia!L31,"FE"),EXACT(Asistencia!L31,"PCS"),EXACT(Asistencia!L31,"V")),1,0)</f>
        <v>0</v>
      </c>
      <c r="AP30">
        <f t="shared" si="20"/>
        <v>0</v>
      </c>
      <c r="AQ30">
        <f>IF(EXACT(Asistencia!F31,"FL"),1,0)</f>
        <v>0</v>
      </c>
      <c r="AR30">
        <f>IF(EXACT(Asistencia!G31,"FL"),1,0)</f>
        <v>0</v>
      </c>
      <c r="AS30">
        <f>IF(EXACT(Asistencia!H31,"FL"),1,0)</f>
        <v>0</v>
      </c>
      <c r="AT30">
        <f>IF(EXACT(Asistencia!I31,"FL"),1,0)</f>
        <v>0</v>
      </c>
      <c r="AU30">
        <f>IF(EXACT(Asistencia!J31,"FL"),1,0)</f>
        <v>0</v>
      </c>
      <c r="AV30">
        <f>IF(EXACT(Asistencia!K31,"FL"),1,0)</f>
        <v>0</v>
      </c>
      <c r="AW30">
        <f>IF(EXACT(Asistencia!L31,"FL"),1,0)</f>
        <v>0</v>
      </c>
      <c r="AX30">
        <f t="shared" si="21"/>
        <v>0</v>
      </c>
      <c r="AY30">
        <f>IF(EXACT(Asistencia!F31,"DL"),1,0)</f>
        <v>0</v>
      </c>
      <c r="AZ30">
        <f>IF(EXACT(Asistencia!G31,"DL"),1,0)</f>
        <v>0</v>
      </c>
      <c r="BA30">
        <f>IF(EXACT(Asistencia!H31,"DL"),1,0)</f>
        <v>0</v>
      </c>
      <c r="BB30">
        <f>IF(EXACT(Asistencia!I31,"DL"),1,0)</f>
        <v>0</v>
      </c>
      <c r="BC30">
        <f>IF(EXACT(Asistencia!J31,"DL"),1,0)</f>
        <v>0</v>
      </c>
      <c r="BD30">
        <f>IF(EXACT(Asistencia!K31,"DL"),1,0)</f>
        <v>0</v>
      </c>
      <c r="BE30">
        <f>IF(EXACT(Asistencia!L31,"DL"),1,0)</f>
        <v>0</v>
      </c>
      <c r="BF30">
        <f t="shared" si="22"/>
        <v>0</v>
      </c>
      <c r="BG30">
        <f>IF(ISNUMBER(Asistencia!M31),Asistencia!M31,0)</f>
        <v>0</v>
      </c>
      <c r="BH30">
        <f>IF(ISNUMBER(Asistencia!N31),Asistencia!N31,0)</f>
        <v>0</v>
      </c>
      <c r="BI30">
        <f>IF(ISNUMBER(Asistencia!O31),Asistencia!O31,0)</f>
        <v>0</v>
      </c>
      <c r="BJ30">
        <f>IF(ISNUMBER(Asistencia!P31),Asistencia!P31,0)</f>
        <v>0</v>
      </c>
      <c r="BK30" t="str">
        <f>IF(Asistencia!F31="","",Asistencia!F31)</f>
        <v/>
      </c>
      <c r="BL30" t="str">
        <f>IF(Asistencia!G31="","",Asistencia!G31)</f>
        <v/>
      </c>
      <c r="BM30" t="str">
        <f>IF(Asistencia!H31="","",Asistencia!H31)</f>
        <v/>
      </c>
      <c r="BN30" t="str">
        <f>IF(Asistencia!I31="","",Asistencia!I31)</f>
        <v/>
      </c>
      <c r="BO30" t="str">
        <f>IF(Asistencia!J31="","",Asistencia!J31)</f>
        <v/>
      </c>
      <c r="BP30" t="str">
        <f>IF(Asistencia!K31="","",Asistencia!K31)</f>
        <v/>
      </c>
      <c r="BQ30" t="str">
        <f>IF(Asistencia!L31="","",Asistencia!L31)</f>
        <v/>
      </c>
    </row>
    <row r="31" spans="1:69" ht="15.75" customHeight="1" x14ac:dyDescent="0.25">
      <c r="A31" s="46" t="str">
        <f t="shared" si="0"/>
        <v/>
      </c>
      <c r="B31" s="47" t="str">
        <f t="shared" si="1"/>
        <v/>
      </c>
      <c r="C31" s="47"/>
      <c r="D31" s="47"/>
      <c r="E31" s="46" t="str">
        <f t="shared" si="2"/>
        <v/>
      </c>
      <c r="F31" s="45" t="str">
        <f t="shared" si="3"/>
        <v/>
      </c>
      <c r="G31" s="44" t="str">
        <f t="shared" si="4"/>
        <v/>
      </c>
      <c r="H31" s="44" t="str">
        <f t="shared" si="5"/>
        <v/>
      </c>
      <c r="I31" s="44" t="str">
        <f t="shared" si="6"/>
        <v/>
      </c>
      <c r="J31" s="44" t="str">
        <f t="shared" si="7"/>
        <v/>
      </c>
      <c r="K31" s="44" t="str">
        <f t="shared" si="8"/>
        <v/>
      </c>
      <c r="L31" s="44" t="str">
        <f t="shared" si="9"/>
        <v/>
      </c>
      <c r="M31" s="43" t="str">
        <f t="shared" si="10"/>
        <v/>
      </c>
      <c r="N31" s="41" t="str">
        <f t="shared" si="11"/>
        <v/>
      </c>
      <c r="O31" s="41" t="str">
        <f t="shared" si="12"/>
        <v/>
      </c>
      <c r="P31" s="41" t="str">
        <f t="shared" si="13"/>
        <v/>
      </c>
      <c r="Q31" s="41" t="str">
        <f t="shared" si="14"/>
        <v/>
      </c>
      <c r="R31" s="41" t="str">
        <f t="shared" si="15"/>
        <v/>
      </c>
      <c r="S31" s="41"/>
      <c r="T31" s="48"/>
      <c r="U31" s="41" t="str">
        <f t="shared" si="16"/>
        <v/>
      </c>
      <c r="V31" s="41"/>
      <c r="W31" s="42" t="str">
        <f t="shared" si="17"/>
        <v/>
      </c>
      <c r="Y31" t="str">
        <f>IFERROR(MATCH(27,$AH$5:$AH$323,0),"")</f>
        <v/>
      </c>
      <c r="Z31" t="str">
        <f t="shared" si="18"/>
        <v/>
      </c>
      <c r="AA31" t="str">
        <f t="shared" si="19"/>
        <v/>
      </c>
      <c r="AB31" t="str">
        <f>IF(Asistencia!A32="","",Asistencia!A32)</f>
        <v/>
      </c>
      <c r="AC31" t="str">
        <f>IF(Asistencia!A32="","",SUBSTITUTE(SUBSTITUTE(SUBSTITUTE(SUBSTITUTE(SUBSTITUTE(SUBSTITUTE(SUBSTITUTE(UPPER(TRIM(Asistencia!A32)),"Á","A"),"É","E"),"Í","I"),"Ó","O"),"Ú","U"),"Ñ","N"),"  "," "))</f>
        <v/>
      </c>
      <c r="AD31" t="str">
        <f>IF(Asistencia!E32="","",Asistencia!E32)</f>
        <v/>
      </c>
      <c r="AE31" t="str">
        <f>IF(Asistencia!D32="","",UPPER(TRIM(Asistencia!D32)))</f>
        <v/>
      </c>
      <c r="AF31" t="s">
        <v>186</v>
      </c>
      <c r="AG31">
        <f>IF(AND(AA31&lt;&gt;"",COUNTIF($AA$5:AA31,AA31)=1),1,0)</f>
        <v>0</v>
      </c>
      <c r="AH31" t="str">
        <f>IF(AG31=1,SUM($AG$5:AG31),"")</f>
        <v/>
      </c>
      <c r="AI31">
        <f>IF(OR(EXACT(Asistencia!F32,"A"),EXACT(Asistencia!F32,"R"),EXACT(Asistencia!F32,"DL"),EXACT(Asistencia!F32,"FL"),EXACT(Asistencia!F32,"FE"),EXACT(Asistencia!F32,"PCS"),EXACT(Asistencia!F32,"V")),1,0)</f>
        <v>0</v>
      </c>
      <c r="AJ31">
        <f>IF(OR(EXACT(Asistencia!G32,"A"),EXACT(Asistencia!G32,"R"),EXACT(Asistencia!G32,"DL"),EXACT(Asistencia!G32,"FL"),EXACT(Asistencia!G32,"FE"),EXACT(Asistencia!G32,"PCS"),EXACT(Asistencia!G32,"V")),1,0)</f>
        <v>0</v>
      </c>
      <c r="AK31">
        <f>IF(OR(EXACT(Asistencia!H32,"A"),EXACT(Asistencia!H32,"R"),EXACT(Asistencia!H32,"DL"),EXACT(Asistencia!H32,"FL"),EXACT(Asistencia!H32,"FE"),EXACT(Asistencia!H32,"PCS"),EXACT(Asistencia!H32,"V")),1,0)</f>
        <v>0</v>
      </c>
      <c r="AL31">
        <f>IF(OR(EXACT(Asistencia!I32,"A"),EXACT(Asistencia!I32,"R"),EXACT(Asistencia!I32,"DL"),EXACT(Asistencia!I32,"FL"),EXACT(Asistencia!I32,"FE"),EXACT(Asistencia!I32,"PCS"),EXACT(Asistencia!I32,"V")),1,0)</f>
        <v>0</v>
      </c>
      <c r="AM31">
        <f>IF(OR(EXACT(Asistencia!J32,"A"),EXACT(Asistencia!J32,"R"),EXACT(Asistencia!J32,"DL"),EXACT(Asistencia!J32,"FL"),EXACT(Asistencia!J32,"FE"),EXACT(Asistencia!J32,"PCS"),EXACT(Asistencia!J32,"V")),1,0)</f>
        <v>0</v>
      </c>
      <c r="AN31">
        <f>IF(OR(EXACT(Asistencia!K32,"A"),EXACT(Asistencia!K32,"R"),EXACT(Asistencia!K32,"DL"),EXACT(Asistencia!K32,"FL"),EXACT(Asistencia!K32,"FE"),EXACT(Asistencia!K32,"PCS"),EXACT(Asistencia!K32,"V")),1,0)</f>
        <v>0</v>
      </c>
      <c r="AO31">
        <f>IF(OR(EXACT(Asistencia!L32,"A"),EXACT(Asistencia!L32,"R"),EXACT(Asistencia!L32,"DL"),EXACT(Asistencia!L32,"FL"),EXACT(Asistencia!L32,"FE"),EXACT(Asistencia!L32,"PCS"),EXACT(Asistencia!L32,"V")),1,0)</f>
        <v>0</v>
      </c>
      <c r="AP31">
        <f t="shared" si="20"/>
        <v>0</v>
      </c>
      <c r="AQ31">
        <f>IF(EXACT(Asistencia!F32,"FL"),1,0)</f>
        <v>0</v>
      </c>
      <c r="AR31">
        <f>IF(EXACT(Asistencia!G32,"FL"),1,0)</f>
        <v>0</v>
      </c>
      <c r="AS31">
        <f>IF(EXACT(Asistencia!H32,"FL"),1,0)</f>
        <v>0</v>
      </c>
      <c r="AT31">
        <f>IF(EXACT(Asistencia!I32,"FL"),1,0)</f>
        <v>0</v>
      </c>
      <c r="AU31">
        <f>IF(EXACT(Asistencia!J32,"FL"),1,0)</f>
        <v>0</v>
      </c>
      <c r="AV31">
        <f>IF(EXACT(Asistencia!K32,"FL"),1,0)</f>
        <v>0</v>
      </c>
      <c r="AW31">
        <f>IF(EXACT(Asistencia!L32,"FL"),1,0)</f>
        <v>0</v>
      </c>
      <c r="AX31">
        <f t="shared" si="21"/>
        <v>0</v>
      </c>
      <c r="AY31">
        <f>IF(EXACT(Asistencia!F32,"DL"),1,0)</f>
        <v>0</v>
      </c>
      <c r="AZ31">
        <f>IF(EXACT(Asistencia!G32,"DL"),1,0)</f>
        <v>0</v>
      </c>
      <c r="BA31">
        <f>IF(EXACT(Asistencia!H32,"DL"),1,0)</f>
        <v>0</v>
      </c>
      <c r="BB31">
        <f>IF(EXACT(Asistencia!I32,"DL"),1,0)</f>
        <v>0</v>
      </c>
      <c r="BC31">
        <f>IF(EXACT(Asistencia!J32,"DL"),1,0)</f>
        <v>0</v>
      </c>
      <c r="BD31">
        <f>IF(EXACT(Asistencia!K32,"DL"),1,0)</f>
        <v>0</v>
      </c>
      <c r="BE31">
        <f>IF(EXACT(Asistencia!L32,"DL"),1,0)</f>
        <v>0</v>
      </c>
      <c r="BF31">
        <f t="shared" si="22"/>
        <v>0</v>
      </c>
      <c r="BG31">
        <f>IF(ISNUMBER(Asistencia!M32),Asistencia!M32,0)</f>
        <v>0</v>
      </c>
      <c r="BH31">
        <f>IF(ISNUMBER(Asistencia!N32),Asistencia!N32,0)</f>
        <v>0</v>
      </c>
      <c r="BI31">
        <f>IF(ISNUMBER(Asistencia!O32),Asistencia!O32,0)</f>
        <v>0</v>
      </c>
      <c r="BJ31">
        <f>IF(ISNUMBER(Asistencia!P32),Asistencia!P32,0)</f>
        <v>0</v>
      </c>
      <c r="BK31" t="str">
        <f>IF(Asistencia!F32="","",Asistencia!F32)</f>
        <v/>
      </c>
      <c r="BL31" t="str">
        <f>IF(Asistencia!G32="","",Asistencia!G32)</f>
        <v/>
      </c>
      <c r="BM31" t="str">
        <f>IF(Asistencia!H32="","",Asistencia!H32)</f>
        <v/>
      </c>
      <c r="BN31" t="str">
        <f>IF(Asistencia!I32="","",Asistencia!I32)</f>
        <v/>
      </c>
      <c r="BO31" t="str">
        <f>IF(Asistencia!J32="","",Asistencia!J32)</f>
        <v/>
      </c>
      <c r="BP31" t="str">
        <f>IF(Asistencia!K32="","",Asistencia!K32)</f>
        <v/>
      </c>
      <c r="BQ31" t="str">
        <f>IF(Asistencia!L32="","",Asistencia!L32)</f>
        <v/>
      </c>
    </row>
    <row r="32" spans="1:69" ht="15.75" customHeight="1" x14ac:dyDescent="0.25">
      <c r="A32" s="46" t="str">
        <f t="shared" si="0"/>
        <v/>
      </c>
      <c r="B32" s="47" t="str">
        <f t="shared" si="1"/>
        <v/>
      </c>
      <c r="C32" s="47"/>
      <c r="D32" s="47"/>
      <c r="E32" s="46" t="str">
        <f t="shared" si="2"/>
        <v/>
      </c>
      <c r="F32" s="45" t="str">
        <f t="shared" si="3"/>
        <v/>
      </c>
      <c r="G32" s="44" t="str">
        <f t="shared" si="4"/>
        <v/>
      </c>
      <c r="H32" s="44" t="str">
        <f t="shared" si="5"/>
        <v/>
      </c>
      <c r="I32" s="44" t="str">
        <f t="shared" si="6"/>
        <v/>
      </c>
      <c r="J32" s="44" t="str">
        <f t="shared" si="7"/>
        <v/>
      </c>
      <c r="K32" s="44" t="str">
        <f t="shared" si="8"/>
        <v/>
      </c>
      <c r="L32" s="44" t="str">
        <f t="shared" si="9"/>
        <v/>
      </c>
      <c r="M32" s="43" t="str">
        <f t="shared" si="10"/>
        <v/>
      </c>
      <c r="N32" s="41" t="str">
        <f t="shared" si="11"/>
        <v/>
      </c>
      <c r="O32" s="41" t="str">
        <f t="shared" si="12"/>
        <v/>
      </c>
      <c r="P32" s="41" t="str">
        <f t="shared" si="13"/>
        <v/>
      </c>
      <c r="Q32" s="41" t="str">
        <f t="shared" si="14"/>
        <v/>
      </c>
      <c r="R32" s="41" t="str">
        <f t="shared" si="15"/>
        <v/>
      </c>
      <c r="S32" s="41"/>
      <c r="T32" s="48"/>
      <c r="U32" s="41" t="str">
        <f t="shared" si="16"/>
        <v/>
      </c>
      <c r="V32" s="41"/>
      <c r="W32" s="42" t="str">
        <f t="shared" si="17"/>
        <v/>
      </c>
      <c r="Y32" t="str">
        <f>IFERROR(MATCH(28,$AH$5:$AH$323,0),"")</f>
        <v/>
      </c>
      <c r="Z32" t="str">
        <f t="shared" si="18"/>
        <v/>
      </c>
      <c r="AA32" t="str">
        <f t="shared" si="19"/>
        <v/>
      </c>
      <c r="AB32" t="str">
        <f>IF(Asistencia!A33="","",Asistencia!A33)</f>
        <v/>
      </c>
      <c r="AC32" t="str">
        <f>IF(Asistencia!A33="","",SUBSTITUTE(SUBSTITUTE(SUBSTITUTE(SUBSTITUTE(SUBSTITUTE(SUBSTITUTE(SUBSTITUTE(UPPER(TRIM(Asistencia!A33)),"Á","A"),"É","E"),"Í","I"),"Ó","O"),"Ú","U"),"Ñ","N"),"  "," "))</f>
        <v/>
      </c>
      <c r="AD32" t="str">
        <f>IF(Asistencia!E33="","",Asistencia!E33)</f>
        <v/>
      </c>
      <c r="AE32" t="str">
        <f>IF(Asistencia!D33="","",UPPER(TRIM(Asistencia!D33)))</f>
        <v/>
      </c>
      <c r="AF32" t="s">
        <v>186</v>
      </c>
      <c r="AG32">
        <f>IF(AND(AA32&lt;&gt;"",COUNTIF($AA$5:AA32,AA32)=1),1,0)</f>
        <v>0</v>
      </c>
      <c r="AH32" t="str">
        <f>IF(AG32=1,SUM($AG$5:AG32),"")</f>
        <v/>
      </c>
      <c r="AI32">
        <f>IF(OR(EXACT(Asistencia!F33,"A"),EXACT(Asistencia!F33,"R"),EXACT(Asistencia!F33,"DL"),EXACT(Asistencia!F33,"FL"),EXACT(Asistencia!F33,"FE"),EXACT(Asistencia!F33,"PCS"),EXACT(Asistencia!F33,"V")),1,0)</f>
        <v>0</v>
      </c>
      <c r="AJ32">
        <f>IF(OR(EXACT(Asistencia!G33,"A"),EXACT(Asistencia!G33,"R"),EXACT(Asistencia!G33,"DL"),EXACT(Asistencia!G33,"FL"),EXACT(Asistencia!G33,"FE"),EXACT(Asistencia!G33,"PCS"),EXACT(Asistencia!G33,"V")),1,0)</f>
        <v>0</v>
      </c>
      <c r="AK32">
        <f>IF(OR(EXACT(Asistencia!H33,"A"),EXACT(Asistencia!H33,"R"),EXACT(Asistencia!H33,"DL"),EXACT(Asistencia!H33,"FL"),EXACT(Asistencia!H33,"FE"),EXACT(Asistencia!H33,"PCS"),EXACT(Asistencia!H33,"V")),1,0)</f>
        <v>0</v>
      </c>
      <c r="AL32">
        <f>IF(OR(EXACT(Asistencia!I33,"A"),EXACT(Asistencia!I33,"R"),EXACT(Asistencia!I33,"DL"),EXACT(Asistencia!I33,"FL"),EXACT(Asistencia!I33,"FE"),EXACT(Asistencia!I33,"PCS"),EXACT(Asistencia!I33,"V")),1,0)</f>
        <v>0</v>
      </c>
      <c r="AM32">
        <f>IF(OR(EXACT(Asistencia!J33,"A"),EXACT(Asistencia!J33,"R"),EXACT(Asistencia!J33,"DL"),EXACT(Asistencia!J33,"FL"),EXACT(Asistencia!J33,"FE"),EXACT(Asistencia!J33,"PCS"),EXACT(Asistencia!J33,"V")),1,0)</f>
        <v>0</v>
      </c>
      <c r="AN32">
        <f>IF(OR(EXACT(Asistencia!K33,"A"),EXACT(Asistencia!K33,"R"),EXACT(Asistencia!K33,"DL"),EXACT(Asistencia!K33,"FL"),EXACT(Asistencia!K33,"FE"),EXACT(Asistencia!K33,"PCS"),EXACT(Asistencia!K33,"V")),1,0)</f>
        <v>0</v>
      </c>
      <c r="AO32">
        <f>IF(OR(EXACT(Asistencia!L33,"A"),EXACT(Asistencia!L33,"R"),EXACT(Asistencia!L33,"DL"),EXACT(Asistencia!L33,"FL"),EXACT(Asistencia!L33,"FE"),EXACT(Asistencia!L33,"PCS"),EXACT(Asistencia!L33,"V")),1,0)</f>
        <v>0</v>
      </c>
      <c r="AP32">
        <f t="shared" si="20"/>
        <v>0</v>
      </c>
      <c r="AQ32">
        <f>IF(EXACT(Asistencia!F33,"FL"),1,0)</f>
        <v>0</v>
      </c>
      <c r="AR32">
        <f>IF(EXACT(Asistencia!G33,"FL"),1,0)</f>
        <v>0</v>
      </c>
      <c r="AS32">
        <f>IF(EXACT(Asistencia!H33,"FL"),1,0)</f>
        <v>0</v>
      </c>
      <c r="AT32">
        <f>IF(EXACT(Asistencia!I33,"FL"),1,0)</f>
        <v>0</v>
      </c>
      <c r="AU32">
        <f>IF(EXACT(Asistencia!J33,"FL"),1,0)</f>
        <v>0</v>
      </c>
      <c r="AV32">
        <f>IF(EXACT(Asistencia!K33,"FL"),1,0)</f>
        <v>0</v>
      </c>
      <c r="AW32">
        <f>IF(EXACT(Asistencia!L33,"FL"),1,0)</f>
        <v>0</v>
      </c>
      <c r="AX32">
        <f t="shared" si="21"/>
        <v>0</v>
      </c>
      <c r="AY32">
        <f>IF(EXACT(Asistencia!F33,"DL"),1,0)</f>
        <v>0</v>
      </c>
      <c r="AZ32">
        <f>IF(EXACT(Asistencia!G33,"DL"),1,0)</f>
        <v>0</v>
      </c>
      <c r="BA32">
        <f>IF(EXACT(Asistencia!H33,"DL"),1,0)</f>
        <v>0</v>
      </c>
      <c r="BB32">
        <f>IF(EXACT(Asistencia!I33,"DL"),1,0)</f>
        <v>0</v>
      </c>
      <c r="BC32">
        <f>IF(EXACT(Asistencia!J33,"DL"),1,0)</f>
        <v>0</v>
      </c>
      <c r="BD32">
        <f>IF(EXACT(Asistencia!K33,"DL"),1,0)</f>
        <v>0</v>
      </c>
      <c r="BE32">
        <f>IF(EXACT(Asistencia!L33,"DL"),1,0)</f>
        <v>0</v>
      </c>
      <c r="BF32">
        <f t="shared" si="22"/>
        <v>0</v>
      </c>
      <c r="BG32">
        <f>IF(ISNUMBER(Asistencia!M33),Asistencia!M33,0)</f>
        <v>0</v>
      </c>
      <c r="BH32">
        <f>IF(ISNUMBER(Asistencia!N33),Asistencia!N33,0)</f>
        <v>0</v>
      </c>
      <c r="BI32">
        <f>IF(ISNUMBER(Asistencia!O33),Asistencia!O33,0)</f>
        <v>0</v>
      </c>
      <c r="BJ32">
        <f>IF(ISNUMBER(Asistencia!P33),Asistencia!P33,0)</f>
        <v>0</v>
      </c>
      <c r="BK32" t="str">
        <f>IF(Asistencia!F33="","",Asistencia!F33)</f>
        <v/>
      </c>
      <c r="BL32" t="str">
        <f>IF(Asistencia!G33="","",Asistencia!G33)</f>
        <v/>
      </c>
      <c r="BM32" t="str">
        <f>IF(Asistencia!H33="","",Asistencia!H33)</f>
        <v/>
      </c>
      <c r="BN32" t="str">
        <f>IF(Asistencia!I33="","",Asistencia!I33)</f>
        <v/>
      </c>
      <c r="BO32" t="str">
        <f>IF(Asistencia!J33="","",Asistencia!J33)</f>
        <v/>
      </c>
      <c r="BP32" t="str">
        <f>IF(Asistencia!K33="","",Asistencia!K33)</f>
        <v/>
      </c>
      <c r="BQ32" t="str">
        <f>IF(Asistencia!L33="","",Asistencia!L33)</f>
        <v/>
      </c>
    </row>
    <row r="33" spans="1:69" ht="15.75" customHeight="1" x14ac:dyDescent="0.25">
      <c r="A33" s="46" t="str">
        <f t="shared" si="0"/>
        <v/>
      </c>
      <c r="B33" s="47" t="str">
        <f t="shared" si="1"/>
        <v/>
      </c>
      <c r="C33" s="47"/>
      <c r="D33" s="47"/>
      <c r="E33" s="46" t="str">
        <f t="shared" si="2"/>
        <v/>
      </c>
      <c r="F33" s="45" t="str">
        <f t="shared" si="3"/>
        <v/>
      </c>
      <c r="G33" s="44" t="str">
        <f t="shared" si="4"/>
        <v/>
      </c>
      <c r="H33" s="44" t="str">
        <f t="shared" si="5"/>
        <v/>
      </c>
      <c r="I33" s="44" t="str">
        <f t="shared" si="6"/>
        <v/>
      </c>
      <c r="J33" s="44" t="str">
        <f t="shared" si="7"/>
        <v/>
      </c>
      <c r="K33" s="44" t="str">
        <f t="shared" si="8"/>
        <v/>
      </c>
      <c r="L33" s="44" t="str">
        <f t="shared" si="9"/>
        <v/>
      </c>
      <c r="M33" s="43" t="str">
        <f t="shared" si="10"/>
        <v/>
      </c>
      <c r="N33" s="41" t="str">
        <f t="shared" si="11"/>
        <v/>
      </c>
      <c r="O33" s="41" t="str">
        <f t="shared" si="12"/>
        <v/>
      </c>
      <c r="P33" s="41" t="str">
        <f t="shared" si="13"/>
        <v/>
      </c>
      <c r="Q33" s="41" t="str">
        <f t="shared" si="14"/>
        <v/>
      </c>
      <c r="R33" s="41" t="str">
        <f t="shared" si="15"/>
        <v/>
      </c>
      <c r="S33" s="41"/>
      <c r="T33" s="48"/>
      <c r="U33" s="41" t="str">
        <f t="shared" si="16"/>
        <v/>
      </c>
      <c r="V33" s="41"/>
      <c r="W33" s="42" t="str">
        <f t="shared" si="17"/>
        <v/>
      </c>
      <c r="Y33" t="str">
        <f>IFERROR(MATCH(29,$AH$5:$AH$323,0),"")</f>
        <v/>
      </c>
      <c r="Z33" t="str">
        <f t="shared" si="18"/>
        <v/>
      </c>
      <c r="AA33" t="str">
        <f t="shared" si="19"/>
        <v/>
      </c>
      <c r="AB33" t="str">
        <f>IF(Asistencia!A34="","",Asistencia!A34)</f>
        <v/>
      </c>
      <c r="AC33" t="str">
        <f>IF(Asistencia!A34="","",SUBSTITUTE(SUBSTITUTE(SUBSTITUTE(SUBSTITUTE(SUBSTITUTE(SUBSTITUTE(SUBSTITUTE(UPPER(TRIM(Asistencia!A34)),"Á","A"),"É","E"),"Í","I"),"Ó","O"),"Ú","U"),"Ñ","N"),"  "," "))</f>
        <v/>
      </c>
      <c r="AD33" t="str">
        <f>IF(Asistencia!E34="","",Asistencia!E34)</f>
        <v/>
      </c>
      <c r="AE33" t="str">
        <f>IF(Asistencia!D34="","",UPPER(TRIM(Asistencia!D34)))</f>
        <v/>
      </c>
      <c r="AF33" t="s">
        <v>186</v>
      </c>
      <c r="AG33">
        <f>IF(AND(AA33&lt;&gt;"",COUNTIF($AA$5:AA33,AA33)=1),1,0)</f>
        <v>0</v>
      </c>
      <c r="AH33" t="str">
        <f>IF(AG33=1,SUM($AG$5:AG33),"")</f>
        <v/>
      </c>
      <c r="AI33">
        <f>IF(OR(EXACT(Asistencia!F34,"A"),EXACT(Asistencia!F34,"R"),EXACT(Asistencia!F34,"DL"),EXACT(Asistencia!F34,"FL"),EXACT(Asistencia!F34,"FE"),EXACT(Asistencia!F34,"PCS"),EXACT(Asistencia!F34,"V")),1,0)</f>
        <v>0</v>
      </c>
      <c r="AJ33">
        <f>IF(OR(EXACT(Asistencia!G34,"A"),EXACT(Asistencia!G34,"R"),EXACT(Asistencia!G34,"DL"),EXACT(Asistencia!G34,"FL"),EXACT(Asistencia!G34,"FE"),EXACT(Asistencia!G34,"PCS"),EXACT(Asistencia!G34,"V")),1,0)</f>
        <v>0</v>
      </c>
      <c r="AK33">
        <f>IF(OR(EXACT(Asistencia!H34,"A"),EXACT(Asistencia!H34,"R"),EXACT(Asistencia!H34,"DL"),EXACT(Asistencia!H34,"FL"),EXACT(Asistencia!H34,"FE"),EXACT(Asistencia!H34,"PCS"),EXACT(Asistencia!H34,"V")),1,0)</f>
        <v>0</v>
      </c>
      <c r="AL33">
        <f>IF(OR(EXACT(Asistencia!I34,"A"),EXACT(Asistencia!I34,"R"),EXACT(Asistencia!I34,"DL"),EXACT(Asistencia!I34,"FL"),EXACT(Asistencia!I34,"FE"),EXACT(Asistencia!I34,"PCS"),EXACT(Asistencia!I34,"V")),1,0)</f>
        <v>0</v>
      </c>
      <c r="AM33">
        <f>IF(OR(EXACT(Asistencia!J34,"A"),EXACT(Asistencia!J34,"R"),EXACT(Asistencia!J34,"DL"),EXACT(Asistencia!J34,"FL"),EXACT(Asistencia!J34,"FE"),EXACT(Asistencia!J34,"PCS"),EXACT(Asistencia!J34,"V")),1,0)</f>
        <v>0</v>
      </c>
      <c r="AN33">
        <f>IF(OR(EXACT(Asistencia!K34,"A"),EXACT(Asistencia!K34,"R"),EXACT(Asistencia!K34,"DL"),EXACT(Asistencia!K34,"FL"),EXACT(Asistencia!K34,"FE"),EXACT(Asistencia!K34,"PCS"),EXACT(Asistencia!K34,"V")),1,0)</f>
        <v>0</v>
      </c>
      <c r="AO33">
        <f>IF(OR(EXACT(Asistencia!L34,"A"),EXACT(Asistencia!L34,"R"),EXACT(Asistencia!L34,"DL"),EXACT(Asistencia!L34,"FL"),EXACT(Asistencia!L34,"FE"),EXACT(Asistencia!L34,"PCS"),EXACT(Asistencia!L34,"V")),1,0)</f>
        <v>0</v>
      </c>
      <c r="AP33">
        <f t="shared" si="20"/>
        <v>0</v>
      </c>
      <c r="AQ33">
        <f>IF(EXACT(Asistencia!F34,"FL"),1,0)</f>
        <v>0</v>
      </c>
      <c r="AR33">
        <f>IF(EXACT(Asistencia!G34,"FL"),1,0)</f>
        <v>0</v>
      </c>
      <c r="AS33">
        <f>IF(EXACT(Asistencia!H34,"FL"),1,0)</f>
        <v>0</v>
      </c>
      <c r="AT33">
        <f>IF(EXACT(Asistencia!I34,"FL"),1,0)</f>
        <v>0</v>
      </c>
      <c r="AU33">
        <f>IF(EXACT(Asistencia!J34,"FL"),1,0)</f>
        <v>0</v>
      </c>
      <c r="AV33">
        <f>IF(EXACT(Asistencia!K34,"FL"),1,0)</f>
        <v>0</v>
      </c>
      <c r="AW33">
        <f>IF(EXACT(Asistencia!L34,"FL"),1,0)</f>
        <v>0</v>
      </c>
      <c r="AX33">
        <f t="shared" si="21"/>
        <v>0</v>
      </c>
      <c r="AY33">
        <f>IF(EXACT(Asistencia!F34,"DL"),1,0)</f>
        <v>0</v>
      </c>
      <c r="AZ33">
        <f>IF(EXACT(Asistencia!G34,"DL"),1,0)</f>
        <v>0</v>
      </c>
      <c r="BA33">
        <f>IF(EXACT(Asistencia!H34,"DL"),1,0)</f>
        <v>0</v>
      </c>
      <c r="BB33">
        <f>IF(EXACT(Asistencia!I34,"DL"),1,0)</f>
        <v>0</v>
      </c>
      <c r="BC33">
        <f>IF(EXACT(Asistencia!J34,"DL"),1,0)</f>
        <v>0</v>
      </c>
      <c r="BD33">
        <f>IF(EXACT(Asistencia!K34,"DL"),1,0)</f>
        <v>0</v>
      </c>
      <c r="BE33">
        <f>IF(EXACT(Asistencia!L34,"DL"),1,0)</f>
        <v>0</v>
      </c>
      <c r="BF33">
        <f t="shared" si="22"/>
        <v>0</v>
      </c>
      <c r="BG33">
        <f>IF(ISNUMBER(Asistencia!M34),Asistencia!M34,0)</f>
        <v>0</v>
      </c>
      <c r="BH33">
        <f>IF(ISNUMBER(Asistencia!N34),Asistencia!N34,0)</f>
        <v>0</v>
      </c>
      <c r="BI33">
        <f>IF(ISNUMBER(Asistencia!O34),Asistencia!O34,0)</f>
        <v>0</v>
      </c>
      <c r="BJ33">
        <f>IF(ISNUMBER(Asistencia!P34),Asistencia!P34,0)</f>
        <v>0</v>
      </c>
      <c r="BK33" t="str">
        <f>IF(Asistencia!F34="","",Asistencia!F34)</f>
        <v/>
      </c>
      <c r="BL33" t="str">
        <f>IF(Asistencia!G34="","",Asistencia!G34)</f>
        <v/>
      </c>
      <c r="BM33" t="str">
        <f>IF(Asistencia!H34="","",Asistencia!H34)</f>
        <v/>
      </c>
      <c r="BN33" t="str">
        <f>IF(Asistencia!I34="","",Asistencia!I34)</f>
        <v/>
      </c>
      <c r="BO33" t="str">
        <f>IF(Asistencia!J34="","",Asistencia!J34)</f>
        <v/>
      </c>
      <c r="BP33" t="str">
        <f>IF(Asistencia!K34="","",Asistencia!K34)</f>
        <v/>
      </c>
      <c r="BQ33" t="str">
        <f>IF(Asistencia!L34="","",Asistencia!L34)</f>
        <v/>
      </c>
    </row>
    <row r="34" spans="1:69" ht="15.75" customHeight="1" x14ac:dyDescent="0.25">
      <c r="A34" s="46" t="str">
        <f t="shared" si="0"/>
        <v/>
      </c>
      <c r="B34" s="47" t="str">
        <f t="shared" si="1"/>
        <v/>
      </c>
      <c r="C34" s="47"/>
      <c r="D34" s="47"/>
      <c r="E34" s="46" t="str">
        <f t="shared" si="2"/>
        <v/>
      </c>
      <c r="F34" s="45" t="str">
        <f t="shared" si="3"/>
        <v/>
      </c>
      <c r="G34" s="44" t="str">
        <f t="shared" si="4"/>
        <v/>
      </c>
      <c r="H34" s="44" t="str">
        <f t="shared" si="5"/>
        <v/>
      </c>
      <c r="I34" s="44" t="str">
        <f t="shared" si="6"/>
        <v/>
      </c>
      <c r="J34" s="44" t="str">
        <f t="shared" si="7"/>
        <v/>
      </c>
      <c r="K34" s="44" t="str">
        <f t="shared" si="8"/>
        <v/>
      </c>
      <c r="L34" s="44" t="str">
        <f t="shared" si="9"/>
        <v/>
      </c>
      <c r="M34" s="43" t="str">
        <f t="shared" si="10"/>
        <v/>
      </c>
      <c r="N34" s="41" t="str">
        <f t="shared" si="11"/>
        <v/>
      </c>
      <c r="O34" s="41" t="str">
        <f t="shared" si="12"/>
        <v/>
      </c>
      <c r="P34" s="41" t="str">
        <f t="shared" si="13"/>
        <v/>
      </c>
      <c r="Q34" s="41" t="str">
        <f t="shared" si="14"/>
        <v/>
      </c>
      <c r="R34" s="41" t="str">
        <f t="shared" si="15"/>
        <v/>
      </c>
      <c r="S34" s="41"/>
      <c r="T34" s="48"/>
      <c r="U34" s="41" t="str">
        <f t="shared" si="16"/>
        <v/>
      </c>
      <c r="V34" s="41"/>
      <c r="W34" s="42" t="str">
        <f t="shared" si="17"/>
        <v/>
      </c>
      <c r="Y34" t="str">
        <f>IFERROR(MATCH(30,$AH$5:$AH$323,0),"")</f>
        <v/>
      </c>
      <c r="Z34" t="str">
        <f t="shared" si="18"/>
        <v/>
      </c>
      <c r="AA34" t="str">
        <f t="shared" si="19"/>
        <v/>
      </c>
      <c r="AB34" t="str">
        <f>IF(Asistencia!A35="","",Asistencia!A35)</f>
        <v/>
      </c>
      <c r="AC34" t="str">
        <f>IF(Asistencia!A35="","",SUBSTITUTE(SUBSTITUTE(SUBSTITUTE(SUBSTITUTE(SUBSTITUTE(SUBSTITUTE(SUBSTITUTE(UPPER(TRIM(Asistencia!A35)),"Á","A"),"É","E"),"Í","I"),"Ó","O"),"Ú","U"),"Ñ","N"),"  "," "))</f>
        <v/>
      </c>
      <c r="AD34" t="str">
        <f>IF(Asistencia!E35="","",Asistencia!E35)</f>
        <v/>
      </c>
      <c r="AE34" t="str">
        <f>IF(Asistencia!D35="","",UPPER(TRIM(Asistencia!D35)))</f>
        <v/>
      </c>
      <c r="AF34" t="s">
        <v>186</v>
      </c>
      <c r="AG34">
        <f>IF(AND(AA34&lt;&gt;"",COUNTIF($AA$5:AA34,AA34)=1),1,0)</f>
        <v>0</v>
      </c>
      <c r="AH34" t="str">
        <f>IF(AG34=1,SUM($AG$5:AG34),"")</f>
        <v/>
      </c>
      <c r="AI34">
        <f>IF(OR(EXACT(Asistencia!F35,"A"),EXACT(Asistencia!F35,"R"),EXACT(Asistencia!F35,"DL"),EXACT(Asistencia!F35,"FL"),EXACT(Asistencia!F35,"FE"),EXACT(Asistencia!F35,"PCS"),EXACT(Asistencia!F35,"V")),1,0)</f>
        <v>0</v>
      </c>
      <c r="AJ34">
        <f>IF(OR(EXACT(Asistencia!G35,"A"),EXACT(Asistencia!G35,"R"),EXACT(Asistencia!G35,"DL"),EXACT(Asistencia!G35,"FL"),EXACT(Asistencia!G35,"FE"),EXACT(Asistencia!G35,"PCS"),EXACT(Asistencia!G35,"V")),1,0)</f>
        <v>0</v>
      </c>
      <c r="AK34">
        <f>IF(OR(EXACT(Asistencia!H35,"A"),EXACT(Asistencia!H35,"R"),EXACT(Asistencia!H35,"DL"),EXACT(Asistencia!H35,"FL"),EXACT(Asistencia!H35,"FE"),EXACT(Asistencia!H35,"PCS"),EXACT(Asistencia!H35,"V")),1,0)</f>
        <v>0</v>
      </c>
      <c r="AL34">
        <f>IF(OR(EXACT(Asistencia!I35,"A"),EXACT(Asistencia!I35,"R"),EXACT(Asistencia!I35,"DL"),EXACT(Asistencia!I35,"FL"),EXACT(Asistencia!I35,"FE"),EXACT(Asistencia!I35,"PCS"),EXACT(Asistencia!I35,"V")),1,0)</f>
        <v>0</v>
      </c>
      <c r="AM34">
        <f>IF(OR(EXACT(Asistencia!J35,"A"),EXACT(Asistencia!J35,"R"),EXACT(Asistencia!J35,"DL"),EXACT(Asistencia!J35,"FL"),EXACT(Asistencia!J35,"FE"),EXACT(Asistencia!J35,"PCS"),EXACT(Asistencia!J35,"V")),1,0)</f>
        <v>0</v>
      </c>
      <c r="AN34">
        <f>IF(OR(EXACT(Asistencia!K35,"A"),EXACT(Asistencia!K35,"R"),EXACT(Asistencia!K35,"DL"),EXACT(Asistencia!K35,"FL"),EXACT(Asistencia!K35,"FE"),EXACT(Asistencia!K35,"PCS"),EXACT(Asistencia!K35,"V")),1,0)</f>
        <v>0</v>
      </c>
      <c r="AO34">
        <f>IF(OR(EXACT(Asistencia!L35,"A"),EXACT(Asistencia!L35,"R"),EXACT(Asistencia!L35,"DL"),EXACT(Asistencia!L35,"FL"),EXACT(Asistencia!L35,"FE"),EXACT(Asistencia!L35,"PCS"),EXACT(Asistencia!L35,"V")),1,0)</f>
        <v>0</v>
      </c>
      <c r="AP34">
        <f t="shared" si="20"/>
        <v>0</v>
      </c>
      <c r="AQ34">
        <f>IF(EXACT(Asistencia!F35,"FL"),1,0)</f>
        <v>0</v>
      </c>
      <c r="AR34">
        <f>IF(EXACT(Asistencia!G35,"FL"),1,0)</f>
        <v>0</v>
      </c>
      <c r="AS34">
        <f>IF(EXACT(Asistencia!H35,"FL"),1,0)</f>
        <v>0</v>
      </c>
      <c r="AT34">
        <f>IF(EXACT(Asistencia!I35,"FL"),1,0)</f>
        <v>0</v>
      </c>
      <c r="AU34">
        <f>IF(EXACT(Asistencia!J35,"FL"),1,0)</f>
        <v>0</v>
      </c>
      <c r="AV34">
        <f>IF(EXACT(Asistencia!K35,"FL"),1,0)</f>
        <v>0</v>
      </c>
      <c r="AW34">
        <f>IF(EXACT(Asistencia!L35,"FL"),1,0)</f>
        <v>0</v>
      </c>
      <c r="AX34">
        <f t="shared" si="21"/>
        <v>0</v>
      </c>
      <c r="AY34">
        <f>IF(EXACT(Asistencia!F35,"DL"),1,0)</f>
        <v>0</v>
      </c>
      <c r="AZ34">
        <f>IF(EXACT(Asistencia!G35,"DL"),1,0)</f>
        <v>0</v>
      </c>
      <c r="BA34">
        <f>IF(EXACT(Asistencia!H35,"DL"),1,0)</f>
        <v>0</v>
      </c>
      <c r="BB34">
        <f>IF(EXACT(Asistencia!I35,"DL"),1,0)</f>
        <v>0</v>
      </c>
      <c r="BC34">
        <f>IF(EXACT(Asistencia!J35,"DL"),1,0)</f>
        <v>0</v>
      </c>
      <c r="BD34">
        <f>IF(EXACT(Asistencia!K35,"DL"),1,0)</f>
        <v>0</v>
      </c>
      <c r="BE34">
        <f>IF(EXACT(Asistencia!L35,"DL"),1,0)</f>
        <v>0</v>
      </c>
      <c r="BF34">
        <f t="shared" si="22"/>
        <v>0</v>
      </c>
      <c r="BG34">
        <f>IF(ISNUMBER(Asistencia!M35),Asistencia!M35,0)</f>
        <v>0</v>
      </c>
      <c r="BH34">
        <f>IF(ISNUMBER(Asistencia!N35),Asistencia!N35,0)</f>
        <v>0</v>
      </c>
      <c r="BI34">
        <f>IF(ISNUMBER(Asistencia!O35),Asistencia!O35,0)</f>
        <v>0</v>
      </c>
      <c r="BJ34">
        <f>IF(ISNUMBER(Asistencia!P35),Asistencia!P35,0)</f>
        <v>0</v>
      </c>
      <c r="BK34" t="str">
        <f>IF(Asistencia!F35="","",Asistencia!F35)</f>
        <v/>
      </c>
      <c r="BL34" t="str">
        <f>IF(Asistencia!G35="","",Asistencia!G35)</f>
        <v/>
      </c>
      <c r="BM34" t="str">
        <f>IF(Asistencia!H35="","",Asistencia!H35)</f>
        <v/>
      </c>
      <c r="BN34" t="str">
        <f>IF(Asistencia!I35="","",Asistencia!I35)</f>
        <v/>
      </c>
      <c r="BO34" t="str">
        <f>IF(Asistencia!J35="","",Asistencia!J35)</f>
        <v/>
      </c>
      <c r="BP34" t="str">
        <f>IF(Asistencia!K35="","",Asistencia!K35)</f>
        <v/>
      </c>
      <c r="BQ34" t="str">
        <f>IF(Asistencia!L35="","",Asistencia!L35)</f>
        <v/>
      </c>
    </row>
    <row r="35" spans="1:69" ht="15.75" customHeight="1" x14ac:dyDescent="0.25">
      <c r="A35" s="46" t="str">
        <f t="shared" si="0"/>
        <v/>
      </c>
      <c r="B35" s="47" t="str">
        <f t="shared" si="1"/>
        <v/>
      </c>
      <c r="C35" s="47"/>
      <c r="D35" s="47"/>
      <c r="E35" s="46" t="str">
        <f t="shared" si="2"/>
        <v/>
      </c>
      <c r="F35" s="45" t="str">
        <f t="shared" si="3"/>
        <v/>
      </c>
      <c r="G35" s="44" t="str">
        <f t="shared" si="4"/>
        <v/>
      </c>
      <c r="H35" s="44" t="str">
        <f t="shared" si="5"/>
        <v/>
      </c>
      <c r="I35" s="44" t="str">
        <f t="shared" si="6"/>
        <v/>
      </c>
      <c r="J35" s="44" t="str">
        <f t="shared" si="7"/>
        <v/>
      </c>
      <c r="K35" s="44" t="str">
        <f t="shared" si="8"/>
        <v/>
      </c>
      <c r="L35" s="44" t="str">
        <f t="shared" si="9"/>
        <v/>
      </c>
      <c r="M35" s="43" t="str">
        <f t="shared" si="10"/>
        <v/>
      </c>
      <c r="N35" s="41" t="str">
        <f t="shared" si="11"/>
        <v/>
      </c>
      <c r="O35" s="41" t="str">
        <f t="shared" si="12"/>
        <v/>
      </c>
      <c r="P35" s="41" t="str">
        <f t="shared" si="13"/>
        <v/>
      </c>
      <c r="Q35" s="41" t="str">
        <f t="shared" si="14"/>
        <v/>
      </c>
      <c r="R35" s="41" t="str">
        <f t="shared" si="15"/>
        <v/>
      </c>
      <c r="S35" s="41"/>
      <c r="T35" s="48"/>
      <c r="U35" s="41" t="str">
        <f t="shared" si="16"/>
        <v/>
      </c>
      <c r="V35" s="41"/>
      <c r="W35" s="42" t="str">
        <f t="shared" si="17"/>
        <v/>
      </c>
      <c r="Y35" t="str">
        <f>IFERROR(MATCH(31,$AH$5:$AH$323,0),"")</f>
        <v/>
      </c>
      <c r="Z35" t="str">
        <f t="shared" si="18"/>
        <v/>
      </c>
      <c r="AA35" t="str">
        <f t="shared" si="19"/>
        <v/>
      </c>
      <c r="AB35" t="str">
        <f>IF(Asistencia!A36="","",Asistencia!A36)</f>
        <v/>
      </c>
      <c r="AC35" t="str">
        <f>IF(Asistencia!A36="","",SUBSTITUTE(SUBSTITUTE(SUBSTITUTE(SUBSTITUTE(SUBSTITUTE(SUBSTITUTE(SUBSTITUTE(UPPER(TRIM(Asistencia!A36)),"Á","A"),"É","E"),"Í","I"),"Ó","O"),"Ú","U"),"Ñ","N"),"  "," "))</f>
        <v/>
      </c>
      <c r="AD35" t="str">
        <f>IF(Asistencia!E36="","",Asistencia!E36)</f>
        <v/>
      </c>
      <c r="AE35" t="str">
        <f>IF(Asistencia!D36="","",UPPER(TRIM(Asistencia!D36)))</f>
        <v/>
      </c>
      <c r="AF35" t="s">
        <v>186</v>
      </c>
      <c r="AG35">
        <f>IF(AND(AA35&lt;&gt;"",COUNTIF($AA$5:AA35,AA35)=1),1,0)</f>
        <v>0</v>
      </c>
      <c r="AH35" t="str">
        <f>IF(AG35=1,SUM($AG$5:AG35),"")</f>
        <v/>
      </c>
      <c r="AI35">
        <f>IF(OR(EXACT(Asistencia!F36,"A"),EXACT(Asistencia!F36,"R"),EXACT(Asistencia!F36,"DL"),EXACT(Asistencia!F36,"FL"),EXACT(Asistencia!F36,"FE"),EXACT(Asistencia!F36,"PCS"),EXACT(Asistencia!F36,"V")),1,0)</f>
        <v>0</v>
      </c>
      <c r="AJ35">
        <f>IF(OR(EXACT(Asistencia!G36,"A"),EXACT(Asistencia!G36,"R"),EXACT(Asistencia!G36,"DL"),EXACT(Asistencia!G36,"FL"),EXACT(Asistencia!G36,"FE"),EXACT(Asistencia!G36,"PCS"),EXACT(Asistencia!G36,"V")),1,0)</f>
        <v>0</v>
      </c>
      <c r="AK35">
        <f>IF(OR(EXACT(Asistencia!H36,"A"),EXACT(Asistencia!H36,"R"),EXACT(Asistencia!H36,"DL"),EXACT(Asistencia!H36,"FL"),EXACT(Asistencia!H36,"FE"),EXACT(Asistencia!H36,"PCS"),EXACT(Asistencia!H36,"V")),1,0)</f>
        <v>0</v>
      </c>
      <c r="AL35">
        <f>IF(OR(EXACT(Asistencia!I36,"A"),EXACT(Asistencia!I36,"R"),EXACT(Asistencia!I36,"DL"),EXACT(Asistencia!I36,"FL"),EXACT(Asistencia!I36,"FE"),EXACT(Asistencia!I36,"PCS"),EXACT(Asistencia!I36,"V")),1,0)</f>
        <v>0</v>
      </c>
      <c r="AM35">
        <f>IF(OR(EXACT(Asistencia!J36,"A"),EXACT(Asistencia!J36,"R"),EXACT(Asistencia!J36,"DL"),EXACT(Asistencia!J36,"FL"),EXACT(Asistencia!J36,"FE"),EXACT(Asistencia!J36,"PCS"),EXACT(Asistencia!J36,"V")),1,0)</f>
        <v>0</v>
      </c>
      <c r="AN35">
        <f>IF(OR(EXACT(Asistencia!K36,"A"),EXACT(Asistencia!K36,"R"),EXACT(Asistencia!K36,"DL"),EXACT(Asistencia!K36,"FL"),EXACT(Asistencia!K36,"FE"),EXACT(Asistencia!K36,"PCS"),EXACT(Asistencia!K36,"V")),1,0)</f>
        <v>0</v>
      </c>
      <c r="AO35">
        <f>IF(OR(EXACT(Asistencia!L36,"A"),EXACT(Asistencia!L36,"R"),EXACT(Asistencia!L36,"DL"),EXACT(Asistencia!L36,"FL"),EXACT(Asistencia!L36,"FE"),EXACT(Asistencia!L36,"PCS"),EXACT(Asistencia!L36,"V")),1,0)</f>
        <v>0</v>
      </c>
      <c r="AP35">
        <f t="shared" si="20"/>
        <v>0</v>
      </c>
      <c r="AQ35">
        <f>IF(EXACT(Asistencia!F36,"FL"),1,0)</f>
        <v>0</v>
      </c>
      <c r="AR35">
        <f>IF(EXACT(Asistencia!G36,"FL"),1,0)</f>
        <v>0</v>
      </c>
      <c r="AS35">
        <f>IF(EXACT(Asistencia!H36,"FL"),1,0)</f>
        <v>0</v>
      </c>
      <c r="AT35">
        <f>IF(EXACT(Asistencia!I36,"FL"),1,0)</f>
        <v>0</v>
      </c>
      <c r="AU35">
        <f>IF(EXACT(Asistencia!J36,"FL"),1,0)</f>
        <v>0</v>
      </c>
      <c r="AV35">
        <f>IF(EXACT(Asistencia!K36,"FL"),1,0)</f>
        <v>0</v>
      </c>
      <c r="AW35">
        <f>IF(EXACT(Asistencia!L36,"FL"),1,0)</f>
        <v>0</v>
      </c>
      <c r="AX35">
        <f t="shared" si="21"/>
        <v>0</v>
      </c>
      <c r="AY35">
        <f>IF(EXACT(Asistencia!F36,"DL"),1,0)</f>
        <v>0</v>
      </c>
      <c r="AZ35">
        <f>IF(EXACT(Asistencia!G36,"DL"),1,0)</f>
        <v>0</v>
      </c>
      <c r="BA35">
        <f>IF(EXACT(Asistencia!H36,"DL"),1,0)</f>
        <v>0</v>
      </c>
      <c r="BB35">
        <f>IF(EXACT(Asistencia!I36,"DL"),1,0)</f>
        <v>0</v>
      </c>
      <c r="BC35">
        <f>IF(EXACT(Asistencia!J36,"DL"),1,0)</f>
        <v>0</v>
      </c>
      <c r="BD35">
        <f>IF(EXACT(Asistencia!K36,"DL"),1,0)</f>
        <v>0</v>
      </c>
      <c r="BE35">
        <f>IF(EXACT(Asistencia!L36,"DL"),1,0)</f>
        <v>0</v>
      </c>
      <c r="BF35">
        <f t="shared" si="22"/>
        <v>0</v>
      </c>
      <c r="BG35">
        <f>IF(ISNUMBER(Asistencia!M36),Asistencia!M36,0)</f>
        <v>0</v>
      </c>
      <c r="BH35">
        <f>IF(ISNUMBER(Asistencia!N36),Asistencia!N36,0)</f>
        <v>0</v>
      </c>
      <c r="BI35">
        <f>IF(ISNUMBER(Asistencia!O36),Asistencia!O36,0)</f>
        <v>0</v>
      </c>
      <c r="BJ35">
        <f>IF(ISNUMBER(Asistencia!P36),Asistencia!P36,0)</f>
        <v>0</v>
      </c>
      <c r="BK35" t="str">
        <f>IF(Asistencia!F36="","",Asistencia!F36)</f>
        <v/>
      </c>
      <c r="BL35" t="str">
        <f>IF(Asistencia!G36="","",Asistencia!G36)</f>
        <v/>
      </c>
      <c r="BM35" t="str">
        <f>IF(Asistencia!H36="","",Asistencia!H36)</f>
        <v/>
      </c>
      <c r="BN35" t="str">
        <f>IF(Asistencia!I36="","",Asistencia!I36)</f>
        <v/>
      </c>
      <c r="BO35" t="str">
        <f>IF(Asistencia!J36="","",Asistencia!J36)</f>
        <v/>
      </c>
      <c r="BP35" t="str">
        <f>IF(Asistencia!K36="","",Asistencia!K36)</f>
        <v/>
      </c>
      <c r="BQ35" t="str">
        <f>IF(Asistencia!L36="","",Asistencia!L36)</f>
        <v/>
      </c>
    </row>
    <row r="36" spans="1:69" ht="15.75" customHeight="1" x14ac:dyDescent="0.25">
      <c r="A36" s="46" t="str">
        <f t="shared" si="0"/>
        <v/>
      </c>
      <c r="B36" s="47" t="str">
        <f t="shared" si="1"/>
        <v/>
      </c>
      <c r="C36" s="47"/>
      <c r="D36" s="47"/>
      <c r="E36" s="46" t="str">
        <f t="shared" si="2"/>
        <v/>
      </c>
      <c r="F36" s="45" t="str">
        <f t="shared" si="3"/>
        <v/>
      </c>
      <c r="G36" s="44" t="str">
        <f t="shared" si="4"/>
        <v/>
      </c>
      <c r="H36" s="44" t="str">
        <f t="shared" si="5"/>
        <v/>
      </c>
      <c r="I36" s="44" t="str">
        <f t="shared" si="6"/>
        <v/>
      </c>
      <c r="J36" s="44" t="str">
        <f t="shared" si="7"/>
        <v/>
      </c>
      <c r="K36" s="44" t="str">
        <f t="shared" si="8"/>
        <v/>
      </c>
      <c r="L36" s="44" t="str">
        <f t="shared" si="9"/>
        <v/>
      </c>
      <c r="M36" s="43" t="str">
        <f t="shared" si="10"/>
        <v/>
      </c>
      <c r="N36" s="41" t="str">
        <f t="shared" si="11"/>
        <v/>
      </c>
      <c r="O36" s="41" t="str">
        <f t="shared" si="12"/>
        <v/>
      </c>
      <c r="P36" s="41" t="str">
        <f t="shared" si="13"/>
        <v/>
      </c>
      <c r="Q36" s="41" t="str">
        <f t="shared" si="14"/>
        <v/>
      </c>
      <c r="R36" s="41" t="str">
        <f t="shared" si="15"/>
        <v/>
      </c>
      <c r="S36" s="41"/>
      <c r="T36" s="48"/>
      <c r="U36" s="41" t="str">
        <f t="shared" si="16"/>
        <v/>
      </c>
      <c r="V36" s="41"/>
      <c r="W36" s="42" t="str">
        <f t="shared" si="17"/>
        <v/>
      </c>
      <c r="Y36" t="str">
        <f>IFERROR(MATCH(32,$AH$5:$AH$323,0),"")</f>
        <v/>
      </c>
      <c r="Z36" t="str">
        <f t="shared" si="18"/>
        <v/>
      </c>
      <c r="AA36" t="str">
        <f t="shared" si="19"/>
        <v/>
      </c>
      <c r="AB36" t="str">
        <f>IF(Asistencia!A37="","",Asistencia!A37)</f>
        <v/>
      </c>
      <c r="AC36" t="str">
        <f>IF(Asistencia!A37="","",SUBSTITUTE(SUBSTITUTE(SUBSTITUTE(SUBSTITUTE(SUBSTITUTE(SUBSTITUTE(SUBSTITUTE(UPPER(TRIM(Asistencia!A37)),"Á","A"),"É","E"),"Í","I"),"Ó","O"),"Ú","U"),"Ñ","N"),"  "," "))</f>
        <v/>
      </c>
      <c r="AD36" t="str">
        <f>IF(Asistencia!E37="","",Asistencia!E37)</f>
        <v/>
      </c>
      <c r="AE36" t="str">
        <f>IF(Asistencia!D37="","",UPPER(TRIM(Asistencia!D37)))</f>
        <v/>
      </c>
      <c r="AF36" t="s">
        <v>186</v>
      </c>
      <c r="AG36">
        <f>IF(AND(AA36&lt;&gt;"",COUNTIF($AA$5:AA36,AA36)=1),1,0)</f>
        <v>0</v>
      </c>
      <c r="AH36" t="str">
        <f>IF(AG36=1,SUM($AG$5:AG36),"")</f>
        <v/>
      </c>
      <c r="AI36">
        <f>IF(OR(EXACT(Asistencia!F37,"A"),EXACT(Asistencia!F37,"R"),EXACT(Asistencia!F37,"DL"),EXACT(Asistencia!F37,"FL"),EXACT(Asistencia!F37,"FE"),EXACT(Asistencia!F37,"PCS"),EXACT(Asistencia!F37,"V")),1,0)</f>
        <v>0</v>
      </c>
      <c r="AJ36">
        <f>IF(OR(EXACT(Asistencia!G37,"A"),EXACT(Asistencia!G37,"R"),EXACT(Asistencia!G37,"DL"),EXACT(Asistencia!G37,"FL"),EXACT(Asistencia!G37,"FE"),EXACT(Asistencia!G37,"PCS"),EXACT(Asistencia!G37,"V")),1,0)</f>
        <v>0</v>
      </c>
      <c r="AK36">
        <f>IF(OR(EXACT(Asistencia!H37,"A"),EXACT(Asistencia!H37,"R"),EXACT(Asistencia!H37,"DL"),EXACT(Asistencia!H37,"FL"),EXACT(Asistencia!H37,"FE"),EXACT(Asistencia!H37,"PCS"),EXACT(Asistencia!H37,"V")),1,0)</f>
        <v>0</v>
      </c>
      <c r="AL36">
        <f>IF(OR(EXACT(Asistencia!I37,"A"),EXACT(Asistencia!I37,"R"),EXACT(Asistencia!I37,"DL"),EXACT(Asistencia!I37,"FL"),EXACT(Asistencia!I37,"FE"),EXACT(Asistencia!I37,"PCS"),EXACT(Asistencia!I37,"V")),1,0)</f>
        <v>0</v>
      </c>
      <c r="AM36">
        <f>IF(OR(EXACT(Asistencia!J37,"A"),EXACT(Asistencia!J37,"R"),EXACT(Asistencia!J37,"DL"),EXACT(Asistencia!J37,"FL"),EXACT(Asistencia!J37,"FE"),EXACT(Asistencia!J37,"PCS"),EXACT(Asistencia!J37,"V")),1,0)</f>
        <v>0</v>
      </c>
      <c r="AN36">
        <f>IF(OR(EXACT(Asistencia!K37,"A"),EXACT(Asistencia!K37,"R"),EXACT(Asistencia!K37,"DL"),EXACT(Asistencia!K37,"FL"),EXACT(Asistencia!K37,"FE"),EXACT(Asistencia!K37,"PCS"),EXACT(Asistencia!K37,"V")),1,0)</f>
        <v>0</v>
      </c>
      <c r="AO36">
        <f>IF(OR(EXACT(Asistencia!L37,"A"),EXACT(Asistencia!L37,"R"),EXACT(Asistencia!L37,"DL"),EXACT(Asistencia!L37,"FL"),EXACT(Asistencia!L37,"FE"),EXACT(Asistencia!L37,"PCS"),EXACT(Asistencia!L37,"V")),1,0)</f>
        <v>0</v>
      </c>
      <c r="AP36">
        <f t="shared" si="20"/>
        <v>0</v>
      </c>
      <c r="AQ36">
        <f>IF(EXACT(Asistencia!F37,"FL"),1,0)</f>
        <v>0</v>
      </c>
      <c r="AR36">
        <f>IF(EXACT(Asistencia!G37,"FL"),1,0)</f>
        <v>0</v>
      </c>
      <c r="AS36">
        <f>IF(EXACT(Asistencia!H37,"FL"),1,0)</f>
        <v>0</v>
      </c>
      <c r="AT36">
        <f>IF(EXACT(Asistencia!I37,"FL"),1,0)</f>
        <v>0</v>
      </c>
      <c r="AU36">
        <f>IF(EXACT(Asistencia!J37,"FL"),1,0)</f>
        <v>0</v>
      </c>
      <c r="AV36">
        <f>IF(EXACT(Asistencia!K37,"FL"),1,0)</f>
        <v>0</v>
      </c>
      <c r="AW36">
        <f>IF(EXACT(Asistencia!L37,"FL"),1,0)</f>
        <v>0</v>
      </c>
      <c r="AX36">
        <f t="shared" si="21"/>
        <v>0</v>
      </c>
      <c r="AY36">
        <f>IF(EXACT(Asistencia!F37,"DL"),1,0)</f>
        <v>0</v>
      </c>
      <c r="AZ36">
        <f>IF(EXACT(Asistencia!G37,"DL"),1,0)</f>
        <v>0</v>
      </c>
      <c r="BA36">
        <f>IF(EXACT(Asistencia!H37,"DL"),1,0)</f>
        <v>0</v>
      </c>
      <c r="BB36">
        <f>IF(EXACT(Asistencia!I37,"DL"),1,0)</f>
        <v>0</v>
      </c>
      <c r="BC36">
        <f>IF(EXACT(Asistencia!J37,"DL"),1,0)</f>
        <v>0</v>
      </c>
      <c r="BD36">
        <f>IF(EXACT(Asistencia!K37,"DL"),1,0)</f>
        <v>0</v>
      </c>
      <c r="BE36">
        <f>IF(EXACT(Asistencia!L37,"DL"),1,0)</f>
        <v>0</v>
      </c>
      <c r="BF36">
        <f t="shared" si="22"/>
        <v>0</v>
      </c>
      <c r="BG36">
        <f>IF(ISNUMBER(Asistencia!M37),Asistencia!M37,0)</f>
        <v>0</v>
      </c>
      <c r="BH36">
        <f>IF(ISNUMBER(Asistencia!N37),Asistencia!N37,0)</f>
        <v>0</v>
      </c>
      <c r="BI36">
        <f>IF(ISNUMBER(Asistencia!O37),Asistencia!O37,0)</f>
        <v>0</v>
      </c>
      <c r="BJ36">
        <f>IF(ISNUMBER(Asistencia!P37),Asistencia!P37,0)</f>
        <v>0</v>
      </c>
      <c r="BK36" t="str">
        <f>IF(Asistencia!F37="","",Asistencia!F37)</f>
        <v/>
      </c>
      <c r="BL36" t="str">
        <f>IF(Asistencia!G37="","",Asistencia!G37)</f>
        <v/>
      </c>
      <c r="BM36" t="str">
        <f>IF(Asistencia!H37="","",Asistencia!H37)</f>
        <v/>
      </c>
      <c r="BN36" t="str">
        <f>IF(Asistencia!I37="","",Asistencia!I37)</f>
        <v/>
      </c>
      <c r="BO36" t="str">
        <f>IF(Asistencia!J37="","",Asistencia!J37)</f>
        <v/>
      </c>
      <c r="BP36" t="str">
        <f>IF(Asistencia!K37="","",Asistencia!K37)</f>
        <v/>
      </c>
      <c r="BQ36" t="str">
        <f>IF(Asistencia!L37="","",Asistencia!L37)</f>
        <v/>
      </c>
    </row>
    <row r="37" spans="1:69" ht="15.75" customHeight="1" x14ac:dyDescent="0.25">
      <c r="A37" s="46" t="str">
        <f t="shared" ref="A37:A68" si="23">IF(Y37="","",INDEX($AB$5:$AB$323,Y37))</f>
        <v/>
      </c>
      <c r="B37" s="47" t="str">
        <f t="shared" ref="B37:B68" si="24">IF(Y37="","",INDEX($AD$5:$AD$323,Y37))</f>
        <v/>
      </c>
      <c r="C37" s="47"/>
      <c r="D37" s="47"/>
      <c r="E37" s="46" t="str">
        <f t="shared" ref="E37:E68" si="25">IF($A37="","",_xlfn.TEXTJOIN(" / ",TRUE(),IF(SUMIFS($AP$5:$AP$323,$AA$5:$AA$323,$Z37,$AF$5:$AF$323,"ARMIDA")&gt;0,IFERROR("ARMIDA-"&amp;INDEX($AE$5:$AE$323,MATCH($Z37&amp;"ARMIDA",$AA$5:$AA$323&amp;$AF$5:$AF$323,0)),"ARMIDA"),""),IF(SUMIFS($AP$5:$AP$323,$AA$5:$AA$323,$Z37,$AF$5:$AF$323,"AURIGA")&gt;0,IFERROR("AURIGA-"&amp;INDEX($AE$5:$AE$323,MATCH($Z37&amp;"AURIGA",$AA$5:$AA$323&amp;$AF$5:$AF$323,0)),"AURIGA"),""),IF(SUMIFS($AP$5:$AP$323,$AA$5:$AA$323,$Z37,$AF$5:$AF$323,"AURORA")&gt;0,IFERROR("AURORA-"&amp;INDEX($AE$5:$AE$323,MATCH($Z37&amp;"AURORA",$AA$5:$AA$323&amp;$AF$5:$AF$323,0)),"AURORA"),""),IF(SUMIFS($AP$5:$AP$323,$AA$5:$AA$323,$Z37,$AF$5:$AF$323,"CITICA")&gt;0,IFERROR("CITICA-"&amp;INDEX($AE$5:$AE$323,MATCH($Z37&amp;"CITICA",$AA$5:$AA$323&amp;$AF$5:$AF$323,0)),"CITICA"),""),IF(SUMIFS($AP$5:$AP$323,$AA$5:$AA$323,$Z37,$AF$5:$AF$323,"GM")&gt;0,IFERROR("GM-"&amp;INDEX($AE$5:$AE$323,MATCH($Z37&amp;"GM",$AA$5:$AA$323&amp;$AF$5:$AF$323,0)),"GM"),""),IF(SUMIFS($AP$5:$AP$323,$AA$5:$AA$323,$Z37,$AF$5:$AF$323,"TORRE BALZAK")&gt;0,IFERROR("TORRE BALZAK-"&amp;INDEX($AE$5:$AE$323,MATCH($Z37&amp;"TORRE BALZAK",$AA$5:$AA$323&amp;$AF$5:$AF$323,0)),"TORRE BALZAK"),""),IF(SUMIFS($AP$5:$AP$323,$AA$5:$AA$323,$Z37,$AF$5:$AF$323,"TORRE OLMA")&gt;0,IFERROR("TORRE OLMA-"&amp;INDEX($AE$5:$AE$323,MATCH($Z37&amp;"TORRE OLMA",$AA$5:$AA$323&amp;$AF$5:$AF$323,0)),"TORRE OLMA"),""),IF(SUMIFS($AP$5:$AP$323,$AA$5:$AA$323,$Z37,$AF$5:$AF$323,"OTROS")&gt;0,IFERROR("OTROS-"&amp;INDEX($AE$5:$AE$323,MATCH($Z37&amp;"OTROS",$AA$5:$AA$323&amp;$AF$5:$AF$323,0)),"OTROS"),"")))</f>
        <v/>
      </c>
      <c r="F37" s="45" t="str">
        <f t="shared" ref="F37:F68" si="26">IF($A37="","",IFERROR(INDEX($BK$5:$BK$323,MATCH($Z37,$AA$5:$AA$323,0)),"-"))</f>
        <v/>
      </c>
      <c r="G37" s="44" t="str">
        <f t="shared" ref="G37:G68" si="27">IF($A37="","",IFERROR(INDEX($BL$5:$BL$323,MATCH($Z37,$AA$5:$AA$323,0)),"-"))</f>
        <v/>
      </c>
      <c r="H37" s="44" t="str">
        <f t="shared" ref="H37:H68" si="28">IF($A37="","",IFERROR(INDEX($BM$5:$BM$323,MATCH($Z37,$AA$5:$AA$323,0)),"-"))</f>
        <v/>
      </c>
      <c r="I37" s="44" t="str">
        <f t="shared" ref="I37:I68" si="29">IF($A37="","",IFERROR(INDEX($BN$5:$BN$323,MATCH($Z37,$AA$5:$AA$323,0)),"-"))</f>
        <v/>
      </c>
      <c r="J37" s="44" t="str">
        <f t="shared" ref="J37:J68" si="30">IF($A37="","",IFERROR(INDEX($BO$5:$BO$323,MATCH($Z37,$AA$5:$AA$323,0)),"-"))</f>
        <v/>
      </c>
      <c r="K37" s="44" t="str">
        <f t="shared" ref="K37:K68" si="31">IF($A37="","",IFERROR(INDEX($BP$5:$BP$323,MATCH($Z37,$AA$5:$AA$323,0)),"-"))</f>
        <v/>
      </c>
      <c r="L37" s="44" t="str">
        <f t="shared" ref="L37:L68" si="32">IF($A37="","",IFERROR(INDEX($BQ$5:$BQ$323,MATCH($Z37,$AA$5:$AA$323,0)),"-"))</f>
        <v/>
      </c>
      <c r="M37" s="43" t="str">
        <f t="shared" ref="M37:M68" si="33">IF($A37="","",(--(SUMIF($AA$5:$AA$323,$Z37,$AI$5:$AI$323)&gt;0))+(--(SUMIF($AA$5:$AA$323,$Z37,$AJ$5:$AJ$323)&gt;0))+(--(SUMIF($AA$5:$AA$323,$Z37,$AK$5:$AK$323)&gt;0))+(--(SUMIF($AA$5:$AA$323,$Z37,$AL$5:$AL$323)&gt;0))+(--(SUMIF($AA$5:$AA$323,$Z37,$AM$5:$AM$323)&gt;0))+(--(SUMIF($AA$5:$AA$323,$Z37,$AN$5:$AN$323)&gt;0))+(--(SUMIF($AA$5:$AA$323,$Z37,$AO$5:$AO$323)&gt;0)))</f>
        <v/>
      </c>
      <c r="N37" s="41" t="str">
        <f t="shared" ref="N37:N68" si="34">IF($A37="","",MAX(0,M37-6))</f>
        <v/>
      </c>
      <c r="O37" s="41" t="str">
        <f t="shared" ref="O37:O68" si="35">IF($A37="","",SUMIF($AA$5:$AA$323,$Z37,$AP$5:$AP$323)-M37)</f>
        <v/>
      </c>
      <c r="P37" s="41" t="str">
        <f t="shared" ref="P37:P68" si="36">IF($A37="","",SUMIF($AA$5:$AA$323,$Z37,$BG$5:$BG$323))</f>
        <v/>
      </c>
      <c r="Q37" s="41" t="str">
        <f t="shared" ref="Q37:Q68" si="37">IF($A37="","",SUMIF($AA$5:$AA$323,$Z37,$BH$5:$BH$323))</f>
        <v/>
      </c>
      <c r="R37" s="41" t="str">
        <f t="shared" ref="R37:R68" si="38">IF($A37="","",SUMIF($AA$5:$AA$323,$Z37,$BI$5:$BI$323))</f>
        <v/>
      </c>
      <c r="S37" s="41"/>
      <c r="T37" s="48"/>
      <c r="U37" s="41" t="str">
        <f t="shared" ref="U37:U68" si="39">IF($A37="","",SUMIF($AA$5:$AA$323,$Z37,$BJ$5:$BJ$323))</f>
        <v/>
      </c>
      <c r="V37" s="41"/>
      <c r="W37" s="42" t="str">
        <f t="shared" ref="W37:W68" si="40">IF($A37="","",_xlfn.TEXTJOIN(" | ",TRUE(),IF(N37&gt;0,"+ de 6 días: revisar adicionales",""),IF(O37&gt;0,"Doble evento mismo día: revisar turno/pago",""),IF(SUMIF($AA$5:$AA$323,$Z37,$AX$5:$AX$323)&gt;((--(SUMIF($AA$5:$AA$323,$Z37,$AQ$5:$AQ$323)&gt;0))+(--(SUMIF($AA$5:$AA$323,$Z37,$AR$5:$AR$323)&gt;0))+(--(SUMIF($AA$5:$AA$323,$Z37,$AS$5:$AS$323)&gt;0))+(--(SUMIF($AA$5:$AA$323,$Z37,$AT$5:$AT$323)&gt;0))+(--(SUMIF($AA$5:$AA$323,$Z37,$AU$5:$AU$323)&gt;0))+(--(SUMIF($AA$5:$AA$323,$Z37,$AV$5:$AV$323)&gt;0))+(--(SUMIF($AA$5:$AA$323,$Z37,$AW$5:$AW$323)&gt;0))),"FL múltiple mismo día: revisar pago festivo",""),IF(SUMIF($AA$5:$AA$323,$Z37,$BF$5:$BF$323)&gt;((--(SUMIF($AA$5:$AA$323,$Z37,$AY$5:$AY$323)&gt;0))+(--(SUMIF($AA$5:$AA$323,$Z37,$AZ$5:$AZ$323)&gt;0))+(--(SUMIF($AA$5:$AA$323,$Z37,$BA$5:$BA$323)&gt;0))+(--(SUMIF($AA$5:$AA$323,$Z37,$BB$5:$BB$323)&gt;0))+(--(SUMIF($AA$5:$AA$323,$Z37,$BC$5:$BC$323)&gt;0))+(--(SUMIF($AA$5:$AA$323,$Z37,$BD$5:$BD$323)&gt;0))+(--(SUMIF($AA$5:$AA$323,$Z37,$BE$5:$BE$323)&gt;0))),"DL múltiple mismo día: revisar pago descanso","")))</f>
        <v/>
      </c>
      <c r="Y37" t="str">
        <f>IFERROR(MATCH(33,$AH$5:$AH$323,0),"")</f>
        <v/>
      </c>
      <c r="Z37" t="str">
        <f t="shared" ref="Z37:Z68" si="41">IF(Y37="","",INDEX($AA$5:$AA$323,Y37))</f>
        <v/>
      </c>
      <c r="AA37" t="str">
        <f t="shared" si="19"/>
        <v/>
      </c>
      <c r="AB37" t="str">
        <f>IF(Asistencia!A38="","",Asistencia!A38)</f>
        <v/>
      </c>
      <c r="AC37" t="str">
        <f>IF(Asistencia!A38="","",SUBSTITUTE(SUBSTITUTE(SUBSTITUTE(SUBSTITUTE(SUBSTITUTE(SUBSTITUTE(SUBSTITUTE(UPPER(TRIM(Asistencia!A38)),"Á","A"),"É","E"),"Í","I"),"Ó","O"),"Ú","U"),"Ñ","N"),"  "," "))</f>
        <v/>
      </c>
      <c r="AD37" t="str">
        <f>IF(Asistencia!E38="","",Asistencia!E38)</f>
        <v/>
      </c>
      <c r="AE37" t="str">
        <f>IF(Asistencia!D38="","",UPPER(TRIM(Asistencia!D38)))</f>
        <v/>
      </c>
      <c r="AF37" t="s">
        <v>186</v>
      </c>
      <c r="AG37">
        <f>IF(AND(AA37&lt;&gt;"",COUNTIF($AA$5:AA37,AA37)=1),1,0)</f>
        <v>0</v>
      </c>
      <c r="AH37" t="str">
        <f>IF(AG37=1,SUM($AG$5:AG37),"")</f>
        <v/>
      </c>
      <c r="AI37">
        <f>IF(OR(EXACT(Asistencia!F38,"A"),EXACT(Asistencia!F38,"R"),EXACT(Asistencia!F38,"DL"),EXACT(Asistencia!F38,"FL"),EXACT(Asistencia!F38,"FE"),EXACT(Asistencia!F38,"PCS"),EXACT(Asistencia!F38,"V")),1,0)</f>
        <v>0</v>
      </c>
      <c r="AJ37">
        <f>IF(OR(EXACT(Asistencia!G38,"A"),EXACT(Asistencia!G38,"R"),EXACT(Asistencia!G38,"DL"),EXACT(Asistencia!G38,"FL"),EXACT(Asistencia!G38,"FE"),EXACT(Asistencia!G38,"PCS"),EXACT(Asistencia!G38,"V")),1,0)</f>
        <v>0</v>
      </c>
      <c r="AK37">
        <f>IF(OR(EXACT(Asistencia!H38,"A"),EXACT(Asistencia!H38,"R"),EXACT(Asistencia!H38,"DL"),EXACT(Asistencia!H38,"FL"),EXACT(Asistencia!H38,"FE"),EXACT(Asistencia!H38,"PCS"),EXACT(Asistencia!H38,"V")),1,0)</f>
        <v>0</v>
      </c>
      <c r="AL37">
        <f>IF(OR(EXACT(Asistencia!I38,"A"),EXACT(Asistencia!I38,"R"),EXACT(Asistencia!I38,"DL"),EXACT(Asistencia!I38,"FL"),EXACT(Asistencia!I38,"FE"),EXACT(Asistencia!I38,"PCS"),EXACT(Asistencia!I38,"V")),1,0)</f>
        <v>0</v>
      </c>
      <c r="AM37">
        <f>IF(OR(EXACT(Asistencia!J38,"A"),EXACT(Asistencia!J38,"R"),EXACT(Asistencia!J38,"DL"),EXACT(Asistencia!J38,"FL"),EXACT(Asistencia!J38,"FE"),EXACT(Asistencia!J38,"PCS"),EXACT(Asistencia!J38,"V")),1,0)</f>
        <v>0</v>
      </c>
      <c r="AN37">
        <f>IF(OR(EXACT(Asistencia!K38,"A"),EXACT(Asistencia!K38,"R"),EXACT(Asistencia!K38,"DL"),EXACT(Asistencia!K38,"FL"),EXACT(Asistencia!K38,"FE"),EXACT(Asistencia!K38,"PCS"),EXACT(Asistencia!K38,"V")),1,0)</f>
        <v>0</v>
      </c>
      <c r="AO37">
        <f>IF(OR(EXACT(Asistencia!L38,"A"),EXACT(Asistencia!L38,"R"),EXACT(Asistencia!L38,"DL"),EXACT(Asistencia!L38,"FL"),EXACT(Asistencia!L38,"FE"),EXACT(Asistencia!L38,"PCS"),EXACT(Asistencia!L38,"V")),1,0)</f>
        <v>0</v>
      </c>
      <c r="AP37">
        <f t="shared" si="20"/>
        <v>0</v>
      </c>
      <c r="AQ37">
        <f>IF(EXACT(Asistencia!F38,"FL"),1,0)</f>
        <v>0</v>
      </c>
      <c r="AR37">
        <f>IF(EXACT(Asistencia!G38,"FL"),1,0)</f>
        <v>0</v>
      </c>
      <c r="AS37">
        <f>IF(EXACT(Asistencia!H38,"FL"),1,0)</f>
        <v>0</v>
      </c>
      <c r="AT37">
        <f>IF(EXACT(Asistencia!I38,"FL"),1,0)</f>
        <v>0</v>
      </c>
      <c r="AU37">
        <f>IF(EXACT(Asistencia!J38,"FL"),1,0)</f>
        <v>0</v>
      </c>
      <c r="AV37">
        <f>IF(EXACT(Asistencia!K38,"FL"),1,0)</f>
        <v>0</v>
      </c>
      <c r="AW37">
        <f>IF(EXACT(Asistencia!L38,"FL"),1,0)</f>
        <v>0</v>
      </c>
      <c r="AX37">
        <f t="shared" si="21"/>
        <v>0</v>
      </c>
      <c r="AY37">
        <f>IF(EXACT(Asistencia!F38,"DL"),1,0)</f>
        <v>0</v>
      </c>
      <c r="AZ37">
        <f>IF(EXACT(Asistencia!G38,"DL"),1,0)</f>
        <v>0</v>
      </c>
      <c r="BA37">
        <f>IF(EXACT(Asistencia!H38,"DL"),1,0)</f>
        <v>0</v>
      </c>
      <c r="BB37">
        <f>IF(EXACT(Asistencia!I38,"DL"),1,0)</f>
        <v>0</v>
      </c>
      <c r="BC37">
        <f>IF(EXACT(Asistencia!J38,"DL"),1,0)</f>
        <v>0</v>
      </c>
      <c r="BD37">
        <f>IF(EXACT(Asistencia!K38,"DL"),1,0)</f>
        <v>0</v>
      </c>
      <c r="BE37">
        <f>IF(EXACT(Asistencia!L38,"DL"),1,0)</f>
        <v>0</v>
      </c>
      <c r="BF37">
        <f t="shared" si="22"/>
        <v>0</v>
      </c>
      <c r="BG37">
        <f>IF(ISNUMBER(Asistencia!M38),Asistencia!M38,0)</f>
        <v>0</v>
      </c>
      <c r="BH37">
        <f>IF(ISNUMBER(Asistencia!N38),Asistencia!N38,0)</f>
        <v>0</v>
      </c>
      <c r="BI37">
        <f>IF(ISNUMBER(Asistencia!O38),Asistencia!O38,0)</f>
        <v>0</v>
      </c>
      <c r="BJ37">
        <f>IF(ISNUMBER(Asistencia!P38),Asistencia!P38,0)</f>
        <v>0</v>
      </c>
      <c r="BK37" t="str">
        <f>IF(Asistencia!F38="","",Asistencia!F38)</f>
        <v/>
      </c>
      <c r="BL37" t="str">
        <f>IF(Asistencia!G38="","",Asistencia!G38)</f>
        <v/>
      </c>
      <c r="BM37" t="str">
        <f>IF(Asistencia!H38="","",Asistencia!H38)</f>
        <v/>
      </c>
      <c r="BN37" t="str">
        <f>IF(Asistencia!I38="","",Asistencia!I38)</f>
        <v/>
      </c>
      <c r="BO37" t="str">
        <f>IF(Asistencia!J38="","",Asistencia!J38)</f>
        <v/>
      </c>
      <c r="BP37" t="str">
        <f>IF(Asistencia!K38="","",Asistencia!K38)</f>
        <v/>
      </c>
      <c r="BQ37" t="str">
        <f>IF(Asistencia!L38="","",Asistencia!L38)</f>
        <v/>
      </c>
    </row>
    <row r="38" spans="1:69" ht="15.75" customHeight="1" x14ac:dyDescent="0.25">
      <c r="A38" s="46" t="str">
        <f t="shared" si="23"/>
        <v/>
      </c>
      <c r="B38" s="47" t="str">
        <f t="shared" si="24"/>
        <v/>
      </c>
      <c r="C38" s="47"/>
      <c r="D38" s="47"/>
      <c r="E38" s="46" t="str">
        <f t="shared" si="25"/>
        <v/>
      </c>
      <c r="F38" s="45" t="str">
        <f t="shared" si="26"/>
        <v/>
      </c>
      <c r="G38" s="44" t="str">
        <f t="shared" si="27"/>
        <v/>
      </c>
      <c r="H38" s="44" t="str">
        <f t="shared" si="28"/>
        <v/>
      </c>
      <c r="I38" s="44" t="str">
        <f t="shared" si="29"/>
        <v/>
      </c>
      <c r="J38" s="44" t="str">
        <f t="shared" si="30"/>
        <v/>
      </c>
      <c r="K38" s="44" t="str">
        <f t="shared" si="31"/>
        <v/>
      </c>
      <c r="L38" s="44" t="str">
        <f t="shared" si="32"/>
        <v/>
      </c>
      <c r="M38" s="43" t="str">
        <f t="shared" si="33"/>
        <v/>
      </c>
      <c r="N38" s="41" t="str">
        <f t="shared" si="34"/>
        <v/>
      </c>
      <c r="O38" s="41" t="str">
        <f t="shared" si="35"/>
        <v/>
      </c>
      <c r="P38" s="41" t="str">
        <f t="shared" si="36"/>
        <v/>
      </c>
      <c r="Q38" s="41" t="str">
        <f t="shared" si="37"/>
        <v/>
      </c>
      <c r="R38" s="41" t="str">
        <f t="shared" si="38"/>
        <v/>
      </c>
      <c r="S38" s="41"/>
      <c r="T38" s="48"/>
      <c r="U38" s="41" t="str">
        <f t="shared" si="39"/>
        <v/>
      </c>
      <c r="V38" s="41"/>
      <c r="W38" s="42" t="str">
        <f t="shared" si="40"/>
        <v/>
      </c>
      <c r="Y38" t="str">
        <f>IFERROR(MATCH(34,$AH$5:$AH$323,0),"")</f>
        <v/>
      </c>
      <c r="Z38" t="str">
        <f t="shared" si="41"/>
        <v/>
      </c>
      <c r="AA38" t="str">
        <f t="shared" si="19"/>
        <v/>
      </c>
      <c r="AB38" t="str">
        <f>IF(Asistencia!A39="","",Asistencia!A39)</f>
        <v/>
      </c>
      <c r="AC38" t="str">
        <f>IF(Asistencia!A39="","",SUBSTITUTE(SUBSTITUTE(SUBSTITUTE(SUBSTITUTE(SUBSTITUTE(SUBSTITUTE(SUBSTITUTE(UPPER(TRIM(Asistencia!A39)),"Á","A"),"É","E"),"Í","I"),"Ó","O"),"Ú","U"),"Ñ","N"),"  "," "))</f>
        <v/>
      </c>
      <c r="AD38" t="str">
        <f>IF(Asistencia!E39="","",Asistencia!E39)</f>
        <v/>
      </c>
      <c r="AE38" t="str">
        <f>IF(Asistencia!D39="","",UPPER(TRIM(Asistencia!D39)))</f>
        <v/>
      </c>
      <c r="AF38" t="s">
        <v>186</v>
      </c>
      <c r="AG38">
        <f>IF(AND(AA38&lt;&gt;"",COUNTIF($AA$5:AA38,AA38)=1),1,0)</f>
        <v>0</v>
      </c>
      <c r="AH38" t="str">
        <f>IF(AG38=1,SUM($AG$5:AG38),"")</f>
        <v/>
      </c>
      <c r="AI38">
        <f>IF(OR(EXACT(Asistencia!F39,"A"),EXACT(Asistencia!F39,"R"),EXACT(Asistencia!F39,"DL"),EXACT(Asistencia!F39,"FL"),EXACT(Asistencia!F39,"FE"),EXACT(Asistencia!F39,"PCS"),EXACT(Asistencia!F39,"V")),1,0)</f>
        <v>0</v>
      </c>
      <c r="AJ38">
        <f>IF(OR(EXACT(Asistencia!G39,"A"),EXACT(Asistencia!G39,"R"),EXACT(Asistencia!G39,"DL"),EXACT(Asistencia!G39,"FL"),EXACT(Asistencia!G39,"FE"),EXACT(Asistencia!G39,"PCS"),EXACT(Asistencia!G39,"V")),1,0)</f>
        <v>0</v>
      </c>
      <c r="AK38">
        <f>IF(OR(EXACT(Asistencia!H39,"A"),EXACT(Asistencia!H39,"R"),EXACT(Asistencia!H39,"DL"),EXACT(Asistencia!H39,"FL"),EXACT(Asistencia!H39,"FE"),EXACT(Asistencia!H39,"PCS"),EXACT(Asistencia!H39,"V")),1,0)</f>
        <v>0</v>
      </c>
      <c r="AL38">
        <f>IF(OR(EXACT(Asistencia!I39,"A"),EXACT(Asistencia!I39,"R"),EXACT(Asistencia!I39,"DL"),EXACT(Asistencia!I39,"FL"),EXACT(Asistencia!I39,"FE"),EXACT(Asistencia!I39,"PCS"),EXACT(Asistencia!I39,"V")),1,0)</f>
        <v>0</v>
      </c>
      <c r="AM38">
        <f>IF(OR(EXACT(Asistencia!J39,"A"),EXACT(Asistencia!J39,"R"),EXACT(Asistencia!J39,"DL"),EXACT(Asistencia!J39,"FL"),EXACT(Asistencia!J39,"FE"),EXACT(Asistencia!J39,"PCS"),EXACT(Asistencia!J39,"V")),1,0)</f>
        <v>0</v>
      </c>
      <c r="AN38">
        <f>IF(OR(EXACT(Asistencia!K39,"A"),EXACT(Asistencia!K39,"R"),EXACT(Asistencia!K39,"DL"),EXACT(Asistencia!K39,"FL"),EXACT(Asistencia!K39,"FE"),EXACT(Asistencia!K39,"PCS"),EXACT(Asistencia!K39,"V")),1,0)</f>
        <v>0</v>
      </c>
      <c r="AO38">
        <f>IF(OR(EXACT(Asistencia!L39,"A"),EXACT(Asistencia!L39,"R"),EXACT(Asistencia!L39,"DL"),EXACT(Asistencia!L39,"FL"),EXACT(Asistencia!L39,"FE"),EXACT(Asistencia!L39,"PCS"),EXACT(Asistencia!L39,"V")),1,0)</f>
        <v>0</v>
      </c>
      <c r="AP38">
        <f t="shared" si="20"/>
        <v>0</v>
      </c>
      <c r="AQ38">
        <f>IF(EXACT(Asistencia!F39,"FL"),1,0)</f>
        <v>0</v>
      </c>
      <c r="AR38">
        <f>IF(EXACT(Asistencia!G39,"FL"),1,0)</f>
        <v>0</v>
      </c>
      <c r="AS38">
        <f>IF(EXACT(Asistencia!H39,"FL"),1,0)</f>
        <v>0</v>
      </c>
      <c r="AT38">
        <f>IF(EXACT(Asistencia!I39,"FL"),1,0)</f>
        <v>0</v>
      </c>
      <c r="AU38">
        <f>IF(EXACT(Asistencia!J39,"FL"),1,0)</f>
        <v>0</v>
      </c>
      <c r="AV38">
        <f>IF(EXACT(Asistencia!K39,"FL"),1,0)</f>
        <v>0</v>
      </c>
      <c r="AW38">
        <f>IF(EXACT(Asistencia!L39,"FL"),1,0)</f>
        <v>0</v>
      </c>
      <c r="AX38">
        <f t="shared" si="21"/>
        <v>0</v>
      </c>
      <c r="AY38">
        <f>IF(EXACT(Asistencia!F39,"DL"),1,0)</f>
        <v>0</v>
      </c>
      <c r="AZ38">
        <f>IF(EXACT(Asistencia!G39,"DL"),1,0)</f>
        <v>0</v>
      </c>
      <c r="BA38">
        <f>IF(EXACT(Asistencia!H39,"DL"),1,0)</f>
        <v>0</v>
      </c>
      <c r="BB38">
        <f>IF(EXACT(Asistencia!I39,"DL"),1,0)</f>
        <v>0</v>
      </c>
      <c r="BC38">
        <f>IF(EXACT(Asistencia!J39,"DL"),1,0)</f>
        <v>0</v>
      </c>
      <c r="BD38">
        <f>IF(EXACT(Asistencia!K39,"DL"),1,0)</f>
        <v>0</v>
      </c>
      <c r="BE38">
        <f>IF(EXACT(Asistencia!L39,"DL"),1,0)</f>
        <v>0</v>
      </c>
      <c r="BF38">
        <f t="shared" si="22"/>
        <v>0</v>
      </c>
      <c r="BG38">
        <f>IF(ISNUMBER(Asistencia!M39),Asistencia!M39,0)</f>
        <v>0</v>
      </c>
      <c r="BH38">
        <f>IF(ISNUMBER(Asistencia!N39),Asistencia!N39,0)</f>
        <v>0</v>
      </c>
      <c r="BI38">
        <f>IF(ISNUMBER(Asistencia!O39),Asistencia!O39,0)</f>
        <v>0</v>
      </c>
      <c r="BJ38">
        <f>IF(ISNUMBER(Asistencia!P39),Asistencia!P39,0)</f>
        <v>0</v>
      </c>
      <c r="BK38" t="str">
        <f>IF(Asistencia!F39="","",Asistencia!F39)</f>
        <v/>
      </c>
      <c r="BL38" t="str">
        <f>IF(Asistencia!G39="","",Asistencia!G39)</f>
        <v/>
      </c>
      <c r="BM38" t="str">
        <f>IF(Asistencia!H39="","",Asistencia!H39)</f>
        <v/>
      </c>
      <c r="BN38" t="str">
        <f>IF(Asistencia!I39="","",Asistencia!I39)</f>
        <v/>
      </c>
      <c r="BO38" t="str">
        <f>IF(Asistencia!J39="","",Asistencia!J39)</f>
        <v/>
      </c>
      <c r="BP38" t="str">
        <f>IF(Asistencia!K39="","",Asistencia!K39)</f>
        <v/>
      </c>
      <c r="BQ38" t="str">
        <f>IF(Asistencia!L39="","",Asistencia!L39)</f>
        <v/>
      </c>
    </row>
    <row r="39" spans="1:69" ht="15.75" customHeight="1" x14ac:dyDescent="0.25">
      <c r="A39" s="46" t="str">
        <f t="shared" si="23"/>
        <v/>
      </c>
      <c r="B39" s="47" t="str">
        <f t="shared" si="24"/>
        <v/>
      </c>
      <c r="C39" s="47"/>
      <c r="D39" s="47"/>
      <c r="E39" s="46" t="str">
        <f t="shared" si="25"/>
        <v/>
      </c>
      <c r="F39" s="45" t="str">
        <f t="shared" si="26"/>
        <v/>
      </c>
      <c r="G39" s="44" t="str">
        <f t="shared" si="27"/>
        <v/>
      </c>
      <c r="H39" s="44" t="str">
        <f t="shared" si="28"/>
        <v/>
      </c>
      <c r="I39" s="44" t="str">
        <f t="shared" si="29"/>
        <v/>
      </c>
      <c r="J39" s="44" t="str">
        <f t="shared" si="30"/>
        <v/>
      </c>
      <c r="K39" s="44" t="str">
        <f t="shared" si="31"/>
        <v/>
      </c>
      <c r="L39" s="44" t="str">
        <f t="shared" si="32"/>
        <v/>
      </c>
      <c r="M39" s="43" t="str">
        <f t="shared" si="33"/>
        <v/>
      </c>
      <c r="N39" s="41" t="str">
        <f t="shared" si="34"/>
        <v/>
      </c>
      <c r="O39" s="41" t="str">
        <f t="shared" si="35"/>
        <v/>
      </c>
      <c r="P39" s="41" t="str">
        <f t="shared" si="36"/>
        <v/>
      </c>
      <c r="Q39" s="41" t="str">
        <f t="shared" si="37"/>
        <v/>
      </c>
      <c r="R39" s="41" t="str">
        <f t="shared" si="38"/>
        <v/>
      </c>
      <c r="S39" s="41"/>
      <c r="T39" s="48"/>
      <c r="U39" s="41" t="str">
        <f t="shared" si="39"/>
        <v/>
      </c>
      <c r="V39" s="41"/>
      <c r="W39" s="42" t="str">
        <f t="shared" si="40"/>
        <v/>
      </c>
      <c r="Y39" t="str">
        <f>IFERROR(MATCH(35,$AH$5:$AH$323,0),"")</f>
        <v/>
      </c>
      <c r="Z39" t="str">
        <f t="shared" si="41"/>
        <v/>
      </c>
      <c r="AA39" t="str">
        <f t="shared" si="19"/>
        <v/>
      </c>
      <c r="AB39" t="str">
        <f>IF(Asistencia!A40="","",Asistencia!A40)</f>
        <v/>
      </c>
      <c r="AC39" t="str">
        <f>IF(Asistencia!A40="","",SUBSTITUTE(SUBSTITUTE(SUBSTITUTE(SUBSTITUTE(SUBSTITUTE(SUBSTITUTE(SUBSTITUTE(UPPER(TRIM(Asistencia!A40)),"Á","A"),"É","E"),"Í","I"),"Ó","O"),"Ú","U"),"Ñ","N"),"  "," "))</f>
        <v/>
      </c>
      <c r="AD39" t="str">
        <f>IF(Asistencia!E40="","",Asistencia!E40)</f>
        <v/>
      </c>
      <c r="AE39" t="str">
        <f>IF(Asistencia!D40="","",UPPER(TRIM(Asistencia!D40)))</f>
        <v/>
      </c>
      <c r="AF39" t="s">
        <v>186</v>
      </c>
      <c r="AG39">
        <f>IF(AND(AA39&lt;&gt;"",COUNTIF($AA$5:AA39,AA39)=1),1,0)</f>
        <v>0</v>
      </c>
      <c r="AH39" t="str">
        <f>IF(AG39=1,SUM($AG$5:AG39),"")</f>
        <v/>
      </c>
      <c r="AI39">
        <f>IF(OR(EXACT(Asistencia!F40,"A"),EXACT(Asistencia!F40,"R"),EXACT(Asistencia!F40,"DL"),EXACT(Asistencia!F40,"FL"),EXACT(Asistencia!F40,"FE"),EXACT(Asistencia!F40,"PCS"),EXACT(Asistencia!F40,"V")),1,0)</f>
        <v>0</v>
      </c>
      <c r="AJ39">
        <f>IF(OR(EXACT(Asistencia!G40,"A"),EXACT(Asistencia!G40,"R"),EXACT(Asistencia!G40,"DL"),EXACT(Asistencia!G40,"FL"),EXACT(Asistencia!G40,"FE"),EXACT(Asistencia!G40,"PCS"),EXACT(Asistencia!G40,"V")),1,0)</f>
        <v>0</v>
      </c>
      <c r="AK39">
        <f>IF(OR(EXACT(Asistencia!H40,"A"),EXACT(Asistencia!H40,"R"),EXACT(Asistencia!H40,"DL"),EXACT(Asistencia!H40,"FL"),EXACT(Asistencia!H40,"FE"),EXACT(Asistencia!H40,"PCS"),EXACT(Asistencia!H40,"V")),1,0)</f>
        <v>0</v>
      </c>
      <c r="AL39">
        <f>IF(OR(EXACT(Asistencia!I40,"A"),EXACT(Asistencia!I40,"R"),EXACT(Asistencia!I40,"DL"),EXACT(Asistencia!I40,"FL"),EXACT(Asistencia!I40,"FE"),EXACT(Asistencia!I40,"PCS"),EXACT(Asistencia!I40,"V")),1,0)</f>
        <v>0</v>
      </c>
      <c r="AM39">
        <f>IF(OR(EXACT(Asistencia!J40,"A"),EXACT(Asistencia!J40,"R"),EXACT(Asistencia!J40,"DL"),EXACT(Asistencia!J40,"FL"),EXACT(Asistencia!J40,"FE"),EXACT(Asistencia!J40,"PCS"),EXACT(Asistencia!J40,"V")),1,0)</f>
        <v>0</v>
      </c>
      <c r="AN39">
        <f>IF(OR(EXACT(Asistencia!K40,"A"),EXACT(Asistencia!K40,"R"),EXACT(Asistencia!K40,"DL"),EXACT(Asistencia!K40,"FL"),EXACT(Asistencia!K40,"FE"),EXACT(Asistencia!K40,"PCS"),EXACT(Asistencia!K40,"V")),1,0)</f>
        <v>0</v>
      </c>
      <c r="AO39">
        <f>IF(OR(EXACT(Asistencia!L40,"A"),EXACT(Asistencia!L40,"R"),EXACT(Asistencia!L40,"DL"),EXACT(Asistencia!L40,"FL"),EXACT(Asistencia!L40,"FE"),EXACT(Asistencia!L40,"PCS"),EXACT(Asistencia!L40,"V")),1,0)</f>
        <v>0</v>
      </c>
      <c r="AP39">
        <f t="shared" si="20"/>
        <v>0</v>
      </c>
      <c r="AQ39">
        <f>IF(EXACT(Asistencia!F40,"FL"),1,0)</f>
        <v>0</v>
      </c>
      <c r="AR39">
        <f>IF(EXACT(Asistencia!G40,"FL"),1,0)</f>
        <v>0</v>
      </c>
      <c r="AS39">
        <f>IF(EXACT(Asistencia!H40,"FL"),1,0)</f>
        <v>0</v>
      </c>
      <c r="AT39">
        <f>IF(EXACT(Asistencia!I40,"FL"),1,0)</f>
        <v>0</v>
      </c>
      <c r="AU39">
        <f>IF(EXACT(Asistencia!J40,"FL"),1,0)</f>
        <v>0</v>
      </c>
      <c r="AV39">
        <f>IF(EXACT(Asistencia!K40,"FL"),1,0)</f>
        <v>0</v>
      </c>
      <c r="AW39">
        <f>IF(EXACT(Asistencia!L40,"FL"),1,0)</f>
        <v>0</v>
      </c>
      <c r="AX39">
        <f t="shared" si="21"/>
        <v>0</v>
      </c>
      <c r="AY39">
        <f>IF(EXACT(Asistencia!F40,"DL"),1,0)</f>
        <v>0</v>
      </c>
      <c r="AZ39">
        <f>IF(EXACT(Asistencia!G40,"DL"),1,0)</f>
        <v>0</v>
      </c>
      <c r="BA39">
        <f>IF(EXACT(Asistencia!H40,"DL"),1,0)</f>
        <v>0</v>
      </c>
      <c r="BB39">
        <f>IF(EXACT(Asistencia!I40,"DL"),1,0)</f>
        <v>0</v>
      </c>
      <c r="BC39">
        <f>IF(EXACT(Asistencia!J40,"DL"),1,0)</f>
        <v>0</v>
      </c>
      <c r="BD39">
        <f>IF(EXACT(Asistencia!K40,"DL"),1,0)</f>
        <v>0</v>
      </c>
      <c r="BE39">
        <f>IF(EXACT(Asistencia!L40,"DL"),1,0)</f>
        <v>0</v>
      </c>
      <c r="BF39">
        <f t="shared" si="22"/>
        <v>0</v>
      </c>
      <c r="BG39">
        <f>IF(ISNUMBER(Asistencia!M40),Asistencia!M40,0)</f>
        <v>0</v>
      </c>
      <c r="BH39">
        <f>IF(ISNUMBER(Asistencia!N40),Asistencia!N40,0)</f>
        <v>0</v>
      </c>
      <c r="BI39">
        <f>IF(ISNUMBER(Asistencia!O40),Asistencia!O40,0)</f>
        <v>0</v>
      </c>
      <c r="BJ39">
        <f>IF(ISNUMBER(Asistencia!P40),Asistencia!P40,0)</f>
        <v>0</v>
      </c>
      <c r="BK39" t="str">
        <f>IF(Asistencia!F40="","",Asistencia!F40)</f>
        <v/>
      </c>
      <c r="BL39" t="str">
        <f>IF(Asistencia!G40="","",Asistencia!G40)</f>
        <v/>
      </c>
      <c r="BM39" t="str">
        <f>IF(Asistencia!H40="","",Asistencia!H40)</f>
        <v/>
      </c>
      <c r="BN39" t="str">
        <f>IF(Asistencia!I40="","",Asistencia!I40)</f>
        <v/>
      </c>
      <c r="BO39" t="str">
        <f>IF(Asistencia!J40="","",Asistencia!J40)</f>
        <v/>
      </c>
      <c r="BP39" t="str">
        <f>IF(Asistencia!K40="","",Asistencia!K40)</f>
        <v/>
      </c>
      <c r="BQ39" t="str">
        <f>IF(Asistencia!L40="","",Asistencia!L40)</f>
        <v/>
      </c>
    </row>
    <row r="40" spans="1:69" ht="15.75" customHeight="1" x14ac:dyDescent="0.25">
      <c r="A40" s="46" t="str">
        <f t="shared" si="23"/>
        <v/>
      </c>
      <c r="B40" s="47" t="str">
        <f t="shared" si="24"/>
        <v/>
      </c>
      <c r="C40" s="47"/>
      <c r="D40" s="47"/>
      <c r="E40" s="46" t="str">
        <f t="shared" si="25"/>
        <v/>
      </c>
      <c r="F40" s="45" t="str">
        <f t="shared" si="26"/>
        <v/>
      </c>
      <c r="G40" s="44" t="str">
        <f t="shared" si="27"/>
        <v/>
      </c>
      <c r="H40" s="44" t="str">
        <f t="shared" si="28"/>
        <v/>
      </c>
      <c r="I40" s="44" t="str">
        <f t="shared" si="29"/>
        <v/>
      </c>
      <c r="J40" s="44" t="str">
        <f t="shared" si="30"/>
        <v/>
      </c>
      <c r="K40" s="44" t="str">
        <f t="shared" si="31"/>
        <v/>
      </c>
      <c r="L40" s="44" t="str">
        <f t="shared" si="32"/>
        <v/>
      </c>
      <c r="M40" s="43" t="str">
        <f t="shared" si="33"/>
        <v/>
      </c>
      <c r="N40" s="41" t="str">
        <f t="shared" si="34"/>
        <v/>
      </c>
      <c r="O40" s="41" t="str">
        <f t="shared" si="35"/>
        <v/>
      </c>
      <c r="P40" s="41" t="str">
        <f t="shared" si="36"/>
        <v/>
      </c>
      <c r="Q40" s="41" t="str">
        <f t="shared" si="37"/>
        <v/>
      </c>
      <c r="R40" s="41" t="str">
        <f t="shared" si="38"/>
        <v/>
      </c>
      <c r="S40" s="41"/>
      <c r="T40" s="48"/>
      <c r="U40" s="41" t="str">
        <f t="shared" si="39"/>
        <v/>
      </c>
      <c r="V40" s="41"/>
      <c r="W40" s="42" t="str">
        <f t="shared" si="40"/>
        <v/>
      </c>
      <c r="Y40" t="str">
        <f>IFERROR(MATCH(36,$AH$5:$AH$323,0),"")</f>
        <v/>
      </c>
      <c r="Z40" t="str">
        <f t="shared" si="41"/>
        <v/>
      </c>
      <c r="AA40" t="str">
        <f t="shared" si="19"/>
        <v/>
      </c>
      <c r="AB40" t="str">
        <f>IF(Asistencia!A41="","",Asistencia!A41)</f>
        <v/>
      </c>
      <c r="AC40" t="str">
        <f>IF(Asistencia!A41="","",SUBSTITUTE(SUBSTITUTE(SUBSTITUTE(SUBSTITUTE(SUBSTITUTE(SUBSTITUTE(SUBSTITUTE(UPPER(TRIM(Asistencia!A41)),"Á","A"),"É","E"),"Í","I"),"Ó","O"),"Ú","U"),"Ñ","N"),"  "," "))</f>
        <v/>
      </c>
      <c r="AD40" t="str">
        <f>IF(Asistencia!E41="","",Asistencia!E41)</f>
        <v/>
      </c>
      <c r="AE40" t="str">
        <f>IF(Asistencia!D41="","",UPPER(TRIM(Asistencia!D41)))</f>
        <v/>
      </c>
      <c r="AF40" t="s">
        <v>186</v>
      </c>
      <c r="AG40">
        <f>IF(AND(AA40&lt;&gt;"",COUNTIF($AA$5:AA40,AA40)=1),1,0)</f>
        <v>0</v>
      </c>
      <c r="AH40" t="str">
        <f>IF(AG40=1,SUM($AG$5:AG40),"")</f>
        <v/>
      </c>
      <c r="AI40">
        <f>IF(OR(EXACT(Asistencia!F41,"A"),EXACT(Asistencia!F41,"R"),EXACT(Asistencia!F41,"DL"),EXACT(Asistencia!F41,"FL"),EXACT(Asistencia!F41,"FE"),EXACT(Asistencia!F41,"PCS"),EXACT(Asistencia!F41,"V")),1,0)</f>
        <v>0</v>
      </c>
      <c r="AJ40">
        <f>IF(OR(EXACT(Asistencia!G41,"A"),EXACT(Asistencia!G41,"R"),EXACT(Asistencia!G41,"DL"),EXACT(Asistencia!G41,"FL"),EXACT(Asistencia!G41,"FE"),EXACT(Asistencia!G41,"PCS"),EXACT(Asistencia!G41,"V")),1,0)</f>
        <v>0</v>
      </c>
      <c r="AK40">
        <f>IF(OR(EXACT(Asistencia!H41,"A"),EXACT(Asistencia!H41,"R"),EXACT(Asistencia!H41,"DL"),EXACT(Asistencia!H41,"FL"),EXACT(Asistencia!H41,"FE"),EXACT(Asistencia!H41,"PCS"),EXACT(Asistencia!H41,"V")),1,0)</f>
        <v>0</v>
      </c>
      <c r="AL40">
        <f>IF(OR(EXACT(Asistencia!I41,"A"),EXACT(Asistencia!I41,"R"),EXACT(Asistencia!I41,"DL"),EXACT(Asistencia!I41,"FL"),EXACT(Asistencia!I41,"FE"),EXACT(Asistencia!I41,"PCS"),EXACT(Asistencia!I41,"V")),1,0)</f>
        <v>0</v>
      </c>
      <c r="AM40">
        <f>IF(OR(EXACT(Asistencia!J41,"A"),EXACT(Asistencia!J41,"R"),EXACT(Asistencia!J41,"DL"),EXACT(Asistencia!J41,"FL"),EXACT(Asistencia!J41,"FE"),EXACT(Asistencia!J41,"PCS"),EXACT(Asistencia!J41,"V")),1,0)</f>
        <v>0</v>
      </c>
      <c r="AN40">
        <f>IF(OR(EXACT(Asistencia!K41,"A"),EXACT(Asistencia!K41,"R"),EXACT(Asistencia!K41,"DL"),EXACT(Asistencia!K41,"FL"),EXACT(Asistencia!K41,"FE"),EXACT(Asistencia!K41,"PCS"),EXACT(Asistencia!K41,"V")),1,0)</f>
        <v>0</v>
      </c>
      <c r="AO40">
        <f>IF(OR(EXACT(Asistencia!L41,"A"),EXACT(Asistencia!L41,"R"),EXACT(Asistencia!L41,"DL"),EXACT(Asistencia!L41,"FL"),EXACT(Asistencia!L41,"FE"),EXACT(Asistencia!L41,"PCS"),EXACT(Asistencia!L41,"V")),1,0)</f>
        <v>0</v>
      </c>
      <c r="AP40">
        <f t="shared" si="20"/>
        <v>0</v>
      </c>
      <c r="AQ40">
        <f>IF(EXACT(Asistencia!F41,"FL"),1,0)</f>
        <v>0</v>
      </c>
      <c r="AR40">
        <f>IF(EXACT(Asistencia!G41,"FL"),1,0)</f>
        <v>0</v>
      </c>
      <c r="AS40">
        <f>IF(EXACT(Asistencia!H41,"FL"),1,0)</f>
        <v>0</v>
      </c>
      <c r="AT40">
        <f>IF(EXACT(Asistencia!I41,"FL"),1,0)</f>
        <v>0</v>
      </c>
      <c r="AU40">
        <f>IF(EXACT(Asistencia!J41,"FL"),1,0)</f>
        <v>0</v>
      </c>
      <c r="AV40">
        <f>IF(EXACT(Asistencia!K41,"FL"),1,0)</f>
        <v>0</v>
      </c>
      <c r="AW40">
        <f>IF(EXACT(Asistencia!L41,"FL"),1,0)</f>
        <v>0</v>
      </c>
      <c r="AX40">
        <f t="shared" si="21"/>
        <v>0</v>
      </c>
      <c r="AY40">
        <f>IF(EXACT(Asistencia!F41,"DL"),1,0)</f>
        <v>0</v>
      </c>
      <c r="AZ40">
        <f>IF(EXACT(Asistencia!G41,"DL"),1,0)</f>
        <v>0</v>
      </c>
      <c r="BA40">
        <f>IF(EXACT(Asistencia!H41,"DL"),1,0)</f>
        <v>0</v>
      </c>
      <c r="BB40">
        <f>IF(EXACT(Asistencia!I41,"DL"),1,0)</f>
        <v>0</v>
      </c>
      <c r="BC40">
        <f>IF(EXACT(Asistencia!J41,"DL"),1,0)</f>
        <v>0</v>
      </c>
      <c r="BD40">
        <f>IF(EXACT(Asistencia!K41,"DL"),1,0)</f>
        <v>0</v>
      </c>
      <c r="BE40">
        <f>IF(EXACT(Asistencia!L41,"DL"),1,0)</f>
        <v>0</v>
      </c>
      <c r="BF40">
        <f t="shared" si="22"/>
        <v>0</v>
      </c>
      <c r="BG40">
        <f>IF(ISNUMBER(Asistencia!M41),Asistencia!M41,0)</f>
        <v>0</v>
      </c>
      <c r="BH40">
        <f>IF(ISNUMBER(Asistencia!N41),Asistencia!N41,0)</f>
        <v>0</v>
      </c>
      <c r="BI40">
        <f>IF(ISNUMBER(Asistencia!O41),Asistencia!O41,0)</f>
        <v>0</v>
      </c>
      <c r="BJ40">
        <f>IF(ISNUMBER(Asistencia!P41),Asistencia!P41,0)</f>
        <v>0</v>
      </c>
      <c r="BK40" t="str">
        <f>IF(Asistencia!F41="","",Asistencia!F41)</f>
        <v/>
      </c>
      <c r="BL40" t="str">
        <f>IF(Asistencia!G41="","",Asistencia!G41)</f>
        <v/>
      </c>
      <c r="BM40" t="str">
        <f>IF(Asistencia!H41="","",Asistencia!H41)</f>
        <v/>
      </c>
      <c r="BN40" t="str">
        <f>IF(Asistencia!I41="","",Asistencia!I41)</f>
        <v/>
      </c>
      <c r="BO40" t="str">
        <f>IF(Asistencia!J41="","",Asistencia!J41)</f>
        <v/>
      </c>
      <c r="BP40" t="str">
        <f>IF(Asistencia!K41="","",Asistencia!K41)</f>
        <v/>
      </c>
      <c r="BQ40" t="str">
        <f>IF(Asistencia!L41="","",Asistencia!L41)</f>
        <v/>
      </c>
    </row>
    <row r="41" spans="1:69" ht="15.75" customHeight="1" x14ac:dyDescent="0.25">
      <c r="A41" s="46" t="str">
        <f t="shared" si="23"/>
        <v/>
      </c>
      <c r="B41" s="47" t="str">
        <f t="shared" si="24"/>
        <v/>
      </c>
      <c r="C41" s="47"/>
      <c r="D41" s="47"/>
      <c r="E41" s="46" t="str">
        <f t="shared" si="25"/>
        <v/>
      </c>
      <c r="F41" s="45" t="str">
        <f t="shared" si="26"/>
        <v/>
      </c>
      <c r="G41" s="44" t="str">
        <f t="shared" si="27"/>
        <v/>
      </c>
      <c r="H41" s="44" t="str">
        <f t="shared" si="28"/>
        <v/>
      </c>
      <c r="I41" s="44" t="str">
        <f t="shared" si="29"/>
        <v/>
      </c>
      <c r="J41" s="44" t="str">
        <f t="shared" si="30"/>
        <v/>
      </c>
      <c r="K41" s="44" t="str">
        <f t="shared" si="31"/>
        <v/>
      </c>
      <c r="L41" s="44" t="str">
        <f t="shared" si="32"/>
        <v/>
      </c>
      <c r="M41" s="43" t="str">
        <f t="shared" si="33"/>
        <v/>
      </c>
      <c r="N41" s="41" t="str">
        <f t="shared" si="34"/>
        <v/>
      </c>
      <c r="O41" s="41" t="str">
        <f t="shared" si="35"/>
        <v/>
      </c>
      <c r="P41" s="41" t="str">
        <f t="shared" si="36"/>
        <v/>
      </c>
      <c r="Q41" s="41" t="str">
        <f t="shared" si="37"/>
        <v/>
      </c>
      <c r="R41" s="41" t="str">
        <f t="shared" si="38"/>
        <v/>
      </c>
      <c r="S41" s="41"/>
      <c r="T41" s="48"/>
      <c r="U41" s="41" t="str">
        <f t="shared" si="39"/>
        <v/>
      </c>
      <c r="V41" s="41"/>
      <c r="W41" s="42" t="str">
        <f t="shared" si="40"/>
        <v/>
      </c>
      <c r="Y41" t="str">
        <f>IFERROR(MATCH(37,$AH$5:$AH$323,0),"")</f>
        <v/>
      </c>
      <c r="Z41" t="str">
        <f t="shared" si="41"/>
        <v/>
      </c>
      <c r="AA41" t="str">
        <f t="shared" si="19"/>
        <v/>
      </c>
      <c r="AB41" t="str">
        <f>IF(Asistencia!A42="","",Asistencia!A42)</f>
        <v/>
      </c>
      <c r="AC41" t="str">
        <f>IF(Asistencia!A42="","",SUBSTITUTE(SUBSTITUTE(SUBSTITUTE(SUBSTITUTE(SUBSTITUTE(SUBSTITUTE(SUBSTITUTE(UPPER(TRIM(Asistencia!A42)),"Á","A"),"É","E"),"Í","I"),"Ó","O"),"Ú","U"),"Ñ","N"),"  "," "))</f>
        <v/>
      </c>
      <c r="AD41" t="str">
        <f>IF(Asistencia!E42="","",Asistencia!E42)</f>
        <v/>
      </c>
      <c r="AE41" t="str">
        <f>IF(Asistencia!D42="","",UPPER(TRIM(Asistencia!D42)))</f>
        <v/>
      </c>
      <c r="AF41" t="s">
        <v>186</v>
      </c>
      <c r="AG41">
        <f>IF(AND(AA41&lt;&gt;"",COUNTIF($AA$5:AA41,AA41)=1),1,0)</f>
        <v>0</v>
      </c>
      <c r="AH41" t="str">
        <f>IF(AG41=1,SUM($AG$5:AG41),"")</f>
        <v/>
      </c>
      <c r="AI41">
        <f>IF(OR(EXACT(Asistencia!F42,"A"),EXACT(Asistencia!F42,"R"),EXACT(Asistencia!F42,"DL"),EXACT(Asistencia!F42,"FL"),EXACT(Asistencia!F42,"FE"),EXACT(Asistencia!F42,"PCS"),EXACT(Asistencia!F42,"V")),1,0)</f>
        <v>0</v>
      </c>
      <c r="AJ41">
        <f>IF(OR(EXACT(Asistencia!G42,"A"),EXACT(Asistencia!G42,"R"),EXACT(Asistencia!G42,"DL"),EXACT(Asistencia!G42,"FL"),EXACT(Asistencia!G42,"FE"),EXACT(Asistencia!G42,"PCS"),EXACT(Asistencia!G42,"V")),1,0)</f>
        <v>0</v>
      </c>
      <c r="AK41">
        <f>IF(OR(EXACT(Asistencia!H42,"A"),EXACT(Asistencia!H42,"R"),EXACT(Asistencia!H42,"DL"),EXACT(Asistencia!H42,"FL"),EXACT(Asistencia!H42,"FE"),EXACT(Asistencia!H42,"PCS"),EXACT(Asistencia!H42,"V")),1,0)</f>
        <v>0</v>
      </c>
      <c r="AL41">
        <f>IF(OR(EXACT(Asistencia!I42,"A"),EXACT(Asistencia!I42,"R"),EXACT(Asistencia!I42,"DL"),EXACT(Asistencia!I42,"FL"),EXACT(Asistencia!I42,"FE"),EXACT(Asistencia!I42,"PCS"),EXACT(Asistencia!I42,"V")),1,0)</f>
        <v>0</v>
      </c>
      <c r="AM41">
        <f>IF(OR(EXACT(Asistencia!J42,"A"),EXACT(Asistencia!J42,"R"),EXACT(Asistencia!J42,"DL"),EXACT(Asistencia!J42,"FL"),EXACT(Asistencia!J42,"FE"),EXACT(Asistencia!J42,"PCS"),EXACT(Asistencia!J42,"V")),1,0)</f>
        <v>0</v>
      </c>
      <c r="AN41">
        <f>IF(OR(EXACT(Asistencia!K42,"A"),EXACT(Asistencia!K42,"R"),EXACT(Asistencia!K42,"DL"),EXACT(Asistencia!K42,"FL"),EXACT(Asistencia!K42,"FE"),EXACT(Asistencia!K42,"PCS"),EXACT(Asistencia!K42,"V")),1,0)</f>
        <v>0</v>
      </c>
      <c r="AO41">
        <f>IF(OR(EXACT(Asistencia!L42,"A"),EXACT(Asistencia!L42,"R"),EXACT(Asistencia!L42,"DL"),EXACT(Asistencia!L42,"FL"),EXACT(Asistencia!L42,"FE"),EXACT(Asistencia!L42,"PCS"),EXACT(Asistencia!L42,"V")),1,0)</f>
        <v>0</v>
      </c>
      <c r="AP41">
        <f t="shared" si="20"/>
        <v>0</v>
      </c>
      <c r="AQ41">
        <f>IF(EXACT(Asistencia!F42,"FL"),1,0)</f>
        <v>0</v>
      </c>
      <c r="AR41">
        <f>IF(EXACT(Asistencia!G42,"FL"),1,0)</f>
        <v>0</v>
      </c>
      <c r="AS41">
        <f>IF(EXACT(Asistencia!H42,"FL"),1,0)</f>
        <v>0</v>
      </c>
      <c r="AT41">
        <f>IF(EXACT(Asistencia!I42,"FL"),1,0)</f>
        <v>0</v>
      </c>
      <c r="AU41">
        <f>IF(EXACT(Asistencia!J42,"FL"),1,0)</f>
        <v>0</v>
      </c>
      <c r="AV41">
        <f>IF(EXACT(Asistencia!K42,"FL"),1,0)</f>
        <v>0</v>
      </c>
      <c r="AW41">
        <f>IF(EXACT(Asistencia!L42,"FL"),1,0)</f>
        <v>0</v>
      </c>
      <c r="AX41">
        <f t="shared" si="21"/>
        <v>0</v>
      </c>
      <c r="AY41">
        <f>IF(EXACT(Asistencia!F42,"DL"),1,0)</f>
        <v>0</v>
      </c>
      <c r="AZ41">
        <f>IF(EXACT(Asistencia!G42,"DL"),1,0)</f>
        <v>0</v>
      </c>
      <c r="BA41">
        <f>IF(EXACT(Asistencia!H42,"DL"),1,0)</f>
        <v>0</v>
      </c>
      <c r="BB41">
        <f>IF(EXACT(Asistencia!I42,"DL"),1,0)</f>
        <v>0</v>
      </c>
      <c r="BC41">
        <f>IF(EXACT(Asistencia!J42,"DL"),1,0)</f>
        <v>0</v>
      </c>
      <c r="BD41">
        <f>IF(EXACT(Asistencia!K42,"DL"),1,0)</f>
        <v>0</v>
      </c>
      <c r="BE41">
        <f>IF(EXACT(Asistencia!L42,"DL"),1,0)</f>
        <v>0</v>
      </c>
      <c r="BF41">
        <f t="shared" si="22"/>
        <v>0</v>
      </c>
      <c r="BG41">
        <f>IF(ISNUMBER(Asistencia!M42),Asistencia!M42,0)</f>
        <v>0</v>
      </c>
      <c r="BH41">
        <f>IF(ISNUMBER(Asistencia!N42),Asistencia!N42,0)</f>
        <v>0</v>
      </c>
      <c r="BI41">
        <f>IF(ISNUMBER(Asistencia!O42),Asistencia!O42,0)</f>
        <v>0</v>
      </c>
      <c r="BJ41">
        <f>IF(ISNUMBER(Asistencia!P42),Asistencia!P42,0)</f>
        <v>0</v>
      </c>
      <c r="BK41" t="str">
        <f>IF(Asistencia!F42="","",Asistencia!F42)</f>
        <v/>
      </c>
      <c r="BL41" t="str">
        <f>IF(Asistencia!G42="","",Asistencia!G42)</f>
        <v/>
      </c>
      <c r="BM41" t="str">
        <f>IF(Asistencia!H42="","",Asistencia!H42)</f>
        <v/>
      </c>
      <c r="BN41" t="str">
        <f>IF(Asistencia!I42="","",Asistencia!I42)</f>
        <v/>
      </c>
      <c r="BO41" t="str">
        <f>IF(Asistencia!J42="","",Asistencia!J42)</f>
        <v/>
      </c>
      <c r="BP41" t="str">
        <f>IF(Asistencia!K42="","",Asistencia!K42)</f>
        <v/>
      </c>
      <c r="BQ41" t="str">
        <f>IF(Asistencia!L42="","",Asistencia!L42)</f>
        <v/>
      </c>
    </row>
    <row r="42" spans="1:69" ht="15.75" customHeight="1" x14ac:dyDescent="0.25">
      <c r="A42" s="46" t="str">
        <f t="shared" si="23"/>
        <v/>
      </c>
      <c r="B42" s="47" t="str">
        <f t="shared" si="24"/>
        <v/>
      </c>
      <c r="C42" s="47"/>
      <c r="D42" s="47"/>
      <c r="E42" s="46" t="str">
        <f t="shared" si="25"/>
        <v/>
      </c>
      <c r="F42" s="45" t="str">
        <f t="shared" si="26"/>
        <v/>
      </c>
      <c r="G42" s="44" t="str">
        <f t="shared" si="27"/>
        <v/>
      </c>
      <c r="H42" s="44" t="str">
        <f t="shared" si="28"/>
        <v/>
      </c>
      <c r="I42" s="44" t="str">
        <f t="shared" si="29"/>
        <v/>
      </c>
      <c r="J42" s="44" t="str">
        <f t="shared" si="30"/>
        <v/>
      </c>
      <c r="K42" s="44" t="str">
        <f t="shared" si="31"/>
        <v/>
      </c>
      <c r="L42" s="44" t="str">
        <f t="shared" si="32"/>
        <v/>
      </c>
      <c r="M42" s="43" t="str">
        <f t="shared" si="33"/>
        <v/>
      </c>
      <c r="N42" s="41" t="str">
        <f t="shared" si="34"/>
        <v/>
      </c>
      <c r="O42" s="41" t="str">
        <f t="shared" si="35"/>
        <v/>
      </c>
      <c r="P42" s="41" t="str">
        <f t="shared" si="36"/>
        <v/>
      </c>
      <c r="Q42" s="41" t="str">
        <f t="shared" si="37"/>
        <v/>
      </c>
      <c r="R42" s="41" t="str">
        <f t="shared" si="38"/>
        <v/>
      </c>
      <c r="S42" s="41"/>
      <c r="T42" s="48"/>
      <c r="U42" s="41" t="str">
        <f t="shared" si="39"/>
        <v/>
      </c>
      <c r="V42" s="41"/>
      <c r="W42" s="42" t="str">
        <f t="shared" si="40"/>
        <v/>
      </c>
      <c r="Y42" t="str">
        <f>IFERROR(MATCH(38,$AH$5:$AH$323,0),"")</f>
        <v/>
      </c>
      <c r="Z42" t="str">
        <f t="shared" si="41"/>
        <v/>
      </c>
      <c r="AA42" t="str">
        <f t="shared" si="19"/>
        <v/>
      </c>
      <c r="AB42" t="str">
        <f>IF(Asistencia!A43="","",Asistencia!A43)</f>
        <v/>
      </c>
      <c r="AC42" t="str">
        <f>IF(Asistencia!A43="","",SUBSTITUTE(SUBSTITUTE(SUBSTITUTE(SUBSTITUTE(SUBSTITUTE(SUBSTITUTE(SUBSTITUTE(UPPER(TRIM(Asistencia!A43)),"Á","A"),"É","E"),"Í","I"),"Ó","O"),"Ú","U"),"Ñ","N"),"  "," "))</f>
        <v/>
      </c>
      <c r="AD42" t="str">
        <f>IF(Asistencia!E43="","",Asistencia!E43)</f>
        <v/>
      </c>
      <c r="AE42" t="str">
        <f>IF(Asistencia!D43="","",UPPER(TRIM(Asistencia!D43)))</f>
        <v/>
      </c>
      <c r="AF42" t="s">
        <v>186</v>
      </c>
      <c r="AG42">
        <f>IF(AND(AA42&lt;&gt;"",COUNTIF($AA$5:AA42,AA42)=1),1,0)</f>
        <v>0</v>
      </c>
      <c r="AH42" t="str">
        <f>IF(AG42=1,SUM($AG$5:AG42),"")</f>
        <v/>
      </c>
      <c r="AI42">
        <f>IF(OR(EXACT(Asistencia!F43,"A"),EXACT(Asistencia!F43,"R"),EXACT(Asistencia!F43,"DL"),EXACT(Asistencia!F43,"FL"),EXACT(Asistencia!F43,"FE"),EXACT(Asistencia!F43,"PCS"),EXACT(Asistencia!F43,"V")),1,0)</f>
        <v>0</v>
      </c>
      <c r="AJ42">
        <f>IF(OR(EXACT(Asistencia!G43,"A"),EXACT(Asistencia!G43,"R"),EXACT(Asistencia!G43,"DL"),EXACT(Asistencia!G43,"FL"),EXACT(Asistencia!G43,"FE"),EXACT(Asistencia!G43,"PCS"),EXACT(Asistencia!G43,"V")),1,0)</f>
        <v>0</v>
      </c>
      <c r="AK42">
        <f>IF(OR(EXACT(Asistencia!H43,"A"),EXACT(Asistencia!H43,"R"),EXACT(Asistencia!H43,"DL"),EXACT(Asistencia!H43,"FL"),EXACT(Asistencia!H43,"FE"),EXACT(Asistencia!H43,"PCS"),EXACT(Asistencia!H43,"V")),1,0)</f>
        <v>0</v>
      </c>
      <c r="AL42">
        <f>IF(OR(EXACT(Asistencia!I43,"A"),EXACT(Asistencia!I43,"R"),EXACT(Asistencia!I43,"DL"),EXACT(Asistencia!I43,"FL"),EXACT(Asistencia!I43,"FE"),EXACT(Asistencia!I43,"PCS"),EXACT(Asistencia!I43,"V")),1,0)</f>
        <v>0</v>
      </c>
      <c r="AM42">
        <f>IF(OR(EXACT(Asistencia!J43,"A"),EXACT(Asistencia!J43,"R"),EXACT(Asistencia!J43,"DL"),EXACT(Asistencia!J43,"FL"),EXACT(Asistencia!J43,"FE"),EXACT(Asistencia!J43,"PCS"),EXACT(Asistencia!J43,"V")),1,0)</f>
        <v>0</v>
      </c>
      <c r="AN42">
        <f>IF(OR(EXACT(Asistencia!K43,"A"),EXACT(Asistencia!K43,"R"),EXACT(Asistencia!K43,"DL"),EXACT(Asistencia!K43,"FL"),EXACT(Asistencia!K43,"FE"),EXACT(Asistencia!K43,"PCS"),EXACT(Asistencia!K43,"V")),1,0)</f>
        <v>0</v>
      </c>
      <c r="AO42">
        <f>IF(OR(EXACT(Asistencia!L43,"A"),EXACT(Asistencia!L43,"R"),EXACT(Asistencia!L43,"DL"),EXACT(Asistencia!L43,"FL"),EXACT(Asistencia!L43,"FE"),EXACT(Asistencia!L43,"PCS"),EXACT(Asistencia!L43,"V")),1,0)</f>
        <v>0</v>
      </c>
      <c r="AP42">
        <f t="shared" si="20"/>
        <v>0</v>
      </c>
      <c r="AQ42">
        <f>IF(EXACT(Asistencia!F43,"FL"),1,0)</f>
        <v>0</v>
      </c>
      <c r="AR42">
        <f>IF(EXACT(Asistencia!G43,"FL"),1,0)</f>
        <v>0</v>
      </c>
      <c r="AS42">
        <f>IF(EXACT(Asistencia!H43,"FL"),1,0)</f>
        <v>0</v>
      </c>
      <c r="AT42">
        <f>IF(EXACT(Asistencia!I43,"FL"),1,0)</f>
        <v>0</v>
      </c>
      <c r="AU42">
        <f>IF(EXACT(Asistencia!J43,"FL"),1,0)</f>
        <v>0</v>
      </c>
      <c r="AV42">
        <f>IF(EXACT(Asistencia!K43,"FL"),1,0)</f>
        <v>0</v>
      </c>
      <c r="AW42">
        <f>IF(EXACT(Asistencia!L43,"FL"),1,0)</f>
        <v>0</v>
      </c>
      <c r="AX42">
        <f t="shared" si="21"/>
        <v>0</v>
      </c>
      <c r="AY42">
        <f>IF(EXACT(Asistencia!F43,"DL"),1,0)</f>
        <v>0</v>
      </c>
      <c r="AZ42">
        <f>IF(EXACT(Asistencia!G43,"DL"),1,0)</f>
        <v>0</v>
      </c>
      <c r="BA42">
        <f>IF(EXACT(Asistencia!H43,"DL"),1,0)</f>
        <v>0</v>
      </c>
      <c r="BB42">
        <f>IF(EXACT(Asistencia!I43,"DL"),1,0)</f>
        <v>0</v>
      </c>
      <c r="BC42">
        <f>IF(EXACT(Asistencia!J43,"DL"),1,0)</f>
        <v>0</v>
      </c>
      <c r="BD42">
        <f>IF(EXACT(Asistencia!K43,"DL"),1,0)</f>
        <v>0</v>
      </c>
      <c r="BE42">
        <f>IF(EXACT(Asistencia!L43,"DL"),1,0)</f>
        <v>0</v>
      </c>
      <c r="BF42">
        <f t="shared" si="22"/>
        <v>0</v>
      </c>
      <c r="BG42">
        <f>IF(ISNUMBER(Asistencia!M43),Asistencia!M43,0)</f>
        <v>0</v>
      </c>
      <c r="BH42">
        <f>IF(ISNUMBER(Asistencia!N43),Asistencia!N43,0)</f>
        <v>0</v>
      </c>
      <c r="BI42">
        <f>IF(ISNUMBER(Asistencia!O43),Asistencia!O43,0)</f>
        <v>0</v>
      </c>
      <c r="BJ42">
        <f>IF(ISNUMBER(Asistencia!P43),Asistencia!P43,0)</f>
        <v>0</v>
      </c>
      <c r="BK42" t="str">
        <f>IF(Asistencia!F43="","",Asistencia!F43)</f>
        <v/>
      </c>
      <c r="BL42" t="str">
        <f>IF(Asistencia!G43="","",Asistencia!G43)</f>
        <v/>
      </c>
      <c r="BM42" t="str">
        <f>IF(Asistencia!H43="","",Asistencia!H43)</f>
        <v/>
      </c>
      <c r="BN42" t="str">
        <f>IF(Asistencia!I43="","",Asistencia!I43)</f>
        <v/>
      </c>
      <c r="BO42" t="str">
        <f>IF(Asistencia!J43="","",Asistencia!J43)</f>
        <v/>
      </c>
      <c r="BP42" t="str">
        <f>IF(Asistencia!K43="","",Asistencia!K43)</f>
        <v/>
      </c>
      <c r="BQ42" t="str">
        <f>IF(Asistencia!L43="","",Asistencia!L43)</f>
        <v/>
      </c>
    </row>
    <row r="43" spans="1:69" ht="15.75" customHeight="1" x14ac:dyDescent="0.25">
      <c r="A43" s="46" t="str">
        <f t="shared" si="23"/>
        <v/>
      </c>
      <c r="B43" s="47" t="str">
        <f t="shared" si="24"/>
        <v/>
      </c>
      <c r="C43" s="47"/>
      <c r="D43" s="47"/>
      <c r="E43" s="46" t="str">
        <f t="shared" si="25"/>
        <v/>
      </c>
      <c r="F43" s="45" t="str">
        <f t="shared" si="26"/>
        <v/>
      </c>
      <c r="G43" s="44" t="str">
        <f t="shared" si="27"/>
        <v/>
      </c>
      <c r="H43" s="44" t="str">
        <f t="shared" si="28"/>
        <v/>
      </c>
      <c r="I43" s="44" t="str">
        <f t="shared" si="29"/>
        <v/>
      </c>
      <c r="J43" s="44" t="str">
        <f t="shared" si="30"/>
        <v/>
      </c>
      <c r="K43" s="44" t="str">
        <f t="shared" si="31"/>
        <v/>
      </c>
      <c r="L43" s="44" t="str">
        <f t="shared" si="32"/>
        <v/>
      </c>
      <c r="M43" s="43" t="str">
        <f t="shared" si="33"/>
        <v/>
      </c>
      <c r="N43" s="41" t="str">
        <f t="shared" si="34"/>
        <v/>
      </c>
      <c r="O43" s="41" t="str">
        <f t="shared" si="35"/>
        <v/>
      </c>
      <c r="P43" s="41" t="str">
        <f t="shared" si="36"/>
        <v/>
      </c>
      <c r="Q43" s="41" t="str">
        <f t="shared" si="37"/>
        <v/>
      </c>
      <c r="R43" s="41" t="str">
        <f t="shared" si="38"/>
        <v/>
      </c>
      <c r="S43" s="41"/>
      <c r="T43" s="48"/>
      <c r="U43" s="41" t="str">
        <f t="shared" si="39"/>
        <v/>
      </c>
      <c r="V43" s="41"/>
      <c r="W43" s="42" t="str">
        <f t="shared" si="40"/>
        <v/>
      </c>
      <c r="Y43" t="str">
        <f>IFERROR(MATCH(39,$AH$5:$AH$323,0),"")</f>
        <v/>
      </c>
      <c r="Z43" t="str">
        <f t="shared" si="41"/>
        <v/>
      </c>
      <c r="AA43" t="str">
        <f t="shared" si="19"/>
        <v/>
      </c>
      <c r="AB43" t="str">
        <f>IF(Asistencia!A44="","",Asistencia!A44)</f>
        <v/>
      </c>
      <c r="AC43" t="str">
        <f>IF(Asistencia!A44="","",SUBSTITUTE(SUBSTITUTE(SUBSTITUTE(SUBSTITUTE(SUBSTITUTE(SUBSTITUTE(SUBSTITUTE(UPPER(TRIM(Asistencia!A44)),"Á","A"),"É","E"),"Í","I"),"Ó","O"),"Ú","U"),"Ñ","N"),"  "," "))</f>
        <v/>
      </c>
      <c r="AD43" t="str">
        <f>IF(Asistencia!E44="","",Asistencia!E44)</f>
        <v/>
      </c>
      <c r="AE43" t="str">
        <f>IF(Asistencia!D44="","",UPPER(TRIM(Asistencia!D44)))</f>
        <v/>
      </c>
      <c r="AF43" t="s">
        <v>186</v>
      </c>
      <c r="AG43">
        <f>IF(AND(AA43&lt;&gt;"",COUNTIF($AA$5:AA43,AA43)=1),1,0)</f>
        <v>0</v>
      </c>
      <c r="AH43" t="str">
        <f>IF(AG43=1,SUM($AG$5:AG43),"")</f>
        <v/>
      </c>
      <c r="AI43">
        <f>IF(OR(EXACT(Asistencia!F44,"A"),EXACT(Asistencia!F44,"R"),EXACT(Asistencia!F44,"DL"),EXACT(Asistencia!F44,"FL"),EXACT(Asistencia!F44,"FE"),EXACT(Asistencia!F44,"PCS"),EXACT(Asistencia!F44,"V")),1,0)</f>
        <v>0</v>
      </c>
      <c r="AJ43">
        <f>IF(OR(EXACT(Asistencia!G44,"A"),EXACT(Asistencia!G44,"R"),EXACT(Asistencia!G44,"DL"),EXACT(Asistencia!G44,"FL"),EXACT(Asistencia!G44,"FE"),EXACT(Asistencia!G44,"PCS"),EXACT(Asistencia!G44,"V")),1,0)</f>
        <v>0</v>
      </c>
      <c r="AK43">
        <f>IF(OR(EXACT(Asistencia!H44,"A"),EXACT(Asistencia!H44,"R"),EXACT(Asistencia!H44,"DL"),EXACT(Asistencia!H44,"FL"),EXACT(Asistencia!H44,"FE"),EXACT(Asistencia!H44,"PCS"),EXACT(Asistencia!H44,"V")),1,0)</f>
        <v>0</v>
      </c>
      <c r="AL43">
        <f>IF(OR(EXACT(Asistencia!I44,"A"),EXACT(Asistencia!I44,"R"),EXACT(Asistencia!I44,"DL"),EXACT(Asistencia!I44,"FL"),EXACT(Asistencia!I44,"FE"),EXACT(Asistencia!I44,"PCS"),EXACT(Asistencia!I44,"V")),1,0)</f>
        <v>0</v>
      </c>
      <c r="AM43">
        <f>IF(OR(EXACT(Asistencia!J44,"A"),EXACT(Asistencia!J44,"R"),EXACT(Asistencia!J44,"DL"),EXACT(Asistencia!J44,"FL"),EXACT(Asistencia!J44,"FE"),EXACT(Asistencia!J44,"PCS"),EXACT(Asistencia!J44,"V")),1,0)</f>
        <v>0</v>
      </c>
      <c r="AN43">
        <f>IF(OR(EXACT(Asistencia!K44,"A"),EXACT(Asistencia!K44,"R"),EXACT(Asistencia!K44,"DL"),EXACT(Asistencia!K44,"FL"),EXACT(Asistencia!K44,"FE"),EXACT(Asistencia!K44,"PCS"),EXACT(Asistencia!K44,"V")),1,0)</f>
        <v>0</v>
      </c>
      <c r="AO43">
        <f>IF(OR(EXACT(Asistencia!L44,"A"),EXACT(Asistencia!L44,"R"),EXACT(Asistencia!L44,"DL"),EXACT(Asistencia!L44,"FL"),EXACT(Asistencia!L44,"FE"),EXACT(Asistencia!L44,"PCS"),EXACT(Asistencia!L44,"V")),1,0)</f>
        <v>0</v>
      </c>
      <c r="AP43">
        <f t="shared" si="20"/>
        <v>0</v>
      </c>
      <c r="AQ43">
        <f>IF(EXACT(Asistencia!F44,"FL"),1,0)</f>
        <v>0</v>
      </c>
      <c r="AR43">
        <f>IF(EXACT(Asistencia!G44,"FL"),1,0)</f>
        <v>0</v>
      </c>
      <c r="AS43">
        <f>IF(EXACT(Asistencia!H44,"FL"),1,0)</f>
        <v>0</v>
      </c>
      <c r="AT43">
        <f>IF(EXACT(Asistencia!I44,"FL"),1,0)</f>
        <v>0</v>
      </c>
      <c r="AU43">
        <f>IF(EXACT(Asistencia!J44,"FL"),1,0)</f>
        <v>0</v>
      </c>
      <c r="AV43">
        <f>IF(EXACT(Asistencia!K44,"FL"),1,0)</f>
        <v>0</v>
      </c>
      <c r="AW43">
        <f>IF(EXACT(Asistencia!L44,"FL"),1,0)</f>
        <v>0</v>
      </c>
      <c r="AX43">
        <f t="shared" si="21"/>
        <v>0</v>
      </c>
      <c r="AY43">
        <f>IF(EXACT(Asistencia!F44,"DL"),1,0)</f>
        <v>0</v>
      </c>
      <c r="AZ43">
        <f>IF(EXACT(Asistencia!G44,"DL"),1,0)</f>
        <v>0</v>
      </c>
      <c r="BA43">
        <f>IF(EXACT(Asistencia!H44,"DL"),1,0)</f>
        <v>0</v>
      </c>
      <c r="BB43">
        <f>IF(EXACT(Asistencia!I44,"DL"),1,0)</f>
        <v>0</v>
      </c>
      <c r="BC43">
        <f>IF(EXACT(Asistencia!J44,"DL"),1,0)</f>
        <v>0</v>
      </c>
      <c r="BD43">
        <f>IF(EXACT(Asistencia!K44,"DL"),1,0)</f>
        <v>0</v>
      </c>
      <c r="BE43">
        <f>IF(EXACT(Asistencia!L44,"DL"),1,0)</f>
        <v>0</v>
      </c>
      <c r="BF43">
        <f t="shared" si="22"/>
        <v>0</v>
      </c>
      <c r="BG43">
        <f>IF(ISNUMBER(Asistencia!M44),Asistencia!M44,0)</f>
        <v>0</v>
      </c>
      <c r="BH43">
        <f>IF(ISNUMBER(Asistencia!N44),Asistencia!N44,0)</f>
        <v>0</v>
      </c>
      <c r="BI43">
        <f>IF(ISNUMBER(Asistencia!O44),Asistencia!O44,0)</f>
        <v>0</v>
      </c>
      <c r="BJ43">
        <f>IF(ISNUMBER(Asistencia!P44),Asistencia!P44,0)</f>
        <v>0</v>
      </c>
      <c r="BK43" t="str">
        <f>IF(Asistencia!F44="","",Asistencia!F44)</f>
        <v/>
      </c>
      <c r="BL43" t="str">
        <f>IF(Asistencia!G44="","",Asistencia!G44)</f>
        <v/>
      </c>
      <c r="BM43" t="str">
        <f>IF(Asistencia!H44="","",Asistencia!H44)</f>
        <v/>
      </c>
      <c r="BN43" t="str">
        <f>IF(Asistencia!I44="","",Asistencia!I44)</f>
        <v/>
      </c>
      <c r="BO43" t="str">
        <f>IF(Asistencia!J44="","",Asistencia!J44)</f>
        <v/>
      </c>
      <c r="BP43" t="str">
        <f>IF(Asistencia!K44="","",Asistencia!K44)</f>
        <v/>
      </c>
      <c r="BQ43" t="str">
        <f>IF(Asistencia!L44="","",Asistencia!L44)</f>
        <v/>
      </c>
    </row>
    <row r="44" spans="1:69" ht="15.75" customHeight="1" x14ac:dyDescent="0.25">
      <c r="A44" s="46" t="str">
        <f t="shared" si="23"/>
        <v/>
      </c>
      <c r="B44" s="47" t="str">
        <f t="shared" si="24"/>
        <v/>
      </c>
      <c r="C44" s="47"/>
      <c r="D44" s="47"/>
      <c r="E44" s="46" t="str">
        <f t="shared" si="25"/>
        <v/>
      </c>
      <c r="F44" s="45" t="str">
        <f t="shared" si="26"/>
        <v/>
      </c>
      <c r="G44" s="44" t="str">
        <f t="shared" si="27"/>
        <v/>
      </c>
      <c r="H44" s="44" t="str">
        <f t="shared" si="28"/>
        <v/>
      </c>
      <c r="I44" s="44" t="str">
        <f t="shared" si="29"/>
        <v/>
      </c>
      <c r="J44" s="44" t="str">
        <f t="shared" si="30"/>
        <v/>
      </c>
      <c r="K44" s="44" t="str">
        <f t="shared" si="31"/>
        <v/>
      </c>
      <c r="L44" s="44" t="str">
        <f t="shared" si="32"/>
        <v/>
      </c>
      <c r="M44" s="43" t="str">
        <f t="shared" si="33"/>
        <v/>
      </c>
      <c r="N44" s="41" t="str">
        <f t="shared" si="34"/>
        <v/>
      </c>
      <c r="O44" s="41" t="str">
        <f t="shared" si="35"/>
        <v/>
      </c>
      <c r="P44" s="41" t="str">
        <f t="shared" si="36"/>
        <v/>
      </c>
      <c r="Q44" s="41" t="str">
        <f t="shared" si="37"/>
        <v/>
      </c>
      <c r="R44" s="41" t="str">
        <f t="shared" si="38"/>
        <v/>
      </c>
      <c r="S44" s="41"/>
      <c r="T44" s="48"/>
      <c r="U44" s="41" t="str">
        <f t="shared" si="39"/>
        <v/>
      </c>
      <c r="V44" s="41"/>
      <c r="W44" s="42" t="str">
        <f t="shared" si="40"/>
        <v/>
      </c>
      <c r="Y44" t="str">
        <f>IFERROR(MATCH(40,$AH$5:$AH$323,0),"")</f>
        <v/>
      </c>
      <c r="Z44" t="str">
        <f t="shared" si="41"/>
        <v/>
      </c>
      <c r="AA44" t="str">
        <f t="shared" si="19"/>
        <v/>
      </c>
      <c r="AB44" t="str">
        <f>IF(Asistencia!A45="","",Asistencia!A45)</f>
        <v/>
      </c>
      <c r="AC44" t="str">
        <f>IF(Asistencia!A45="","",SUBSTITUTE(SUBSTITUTE(SUBSTITUTE(SUBSTITUTE(SUBSTITUTE(SUBSTITUTE(SUBSTITUTE(UPPER(TRIM(Asistencia!A45)),"Á","A"),"É","E"),"Í","I"),"Ó","O"),"Ú","U"),"Ñ","N"),"  "," "))</f>
        <v/>
      </c>
      <c r="AD44" t="str">
        <f>IF(Asistencia!E45="","",Asistencia!E45)</f>
        <v/>
      </c>
      <c r="AE44" t="str">
        <f>IF(Asistencia!D45="","",UPPER(TRIM(Asistencia!D45)))</f>
        <v/>
      </c>
      <c r="AF44" t="s">
        <v>186</v>
      </c>
      <c r="AG44">
        <f>IF(AND(AA44&lt;&gt;"",COUNTIF($AA$5:AA44,AA44)=1),1,0)</f>
        <v>0</v>
      </c>
      <c r="AH44" t="str">
        <f>IF(AG44=1,SUM($AG$5:AG44),"")</f>
        <v/>
      </c>
      <c r="AI44">
        <f>IF(OR(EXACT(Asistencia!F45,"A"),EXACT(Asistencia!F45,"R"),EXACT(Asistencia!F45,"DL"),EXACT(Asistencia!F45,"FL"),EXACT(Asistencia!F45,"FE"),EXACT(Asistencia!F45,"PCS"),EXACT(Asistencia!F45,"V")),1,0)</f>
        <v>0</v>
      </c>
      <c r="AJ44">
        <f>IF(OR(EXACT(Asistencia!G45,"A"),EXACT(Asistencia!G45,"R"),EXACT(Asistencia!G45,"DL"),EXACT(Asistencia!G45,"FL"),EXACT(Asistencia!G45,"FE"),EXACT(Asistencia!G45,"PCS"),EXACT(Asistencia!G45,"V")),1,0)</f>
        <v>0</v>
      </c>
      <c r="AK44">
        <f>IF(OR(EXACT(Asistencia!H45,"A"),EXACT(Asistencia!H45,"R"),EXACT(Asistencia!H45,"DL"),EXACT(Asistencia!H45,"FL"),EXACT(Asistencia!H45,"FE"),EXACT(Asistencia!H45,"PCS"),EXACT(Asistencia!H45,"V")),1,0)</f>
        <v>0</v>
      </c>
      <c r="AL44">
        <f>IF(OR(EXACT(Asistencia!I45,"A"),EXACT(Asistencia!I45,"R"),EXACT(Asistencia!I45,"DL"),EXACT(Asistencia!I45,"FL"),EXACT(Asistencia!I45,"FE"),EXACT(Asistencia!I45,"PCS"),EXACT(Asistencia!I45,"V")),1,0)</f>
        <v>0</v>
      </c>
      <c r="AM44">
        <f>IF(OR(EXACT(Asistencia!J45,"A"),EXACT(Asistencia!J45,"R"),EXACT(Asistencia!J45,"DL"),EXACT(Asistencia!J45,"FL"),EXACT(Asistencia!J45,"FE"),EXACT(Asistencia!J45,"PCS"),EXACT(Asistencia!J45,"V")),1,0)</f>
        <v>0</v>
      </c>
      <c r="AN44">
        <f>IF(OR(EXACT(Asistencia!K45,"A"),EXACT(Asistencia!K45,"R"),EXACT(Asistencia!K45,"DL"),EXACT(Asistencia!K45,"FL"),EXACT(Asistencia!K45,"FE"),EXACT(Asistencia!K45,"PCS"),EXACT(Asistencia!K45,"V")),1,0)</f>
        <v>0</v>
      </c>
      <c r="AO44">
        <f>IF(OR(EXACT(Asistencia!L45,"A"),EXACT(Asistencia!L45,"R"),EXACT(Asistencia!L45,"DL"),EXACT(Asistencia!L45,"FL"),EXACT(Asistencia!L45,"FE"),EXACT(Asistencia!L45,"PCS"),EXACT(Asistencia!L45,"V")),1,0)</f>
        <v>0</v>
      </c>
      <c r="AP44">
        <f t="shared" si="20"/>
        <v>0</v>
      </c>
      <c r="AQ44">
        <f>IF(EXACT(Asistencia!F45,"FL"),1,0)</f>
        <v>0</v>
      </c>
      <c r="AR44">
        <f>IF(EXACT(Asistencia!G45,"FL"),1,0)</f>
        <v>0</v>
      </c>
      <c r="AS44">
        <f>IF(EXACT(Asistencia!H45,"FL"),1,0)</f>
        <v>0</v>
      </c>
      <c r="AT44">
        <f>IF(EXACT(Asistencia!I45,"FL"),1,0)</f>
        <v>0</v>
      </c>
      <c r="AU44">
        <f>IF(EXACT(Asistencia!J45,"FL"),1,0)</f>
        <v>0</v>
      </c>
      <c r="AV44">
        <f>IF(EXACT(Asistencia!K45,"FL"),1,0)</f>
        <v>0</v>
      </c>
      <c r="AW44">
        <f>IF(EXACT(Asistencia!L45,"FL"),1,0)</f>
        <v>0</v>
      </c>
      <c r="AX44">
        <f t="shared" si="21"/>
        <v>0</v>
      </c>
      <c r="AY44">
        <f>IF(EXACT(Asistencia!F45,"DL"),1,0)</f>
        <v>0</v>
      </c>
      <c r="AZ44">
        <f>IF(EXACT(Asistencia!G45,"DL"),1,0)</f>
        <v>0</v>
      </c>
      <c r="BA44">
        <f>IF(EXACT(Asistencia!H45,"DL"),1,0)</f>
        <v>0</v>
      </c>
      <c r="BB44">
        <f>IF(EXACT(Asistencia!I45,"DL"),1,0)</f>
        <v>0</v>
      </c>
      <c r="BC44">
        <f>IF(EXACT(Asistencia!J45,"DL"),1,0)</f>
        <v>0</v>
      </c>
      <c r="BD44">
        <f>IF(EXACT(Asistencia!K45,"DL"),1,0)</f>
        <v>0</v>
      </c>
      <c r="BE44">
        <f>IF(EXACT(Asistencia!L45,"DL"),1,0)</f>
        <v>0</v>
      </c>
      <c r="BF44">
        <f t="shared" si="22"/>
        <v>0</v>
      </c>
      <c r="BG44">
        <f>IF(ISNUMBER(Asistencia!M45),Asistencia!M45,0)</f>
        <v>0</v>
      </c>
      <c r="BH44">
        <f>IF(ISNUMBER(Asistencia!N45),Asistencia!N45,0)</f>
        <v>0</v>
      </c>
      <c r="BI44">
        <f>IF(ISNUMBER(Asistencia!O45),Asistencia!O45,0)</f>
        <v>0</v>
      </c>
      <c r="BJ44">
        <f>IF(ISNUMBER(Asistencia!P45),Asistencia!P45,0)</f>
        <v>0</v>
      </c>
      <c r="BK44" t="str">
        <f>IF(Asistencia!F45="","",Asistencia!F45)</f>
        <v/>
      </c>
      <c r="BL44" t="str">
        <f>IF(Asistencia!G45="","",Asistencia!G45)</f>
        <v/>
      </c>
      <c r="BM44" t="str">
        <f>IF(Asistencia!H45="","",Asistencia!H45)</f>
        <v/>
      </c>
      <c r="BN44" t="str">
        <f>IF(Asistencia!I45="","",Asistencia!I45)</f>
        <v/>
      </c>
      <c r="BO44" t="str">
        <f>IF(Asistencia!J45="","",Asistencia!J45)</f>
        <v/>
      </c>
      <c r="BP44" t="str">
        <f>IF(Asistencia!K45="","",Asistencia!K45)</f>
        <v/>
      </c>
      <c r="BQ44" t="str">
        <f>IF(Asistencia!L45="","",Asistencia!L45)</f>
        <v/>
      </c>
    </row>
    <row r="45" spans="1:69" ht="15.75" customHeight="1" x14ac:dyDescent="0.25">
      <c r="A45" s="46" t="str">
        <f t="shared" si="23"/>
        <v/>
      </c>
      <c r="B45" s="47" t="str">
        <f t="shared" si="24"/>
        <v/>
      </c>
      <c r="C45" s="47"/>
      <c r="D45" s="47"/>
      <c r="E45" s="46" t="str">
        <f t="shared" si="25"/>
        <v/>
      </c>
      <c r="F45" s="45" t="str">
        <f t="shared" si="26"/>
        <v/>
      </c>
      <c r="G45" s="44" t="str">
        <f t="shared" si="27"/>
        <v/>
      </c>
      <c r="H45" s="44" t="str">
        <f t="shared" si="28"/>
        <v/>
      </c>
      <c r="I45" s="44" t="str">
        <f t="shared" si="29"/>
        <v/>
      </c>
      <c r="J45" s="44" t="str">
        <f t="shared" si="30"/>
        <v/>
      </c>
      <c r="K45" s="44" t="str">
        <f t="shared" si="31"/>
        <v/>
      </c>
      <c r="L45" s="44" t="str">
        <f t="shared" si="32"/>
        <v/>
      </c>
      <c r="M45" s="43" t="str">
        <f t="shared" si="33"/>
        <v/>
      </c>
      <c r="N45" s="41" t="str">
        <f t="shared" si="34"/>
        <v/>
      </c>
      <c r="O45" s="41" t="str">
        <f t="shared" si="35"/>
        <v/>
      </c>
      <c r="P45" s="41" t="str">
        <f t="shared" si="36"/>
        <v/>
      </c>
      <c r="Q45" s="41" t="str">
        <f t="shared" si="37"/>
        <v/>
      </c>
      <c r="R45" s="41" t="str">
        <f t="shared" si="38"/>
        <v/>
      </c>
      <c r="S45" s="41"/>
      <c r="T45" s="48"/>
      <c r="U45" s="41" t="str">
        <f t="shared" si="39"/>
        <v/>
      </c>
      <c r="V45" s="41"/>
      <c r="W45" s="42" t="str">
        <f t="shared" si="40"/>
        <v/>
      </c>
      <c r="Y45" t="str">
        <f>IFERROR(MATCH(41,$AH$5:$AH$323,0),"")</f>
        <v/>
      </c>
      <c r="Z45" t="str">
        <f t="shared" si="41"/>
        <v/>
      </c>
      <c r="AA45" t="str">
        <f t="shared" si="19"/>
        <v/>
      </c>
      <c r="AB45" t="str">
        <f>IF(Asistencia!A48="","",Asistencia!A48)</f>
        <v/>
      </c>
      <c r="AC45" t="str">
        <f>IF(Asistencia!A48="","",SUBSTITUTE(SUBSTITUTE(SUBSTITUTE(SUBSTITUTE(SUBSTITUTE(SUBSTITUTE(SUBSTITUTE(UPPER(TRIM(Asistencia!A48)),"Á","A"),"É","E"),"Í","I"),"Ó","O"),"Ú","U"),"Ñ","N"),"  "," "))</f>
        <v/>
      </c>
      <c r="AD45" t="str">
        <f>IF(Asistencia!E48="","",Asistencia!E48)</f>
        <v/>
      </c>
      <c r="AE45" t="str">
        <f>IF(Asistencia!D48="","",UPPER(TRIM(Asistencia!D48)))</f>
        <v/>
      </c>
      <c r="AF45" t="s">
        <v>188</v>
      </c>
      <c r="AG45">
        <f>IF(AND(AA45&lt;&gt;"",COUNTIF($AA$5:AA45,AA45)=1),1,0)</f>
        <v>0</v>
      </c>
      <c r="AH45" t="str">
        <f>IF(AG45=1,SUM($AG$5:AG45),"")</f>
        <v/>
      </c>
      <c r="AI45">
        <f>IF(OR(EXACT(Asistencia!F48,"A"),EXACT(Asistencia!F48,"R"),EXACT(Asistencia!F48,"DL"),EXACT(Asistencia!F48,"FL"),EXACT(Asistencia!F48,"FE"),EXACT(Asistencia!F48,"PCS"),EXACT(Asistencia!F48,"V")),1,0)</f>
        <v>0</v>
      </c>
      <c r="AJ45">
        <f>IF(OR(EXACT(Asistencia!G48,"A"),EXACT(Asistencia!G48,"R"),EXACT(Asistencia!G48,"DL"),EXACT(Asistencia!G48,"FL"),EXACT(Asistencia!G48,"FE"),EXACT(Asistencia!G48,"PCS"),EXACT(Asistencia!G48,"V")),1,0)</f>
        <v>0</v>
      </c>
      <c r="AK45">
        <f>IF(OR(EXACT(Asistencia!H48,"A"),EXACT(Asistencia!H48,"R"),EXACT(Asistencia!H48,"DL"),EXACT(Asistencia!H48,"FL"),EXACT(Asistencia!H48,"FE"),EXACT(Asistencia!H48,"PCS"),EXACT(Asistencia!H48,"V")),1,0)</f>
        <v>0</v>
      </c>
      <c r="AL45">
        <f>IF(OR(EXACT(Asistencia!I48,"A"),EXACT(Asistencia!I48,"R"),EXACT(Asistencia!I48,"DL"),EXACT(Asistencia!I48,"FL"),EXACT(Asistencia!I48,"FE"),EXACT(Asistencia!I48,"PCS"),EXACT(Asistencia!I48,"V")),1,0)</f>
        <v>0</v>
      </c>
      <c r="AM45">
        <f>IF(OR(EXACT(Asistencia!J48,"A"),EXACT(Asistencia!J48,"R"),EXACT(Asistencia!J48,"DL"),EXACT(Asistencia!J48,"FL"),EXACT(Asistencia!J48,"FE"),EXACT(Asistencia!J48,"PCS"),EXACT(Asistencia!J48,"V")),1,0)</f>
        <v>0</v>
      </c>
      <c r="AN45">
        <f>IF(OR(EXACT(Asistencia!K48,"A"),EXACT(Asistencia!K48,"R"),EXACT(Asistencia!K48,"DL"),EXACT(Asistencia!K48,"FL"),EXACT(Asistencia!K48,"FE"),EXACT(Asistencia!K48,"PCS"),EXACT(Asistencia!K48,"V")),1,0)</f>
        <v>0</v>
      </c>
      <c r="AO45">
        <f>IF(OR(EXACT(Asistencia!L48,"A"),EXACT(Asistencia!L48,"R"),EXACT(Asistencia!L48,"DL"),EXACT(Asistencia!L48,"FL"),EXACT(Asistencia!L48,"FE"),EXACT(Asistencia!L48,"PCS"),EXACT(Asistencia!L48,"V")),1,0)</f>
        <v>0</v>
      </c>
      <c r="AP45">
        <f t="shared" si="20"/>
        <v>0</v>
      </c>
      <c r="AQ45">
        <f>IF(EXACT(Asistencia!F48,"FL"),1,0)</f>
        <v>0</v>
      </c>
      <c r="AR45">
        <f>IF(EXACT(Asistencia!G48,"FL"),1,0)</f>
        <v>0</v>
      </c>
      <c r="AS45">
        <f>IF(EXACT(Asistencia!H48,"FL"),1,0)</f>
        <v>0</v>
      </c>
      <c r="AT45">
        <f>IF(EXACT(Asistencia!I48,"FL"),1,0)</f>
        <v>0</v>
      </c>
      <c r="AU45">
        <f>IF(EXACT(Asistencia!J48,"FL"),1,0)</f>
        <v>0</v>
      </c>
      <c r="AV45">
        <f>IF(EXACT(Asistencia!K48,"FL"),1,0)</f>
        <v>0</v>
      </c>
      <c r="AW45">
        <f>IF(EXACT(Asistencia!L48,"FL"),1,0)</f>
        <v>0</v>
      </c>
      <c r="AX45">
        <f t="shared" si="21"/>
        <v>0</v>
      </c>
      <c r="AY45">
        <f>IF(EXACT(Asistencia!F48,"DL"),1,0)</f>
        <v>0</v>
      </c>
      <c r="AZ45">
        <f>IF(EXACT(Asistencia!G48,"DL"),1,0)</f>
        <v>0</v>
      </c>
      <c r="BA45">
        <f>IF(EXACT(Asistencia!H48,"DL"),1,0)</f>
        <v>0</v>
      </c>
      <c r="BB45">
        <f>IF(EXACT(Asistencia!I48,"DL"),1,0)</f>
        <v>0</v>
      </c>
      <c r="BC45">
        <f>IF(EXACT(Asistencia!J48,"DL"),1,0)</f>
        <v>0</v>
      </c>
      <c r="BD45">
        <f>IF(EXACT(Asistencia!K48,"DL"),1,0)</f>
        <v>0</v>
      </c>
      <c r="BE45">
        <f>IF(EXACT(Asistencia!L48,"DL"),1,0)</f>
        <v>0</v>
      </c>
      <c r="BF45">
        <f t="shared" si="22"/>
        <v>0</v>
      </c>
      <c r="BG45">
        <f>IF(ISNUMBER(Asistencia!M48),Asistencia!M48,0)</f>
        <v>0</v>
      </c>
      <c r="BH45">
        <f>IF(ISNUMBER(Asistencia!N48),Asistencia!N48,0)</f>
        <v>0</v>
      </c>
      <c r="BI45">
        <f>IF(ISNUMBER(Asistencia!O48),Asistencia!O48,0)</f>
        <v>0</v>
      </c>
      <c r="BJ45">
        <f>IF(ISNUMBER(Asistencia!P48),Asistencia!P48,0)</f>
        <v>0</v>
      </c>
      <c r="BK45" t="str">
        <f>IF(Asistencia!F48="","",Asistencia!F48)</f>
        <v/>
      </c>
      <c r="BL45" t="str">
        <f>IF(Asistencia!G48="","",Asistencia!G48)</f>
        <v/>
      </c>
      <c r="BM45" t="str">
        <f>IF(Asistencia!H48="","",Asistencia!H48)</f>
        <v/>
      </c>
      <c r="BN45" t="str">
        <f>IF(Asistencia!I48="","",Asistencia!I48)</f>
        <v/>
      </c>
      <c r="BO45" t="str">
        <f>IF(Asistencia!J48="","",Asistencia!J48)</f>
        <v/>
      </c>
      <c r="BP45" t="str">
        <f>IF(Asistencia!K48="","",Asistencia!K48)</f>
        <v/>
      </c>
      <c r="BQ45" t="str">
        <f>IF(Asistencia!L48="","",Asistencia!L48)</f>
        <v/>
      </c>
    </row>
    <row r="46" spans="1:69" ht="15.75" customHeight="1" x14ac:dyDescent="0.25">
      <c r="A46" s="46" t="str">
        <f t="shared" si="23"/>
        <v/>
      </c>
      <c r="B46" s="47" t="str">
        <f t="shared" si="24"/>
        <v/>
      </c>
      <c r="C46" s="47"/>
      <c r="D46" s="47"/>
      <c r="E46" s="46" t="str">
        <f t="shared" si="25"/>
        <v/>
      </c>
      <c r="F46" s="45" t="str">
        <f t="shared" si="26"/>
        <v/>
      </c>
      <c r="G46" s="44" t="str">
        <f t="shared" si="27"/>
        <v/>
      </c>
      <c r="H46" s="44" t="str">
        <f t="shared" si="28"/>
        <v/>
      </c>
      <c r="I46" s="44" t="str">
        <f t="shared" si="29"/>
        <v/>
      </c>
      <c r="J46" s="44" t="str">
        <f t="shared" si="30"/>
        <v/>
      </c>
      <c r="K46" s="44" t="str">
        <f t="shared" si="31"/>
        <v/>
      </c>
      <c r="L46" s="44" t="str">
        <f t="shared" si="32"/>
        <v/>
      </c>
      <c r="M46" s="43" t="str">
        <f t="shared" si="33"/>
        <v/>
      </c>
      <c r="N46" s="41" t="str">
        <f t="shared" si="34"/>
        <v/>
      </c>
      <c r="O46" s="41" t="str">
        <f t="shared" si="35"/>
        <v/>
      </c>
      <c r="P46" s="41" t="str">
        <f t="shared" si="36"/>
        <v/>
      </c>
      <c r="Q46" s="41" t="str">
        <f t="shared" si="37"/>
        <v/>
      </c>
      <c r="R46" s="41" t="str">
        <f t="shared" si="38"/>
        <v/>
      </c>
      <c r="S46" s="41"/>
      <c r="T46" s="48"/>
      <c r="U46" s="41" t="str">
        <f t="shared" si="39"/>
        <v/>
      </c>
      <c r="V46" s="41"/>
      <c r="W46" s="42" t="str">
        <f t="shared" si="40"/>
        <v/>
      </c>
      <c r="Y46" t="str">
        <f>IFERROR(MATCH(42,$AH$5:$AH$323,0),"")</f>
        <v/>
      </c>
      <c r="Z46" t="str">
        <f t="shared" si="41"/>
        <v/>
      </c>
      <c r="AA46" t="str">
        <f t="shared" si="19"/>
        <v/>
      </c>
      <c r="AB46" t="str">
        <f>IF(Asistencia!A49="","",Asistencia!A49)</f>
        <v/>
      </c>
      <c r="AC46" t="str">
        <f>IF(Asistencia!A49="","",SUBSTITUTE(SUBSTITUTE(SUBSTITUTE(SUBSTITUTE(SUBSTITUTE(SUBSTITUTE(SUBSTITUTE(UPPER(TRIM(Asistencia!A49)),"Á","A"),"É","E"),"Í","I"),"Ó","O"),"Ú","U"),"Ñ","N"),"  "," "))</f>
        <v/>
      </c>
      <c r="AD46" t="str">
        <f>IF(Asistencia!E49="","",Asistencia!E49)</f>
        <v/>
      </c>
      <c r="AE46" t="str">
        <f>IF(Asistencia!D49="","",UPPER(TRIM(Asistencia!D49)))</f>
        <v/>
      </c>
      <c r="AF46" t="s">
        <v>188</v>
      </c>
      <c r="AG46">
        <f>IF(AND(AA46&lt;&gt;"",COUNTIF($AA$5:AA46,AA46)=1),1,0)</f>
        <v>0</v>
      </c>
      <c r="AH46" t="str">
        <f>IF(AG46=1,SUM($AG$5:AG46),"")</f>
        <v/>
      </c>
      <c r="AI46">
        <f>IF(OR(EXACT(Asistencia!F49,"A"),EXACT(Asistencia!F49,"R"),EXACT(Asistencia!F49,"DL"),EXACT(Asistencia!F49,"FL"),EXACT(Asistencia!F49,"FE"),EXACT(Asistencia!F49,"PCS"),EXACT(Asistencia!F49,"V")),1,0)</f>
        <v>0</v>
      </c>
      <c r="AJ46">
        <f>IF(OR(EXACT(Asistencia!G49,"A"),EXACT(Asistencia!G49,"R"),EXACT(Asistencia!G49,"DL"),EXACT(Asistencia!G49,"FL"),EXACT(Asistencia!G49,"FE"),EXACT(Asistencia!G49,"PCS"),EXACT(Asistencia!G49,"V")),1,0)</f>
        <v>0</v>
      </c>
      <c r="AK46">
        <f>IF(OR(EXACT(Asistencia!H49,"A"),EXACT(Asistencia!H49,"R"),EXACT(Asistencia!H49,"DL"),EXACT(Asistencia!H49,"FL"),EXACT(Asistencia!H49,"FE"),EXACT(Asistencia!H49,"PCS"),EXACT(Asistencia!H49,"V")),1,0)</f>
        <v>0</v>
      </c>
      <c r="AL46">
        <f>IF(OR(EXACT(Asistencia!I49,"A"),EXACT(Asistencia!I49,"R"),EXACT(Asistencia!I49,"DL"),EXACT(Asistencia!I49,"FL"),EXACT(Asistencia!I49,"FE"),EXACT(Asistencia!I49,"PCS"),EXACT(Asistencia!I49,"V")),1,0)</f>
        <v>0</v>
      </c>
      <c r="AM46">
        <f>IF(OR(EXACT(Asistencia!J49,"A"),EXACT(Asistencia!J49,"R"),EXACT(Asistencia!J49,"DL"),EXACT(Asistencia!J49,"FL"),EXACT(Asistencia!J49,"FE"),EXACT(Asistencia!J49,"PCS"),EXACT(Asistencia!J49,"V")),1,0)</f>
        <v>0</v>
      </c>
      <c r="AN46">
        <f>IF(OR(EXACT(Asistencia!K49,"A"),EXACT(Asistencia!K49,"R"),EXACT(Asistencia!K49,"DL"),EXACT(Asistencia!K49,"FL"),EXACT(Asistencia!K49,"FE"),EXACT(Asistencia!K49,"PCS"),EXACT(Asistencia!K49,"V")),1,0)</f>
        <v>0</v>
      </c>
      <c r="AO46">
        <f>IF(OR(EXACT(Asistencia!L49,"A"),EXACT(Asistencia!L49,"R"),EXACT(Asistencia!L49,"DL"),EXACT(Asistencia!L49,"FL"),EXACT(Asistencia!L49,"FE"),EXACT(Asistencia!L49,"PCS"),EXACT(Asistencia!L49,"V")),1,0)</f>
        <v>0</v>
      </c>
      <c r="AP46">
        <f t="shared" si="20"/>
        <v>0</v>
      </c>
      <c r="AQ46">
        <f>IF(EXACT(Asistencia!F49,"FL"),1,0)</f>
        <v>0</v>
      </c>
      <c r="AR46">
        <f>IF(EXACT(Asistencia!G49,"FL"),1,0)</f>
        <v>0</v>
      </c>
      <c r="AS46">
        <f>IF(EXACT(Asistencia!H49,"FL"),1,0)</f>
        <v>0</v>
      </c>
      <c r="AT46">
        <f>IF(EXACT(Asistencia!I49,"FL"),1,0)</f>
        <v>0</v>
      </c>
      <c r="AU46">
        <f>IF(EXACT(Asistencia!J49,"FL"),1,0)</f>
        <v>0</v>
      </c>
      <c r="AV46">
        <f>IF(EXACT(Asistencia!K49,"FL"),1,0)</f>
        <v>0</v>
      </c>
      <c r="AW46">
        <f>IF(EXACT(Asistencia!L49,"FL"),1,0)</f>
        <v>0</v>
      </c>
      <c r="AX46">
        <f t="shared" si="21"/>
        <v>0</v>
      </c>
      <c r="AY46">
        <f>IF(EXACT(Asistencia!F49,"DL"),1,0)</f>
        <v>0</v>
      </c>
      <c r="AZ46">
        <f>IF(EXACT(Asistencia!G49,"DL"),1,0)</f>
        <v>0</v>
      </c>
      <c r="BA46">
        <f>IF(EXACT(Asistencia!H49,"DL"),1,0)</f>
        <v>0</v>
      </c>
      <c r="BB46">
        <f>IF(EXACT(Asistencia!I49,"DL"),1,0)</f>
        <v>0</v>
      </c>
      <c r="BC46">
        <f>IF(EXACT(Asistencia!J49,"DL"),1,0)</f>
        <v>0</v>
      </c>
      <c r="BD46">
        <f>IF(EXACT(Asistencia!K49,"DL"),1,0)</f>
        <v>0</v>
      </c>
      <c r="BE46">
        <f>IF(EXACT(Asistencia!L49,"DL"),1,0)</f>
        <v>0</v>
      </c>
      <c r="BF46">
        <f t="shared" si="22"/>
        <v>0</v>
      </c>
      <c r="BG46">
        <f>IF(ISNUMBER(Asistencia!M49),Asistencia!M49,0)</f>
        <v>0</v>
      </c>
      <c r="BH46">
        <f>IF(ISNUMBER(Asistencia!N49),Asistencia!N49,0)</f>
        <v>0</v>
      </c>
      <c r="BI46">
        <f>IF(ISNUMBER(Asistencia!O49),Asistencia!O49,0)</f>
        <v>0</v>
      </c>
      <c r="BJ46">
        <f>IF(ISNUMBER(Asistencia!P49),Asistencia!P49,0)</f>
        <v>0</v>
      </c>
      <c r="BK46" t="str">
        <f>IF(Asistencia!F49="","",Asistencia!F49)</f>
        <v/>
      </c>
      <c r="BL46" t="str">
        <f>IF(Asistencia!G49="","",Asistencia!G49)</f>
        <v/>
      </c>
      <c r="BM46" t="str">
        <f>IF(Asistencia!H49="","",Asistencia!H49)</f>
        <v/>
      </c>
      <c r="BN46" t="str">
        <f>IF(Asistencia!I49="","",Asistencia!I49)</f>
        <v/>
      </c>
      <c r="BO46" t="str">
        <f>IF(Asistencia!J49="","",Asistencia!J49)</f>
        <v/>
      </c>
      <c r="BP46" t="str">
        <f>IF(Asistencia!K49="","",Asistencia!K49)</f>
        <v/>
      </c>
      <c r="BQ46" t="str">
        <f>IF(Asistencia!L49="","",Asistencia!L49)</f>
        <v/>
      </c>
    </row>
    <row r="47" spans="1:69" ht="15.75" customHeight="1" x14ac:dyDescent="0.25">
      <c r="A47" s="46" t="str">
        <f t="shared" si="23"/>
        <v/>
      </c>
      <c r="B47" s="47" t="str">
        <f t="shared" si="24"/>
        <v/>
      </c>
      <c r="C47" s="47"/>
      <c r="D47" s="47"/>
      <c r="E47" s="46" t="str">
        <f t="shared" si="25"/>
        <v/>
      </c>
      <c r="F47" s="45" t="str">
        <f t="shared" si="26"/>
        <v/>
      </c>
      <c r="G47" s="44" t="str">
        <f t="shared" si="27"/>
        <v/>
      </c>
      <c r="H47" s="44" t="str">
        <f t="shared" si="28"/>
        <v/>
      </c>
      <c r="I47" s="44" t="str">
        <f t="shared" si="29"/>
        <v/>
      </c>
      <c r="J47" s="44" t="str">
        <f t="shared" si="30"/>
        <v/>
      </c>
      <c r="K47" s="44" t="str">
        <f t="shared" si="31"/>
        <v/>
      </c>
      <c r="L47" s="44" t="str">
        <f t="shared" si="32"/>
        <v/>
      </c>
      <c r="M47" s="43" t="str">
        <f t="shared" si="33"/>
        <v/>
      </c>
      <c r="N47" s="41" t="str">
        <f t="shared" si="34"/>
        <v/>
      </c>
      <c r="O47" s="41" t="str">
        <f t="shared" si="35"/>
        <v/>
      </c>
      <c r="P47" s="41" t="str">
        <f t="shared" si="36"/>
        <v/>
      </c>
      <c r="Q47" s="41" t="str">
        <f t="shared" si="37"/>
        <v/>
      </c>
      <c r="R47" s="41" t="str">
        <f t="shared" si="38"/>
        <v/>
      </c>
      <c r="S47" s="41"/>
      <c r="T47" s="48"/>
      <c r="U47" s="41" t="str">
        <f t="shared" si="39"/>
        <v/>
      </c>
      <c r="V47" s="41"/>
      <c r="W47" s="42" t="str">
        <f t="shared" si="40"/>
        <v/>
      </c>
      <c r="Y47" t="str">
        <f>IFERROR(MATCH(43,$AH$5:$AH$323,0),"")</f>
        <v/>
      </c>
      <c r="Z47" t="str">
        <f t="shared" si="41"/>
        <v/>
      </c>
      <c r="AA47" t="str">
        <f t="shared" si="19"/>
        <v/>
      </c>
      <c r="AB47" t="str">
        <f>IF(Asistencia!A50="","",Asistencia!A50)</f>
        <v/>
      </c>
      <c r="AC47" t="str">
        <f>IF(Asistencia!A50="","",SUBSTITUTE(SUBSTITUTE(SUBSTITUTE(SUBSTITUTE(SUBSTITUTE(SUBSTITUTE(SUBSTITUTE(UPPER(TRIM(Asistencia!A50)),"Á","A"),"É","E"),"Í","I"),"Ó","O"),"Ú","U"),"Ñ","N"),"  "," "))</f>
        <v/>
      </c>
      <c r="AD47" t="str">
        <f>IF(Asistencia!E50="","",Asistencia!E50)</f>
        <v/>
      </c>
      <c r="AE47" t="str">
        <f>IF(Asistencia!D50="","",UPPER(TRIM(Asistencia!D50)))</f>
        <v/>
      </c>
      <c r="AF47" t="s">
        <v>188</v>
      </c>
      <c r="AG47">
        <f>IF(AND(AA47&lt;&gt;"",COUNTIF($AA$5:AA47,AA47)=1),1,0)</f>
        <v>0</v>
      </c>
      <c r="AH47" t="str">
        <f>IF(AG47=1,SUM($AG$5:AG47),"")</f>
        <v/>
      </c>
      <c r="AI47">
        <f>IF(OR(EXACT(Asistencia!F50,"A"),EXACT(Asistencia!F50,"R"),EXACT(Asistencia!F50,"DL"),EXACT(Asistencia!F50,"FL"),EXACT(Asistencia!F50,"FE"),EXACT(Asistencia!F50,"PCS"),EXACT(Asistencia!F50,"V")),1,0)</f>
        <v>0</v>
      </c>
      <c r="AJ47">
        <f>IF(OR(EXACT(Asistencia!G50,"A"),EXACT(Asistencia!G50,"R"),EXACT(Asistencia!G50,"DL"),EXACT(Asistencia!G50,"FL"),EXACT(Asistencia!G50,"FE"),EXACT(Asistencia!G50,"PCS"),EXACT(Asistencia!G50,"V")),1,0)</f>
        <v>0</v>
      </c>
      <c r="AK47">
        <f>IF(OR(EXACT(Asistencia!H50,"A"),EXACT(Asistencia!H50,"R"),EXACT(Asistencia!H50,"DL"),EXACT(Asistencia!H50,"FL"),EXACT(Asistencia!H50,"FE"),EXACT(Asistencia!H50,"PCS"),EXACT(Asistencia!H50,"V")),1,0)</f>
        <v>0</v>
      </c>
      <c r="AL47">
        <f>IF(OR(EXACT(Asistencia!I50,"A"),EXACT(Asistencia!I50,"R"),EXACT(Asistencia!I50,"DL"),EXACT(Asistencia!I50,"FL"),EXACT(Asistencia!I50,"FE"),EXACT(Asistencia!I50,"PCS"),EXACT(Asistencia!I50,"V")),1,0)</f>
        <v>0</v>
      </c>
      <c r="AM47">
        <f>IF(OR(EXACT(Asistencia!J50,"A"),EXACT(Asistencia!J50,"R"),EXACT(Asistencia!J50,"DL"),EXACT(Asistencia!J50,"FL"),EXACT(Asistencia!J50,"FE"),EXACT(Asistencia!J50,"PCS"),EXACT(Asistencia!J50,"V")),1,0)</f>
        <v>0</v>
      </c>
      <c r="AN47">
        <f>IF(OR(EXACT(Asistencia!K50,"A"),EXACT(Asistencia!K50,"R"),EXACT(Asistencia!K50,"DL"),EXACT(Asistencia!K50,"FL"),EXACT(Asistencia!K50,"FE"),EXACT(Asistencia!K50,"PCS"),EXACT(Asistencia!K50,"V")),1,0)</f>
        <v>0</v>
      </c>
      <c r="AO47">
        <f>IF(OR(EXACT(Asistencia!L50,"A"),EXACT(Asistencia!L50,"R"),EXACT(Asistencia!L50,"DL"),EXACT(Asistencia!L50,"FL"),EXACT(Asistencia!L50,"FE"),EXACT(Asistencia!L50,"PCS"),EXACT(Asistencia!L50,"V")),1,0)</f>
        <v>0</v>
      </c>
      <c r="AP47">
        <f t="shared" si="20"/>
        <v>0</v>
      </c>
      <c r="AQ47">
        <f>IF(EXACT(Asistencia!F50,"FL"),1,0)</f>
        <v>0</v>
      </c>
      <c r="AR47">
        <f>IF(EXACT(Asistencia!G50,"FL"),1,0)</f>
        <v>0</v>
      </c>
      <c r="AS47">
        <f>IF(EXACT(Asistencia!H50,"FL"),1,0)</f>
        <v>0</v>
      </c>
      <c r="AT47">
        <f>IF(EXACT(Asistencia!I50,"FL"),1,0)</f>
        <v>0</v>
      </c>
      <c r="AU47">
        <f>IF(EXACT(Asistencia!J50,"FL"),1,0)</f>
        <v>0</v>
      </c>
      <c r="AV47">
        <f>IF(EXACT(Asistencia!K50,"FL"),1,0)</f>
        <v>0</v>
      </c>
      <c r="AW47">
        <f>IF(EXACT(Asistencia!L50,"FL"),1,0)</f>
        <v>0</v>
      </c>
      <c r="AX47">
        <f t="shared" si="21"/>
        <v>0</v>
      </c>
      <c r="AY47">
        <f>IF(EXACT(Asistencia!F50,"DL"),1,0)</f>
        <v>0</v>
      </c>
      <c r="AZ47">
        <f>IF(EXACT(Asistencia!G50,"DL"),1,0)</f>
        <v>0</v>
      </c>
      <c r="BA47">
        <f>IF(EXACT(Asistencia!H50,"DL"),1,0)</f>
        <v>0</v>
      </c>
      <c r="BB47">
        <f>IF(EXACT(Asistencia!I50,"DL"),1,0)</f>
        <v>0</v>
      </c>
      <c r="BC47">
        <f>IF(EXACT(Asistencia!J50,"DL"),1,0)</f>
        <v>0</v>
      </c>
      <c r="BD47">
        <f>IF(EXACT(Asistencia!K50,"DL"),1,0)</f>
        <v>0</v>
      </c>
      <c r="BE47">
        <f>IF(EXACT(Asistencia!L50,"DL"),1,0)</f>
        <v>0</v>
      </c>
      <c r="BF47">
        <f t="shared" si="22"/>
        <v>0</v>
      </c>
      <c r="BG47">
        <f>IF(ISNUMBER(Asistencia!M50),Asistencia!M50,0)</f>
        <v>0</v>
      </c>
      <c r="BH47">
        <f>IF(ISNUMBER(Asistencia!N50),Asistencia!N50,0)</f>
        <v>0</v>
      </c>
      <c r="BI47">
        <f>IF(ISNUMBER(Asistencia!O50),Asistencia!O50,0)</f>
        <v>0</v>
      </c>
      <c r="BJ47">
        <f>IF(ISNUMBER(Asistencia!P50),Asistencia!P50,0)</f>
        <v>0</v>
      </c>
      <c r="BK47" t="str">
        <f>IF(Asistencia!F50="","",Asistencia!F50)</f>
        <v/>
      </c>
      <c r="BL47" t="str">
        <f>IF(Asistencia!G50="","",Asistencia!G50)</f>
        <v/>
      </c>
      <c r="BM47" t="str">
        <f>IF(Asistencia!H50="","",Asistencia!H50)</f>
        <v/>
      </c>
      <c r="BN47" t="str">
        <f>IF(Asistencia!I50="","",Asistencia!I50)</f>
        <v/>
      </c>
      <c r="BO47" t="str">
        <f>IF(Asistencia!J50="","",Asistencia!J50)</f>
        <v/>
      </c>
      <c r="BP47" t="str">
        <f>IF(Asistencia!K50="","",Asistencia!K50)</f>
        <v/>
      </c>
      <c r="BQ47" t="str">
        <f>IF(Asistencia!L50="","",Asistencia!L50)</f>
        <v/>
      </c>
    </row>
    <row r="48" spans="1:69" ht="15.75" customHeight="1" x14ac:dyDescent="0.25">
      <c r="A48" s="46" t="str">
        <f t="shared" si="23"/>
        <v/>
      </c>
      <c r="B48" s="47" t="str">
        <f t="shared" si="24"/>
        <v/>
      </c>
      <c r="C48" s="47"/>
      <c r="D48" s="47"/>
      <c r="E48" s="46" t="str">
        <f t="shared" si="25"/>
        <v/>
      </c>
      <c r="F48" s="45" t="str">
        <f t="shared" si="26"/>
        <v/>
      </c>
      <c r="G48" s="44" t="str">
        <f t="shared" si="27"/>
        <v/>
      </c>
      <c r="H48" s="44" t="str">
        <f t="shared" si="28"/>
        <v/>
      </c>
      <c r="I48" s="44" t="str">
        <f t="shared" si="29"/>
        <v/>
      </c>
      <c r="J48" s="44" t="str">
        <f t="shared" si="30"/>
        <v/>
      </c>
      <c r="K48" s="44" t="str">
        <f t="shared" si="31"/>
        <v/>
      </c>
      <c r="L48" s="44" t="str">
        <f t="shared" si="32"/>
        <v/>
      </c>
      <c r="M48" s="43" t="str">
        <f t="shared" si="33"/>
        <v/>
      </c>
      <c r="N48" s="41" t="str">
        <f t="shared" si="34"/>
        <v/>
      </c>
      <c r="O48" s="41" t="str">
        <f t="shared" si="35"/>
        <v/>
      </c>
      <c r="P48" s="41" t="str">
        <f t="shared" si="36"/>
        <v/>
      </c>
      <c r="Q48" s="41" t="str">
        <f t="shared" si="37"/>
        <v/>
      </c>
      <c r="R48" s="41" t="str">
        <f t="shared" si="38"/>
        <v/>
      </c>
      <c r="S48" s="41"/>
      <c r="T48" s="48"/>
      <c r="U48" s="41" t="str">
        <f t="shared" si="39"/>
        <v/>
      </c>
      <c r="V48" s="41"/>
      <c r="W48" s="42" t="str">
        <f t="shared" si="40"/>
        <v/>
      </c>
      <c r="Y48" t="str">
        <f>IFERROR(MATCH(44,$AH$5:$AH$323,0),"")</f>
        <v/>
      </c>
      <c r="Z48" t="str">
        <f t="shared" si="41"/>
        <v/>
      </c>
      <c r="AA48" t="str">
        <f t="shared" si="19"/>
        <v/>
      </c>
      <c r="AB48" t="str">
        <f>IF(Asistencia!A51="","",Asistencia!A51)</f>
        <v/>
      </c>
      <c r="AC48" t="str">
        <f>IF(Asistencia!A51="","",SUBSTITUTE(SUBSTITUTE(SUBSTITUTE(SUBSTITUTE(SUBSTITUTE(SUBSTITUTE(SUBSTITUTE(UPPER(TRIM(Asistencia!A51)),"Á","A"),"É","E"),"Í","I"),"Ó","O"),"Ú","U"),"Ñ","N"),"  "," "))</f>
        <v/>
      </c>
      <c r="AD48" t="str">
        <f>IF(Asistencia!E51="","",Asistencia!E51)</f>
        <v/>
      </c>
      <c r="AE48" t="str">
        <f>IF(Asistencia!D51="","",UPPER(TRIM(Asistencia!D51)))</f>
        <v/>
      </c>
      <c r="AF48" t="s">
        <v>188</v>
      </c>
      <c r="AG48">
        <f>IF(AND(AA48&lt;&gt;"",COUNTIF($AA$5:AA48,AA48)=1),1,0)</f>
        <v>0</v>
      </c>
      <c r="AH48" t="str">
        <f>IF(AG48=1,SUM($AG$5:AG48),"")</f>
        <v/>
      </c>
      <c r="AI48">
        <f>IF(OR(EXACT(Asistencia!F51,"A"),EXACT(Asistencia!F51,"R"),EXACT(Asistencia!F51,"DL"),EXACT(Asistencia!F51,"FL"),EXACT(Asistencia!F51,"FE"),EXACT(Asistencia!F51,"PCS"),EXACT(Asistencia!F51,"V")),1,0)</f>
        <v>0</v>
      </c>
      <c r="AJ48">
        <f>IF(OR(EXACT(Asistencia!G51,"A"),EXACT(Asistencia!G51,"R"),EXACT(Asistencia!G51,"DL"),EXACT(Asistencia!G51,"FL"),EXACT(Asistencia!G51,"FE"),EXACT(Asistencia!G51,"PCS"),EXACT(Asistencia!G51,"V")),1,0)</f>
        <v>0</v>
      </c>
      <c r="AK48">
        <f>IF(OR(EXACT(Asistencia!H51,"A"),EXACT(Asistencia!H51,"R"),EXACT(Asistencia!H51,"DL"),EXACT(Asistencia!H51,"FL"),EXACT(Asistencia!H51,"FE"),EXACT(Asistencia!H51,"PCS"),EXACT(Asistencia!H51,"V")),1,0)</f>
        <v>0</v>
      </c>
      <c r="AL48">
        <f>IF(OR(EXACT(Asistencia!I51,"A"),EXACT(Asistencia!I51,"R"),EXACT(Asistencia!I51,"DL"),EXACT(Asistencia!I51,"FL"),EXACT(Asistencia!I51,"FE"),EXACT(Asistencia!I51,"PCS"),EXACT(Asistencia!I51,"V")),1,0)</f>
        <v>0</v>
      </c>
      <c r="AM48">
        <f>IF(OR(EXACT(Asistencia!J51,"A"),EXACT(Asistencia!J51,"R"),EXACT(Asistencia!J51,"DL"),EXACT(Asistencia!J51,"FL"),EXACT(Asistencia!J51,"FE"),EXACT(Asistencia!J51,"PCS"),EXACT(Asistencia!J51,"V")),1,0)</f>
        <v>0</v>
      </c>
      <c r="AN48">
        <f>IF(OR(EXACT(Asistencia!K51,"A"),EXACT(Asistencia!K51,"R"),EXACT(Asistencia!K51,"DL"),EXACT(Asistencia!K51,"FL"),EXACT(Asistencia!K51,"FE"),EXACT(Asistencia!K51,"PCS"),EXACT(Asistencia!K51,"V")),1,0)</f>
        <v>0</v>
      </c>
      <c r="AO48">
        <f>IF(OR(EXACT(Asistencia!L51,"A"),EXACT(Asistencia!L51,"R"),EXACT(Asistencia!L51,"DL"),EXACT(Asistencia!L51,"FL"),EXACT(Asistencia!L51,"FE"),EXACT(Asistencia!L51,"PCS"),EXACT(Asistencia!L51,"V")),1,0)</f>
        <v>0</v>
      </c>
      <c r="AP48">
        <f t="shared" si="20"/>
        <v>0</v>
      </c>
      <c r="AQ48">
        <f>IF(EXACT(Asistencia!F51,"FL"),1,0)</f>
        <v>0</v>
      </c>
      <c r="AR48">
        <f>IF(EXACT(Asistencia!G51,"FL"),1,0)</f>
        <v>0</v>
      </c>
      <c r="AS48">
        <f>IF(EXACT(Asistencia!H51,"FL"),1,0)</f>
        <v>0</v>
      </c>
      <c r="AT48">
        <f>IF(EXACT(Asistencia!I51,"FL"),1,0)</f>
        <v>0</v>
      </c>
      <c r="AU48">
        <f>IF(EXACT(Asistencia!J51,"FL"),1,0)</f>
        <v>0</v>
      </c>
      <c r="AV48">
        <f>IF(EXACT(Asistencia!K51,"FL"),1,0)</f>
        <v>0</v>
      </c>
      <c r="AW48">
        <f>IF(EXACT(Asistencia!L51,"FL"),1,0)</f>
        <v>0</v>
      </c>
      <c r="AX48">
        <f t="shared" si="21"/>
        <v>0</v>
      </c>
      <c r="AY48">
        <f>IF(EXACT(Asistencia!F51,"DL"),1,0)</f>
        <v>0</v>
      </c>
      <c r="AZ48">
        <f>IF(EXACT(Asistencia!G51,"DL"),1,0)</f>
        <v>0</v>
      </c>
      <c r="BA48">
        <f>IF(EXACT(Asistencia!H51,"DL"),1,0)</f>
        <v>0</v>
      </c>
      <c r="BB48">
        <f>IF(EXACT(Asistencia!I51,"DL"),1,0)</f>
        <v>0</v>
      </c>
      <c r="BC48">
        <f>IF(EXACT(Asistencia!J51,"DL"),1,0)</f>
        <v>0</v>
      </c>
      <c r="BD48">
        <f>IF(EXACT(Asistencia!K51,"DL"),1,0)</f>
        <v>0</v>
      </c>
      <c r="BE48">
        <f>IF(EXACT(Asistencia!L51,"DL"),1,0)</f>
        <v>0</v>
      </c>
      <c r="BF48">
        <f t="shared" si="22"/>
        <v>0</v>
      </c>
      <c r="BG48">
        <f>IF(ISNUMBER(Asistencia!M51),Asistencia!M51,0)</f>
        <v>0</v>
      </c>
      <c r="BH48">
        <f>IF(ISNUMBER(Asistencia!N51),Asistencia!N51,0)</f>
        <v>0</v>
      </c>
      <c r="BI48">
        <f>IF(ISNUMBER(Asistencia!O51),Asistencia!O51,0)</f>
        <v>0</v>
      </c>
      <c r="BJ48">
        <f>IF(ISNUMBER(Asistencia!P51),Asistencia!P51,0)</f>
        <v>0</v>
      </c>
      <c r="BK48" t="str">
        <f>IF(Asistencia!F51="","",Asistencia!F51)</f>
        <v/>
      </c>
      <c r="BL48" t="str">
        <f>IF(Asistencia!G51="","",Asistencia!G51)</f>
        <v/>
      </c>
      <c r="BM48" t="str">
        <f>IF(Asistencia!H51="","",Asistencia!H51)</f>
        <v/>
      </c>
      <c r="BN48" t="str">
        <f>IF(Asistencia!I51="","",Asistencia!I51)</f>
        <v/>
      </c>
      <c r="BO48" t="str">
        <f>IF(Asistencia!J51="","",Asistencia!J51)</f>
        <v/>
      </c>
      <c r="BP48" t="str">
        <f>IF(Asistencia!K51="","",Asistencia!K51)</f>
        <v/>
      </c>
      <c r="BQ48" t="str">
        <f>IF(Asistencia!L51="","",Asistencia!L51)</f>
        <v/>
      </c>
    </row>
    <row r="49" spans="1:69" ht="15.75" customHeight="1" x14ac:dyDescent="0.25">
      <c r="A49" s="46" t="str">
        <f t="shared" si="23"/>
        <v/>
      </c>
      <c r="B49" s="47" t="str">
        <f t="shared" si="24"/>
        <v/>
      </c>
      <c r="C49" s="47"/>
      <c r="D49" s="47"/>
      <c r="E49" s="46" t="str">
        <f t="shared" si="25"/>
        <v/>
      </c>
      <c r="F49" s="45" t="str">
        <f t="shared" si="26"/>
        <v/>
      </c>
      <c r="G49" s="44" t="str">
        <f t="shared" si="27"/>
        <v/>
      </c>
      <c r="H49" s="44" t="str">
        <f t="shared" si="28"/>
        <v/>
      </c>
      <c r="I49" s="44" t="str">
        <f t="shared" si="29"/>
        <v/>
      </c>
      <c r="J49" s="44" t="str">
        <f t="shared" si="30"/>
        <v/>
      </c>
      <c r="K49" s="44" t="str">
        <f t="shared" si="31"/>
        <v/>
      </c>
      <c r="L49" s="44" t="str">
        <f t="shared" si="32"/>
        <v/>
      </c>
      <c r="M49" s="43" t="str">
        <f t="shared" si="33"/>
        <v/>
      </c>
      <c r="N49" s="41" t="str">
        <f t="shared" si="34"/>
        <v/>
      </c>
      <c r="O49" s="41" t="str">
        <f t="shared" si="35"/>
        <v/>
      </c>
      <c r="P49" s="41" t="str">
        <f t="shared" si="36"/>
        <v/>
      </c>
      <c r="Q49" s="41" t="str">
        <f t="shared" si="37"/>
        <v/>
      </c>
      <c r="R49" s="41" t="str">
        <f t="shared" si="38"/>
        <v/>
      </c>
      <c r="S49" s="41"/>
      <c r="T49" s="48"/>
      <c r="U49" s="41" t="str">
        <f t="shared" si="39"/>
        <v/>
      </c>
      <c r="V49" s="41"/>
      <c r="W49" s="42" t="str">
        <f t="shared" si="40"/>
        <v/>
      </c>
      <c r="Y49" t="str">
        <f>IFERROR(MATCH(45,$AH$5:$AH$323,0),"")</f>
        <v/>
      </c>
      <c r="Z49" t="str">
        <f t="shared" si="41"/>
        <v/>
      </c>
      <c r="AA49" t="str">
        <f t="shared" si="19"/>
        <v/>
      </c>
      <c r="AB49" t="str">
        <f>IF(Asistencia!A52="","",Asistencia!A52)</f>
        <v/>
      </c>
      <c r="AC49" t="str">
        <f>IF(Asistencia!A52="","",SUBSTITUTE(SUBSTITUTE(SUBSTITUTE(SUBSTITUTE(SUBSTITUTE(SUBSTITUTE(SUBSTITUTE(UPPER(TRIM(Asistencia!A52)),"Á","A"),"É","E"),"Í","I"),"Ó","O"),"Ú","U"),"Ñ","N"),"  "," "))</f>
        <v/>
      </c>
      <c r="AD49" t="str">
        <f>IF(Asistencia!E52="","",Asistencia!E52)</f>
        <v/>
      </c>
      <c r="AE49" t="str">
        <f>IF(Asistencia!D52="","",UPPER(TRIM(Asistencia!D52)))</f>
        <v/>
      </c>
      <c r="AF49" t="s">
        <v>188</v>
      </c>
      <c r="AG49">
        <f>IF(AND(AA49&lt;&gt;"",COUNTIF($AA$5:AA49,AA49)=1),1,0)</f>
        <v>0</v>
      </c>
      <c r="AH49" t="str">
        <f>IF(AG49=1,SUM($AG$5:AG49),"")</f>
        <v/>
      </c>
      <c r="AI49">
        <f>IF(OR(EXACT(Asistencia!F52,"A"),EXACT(Asistencia!F52,"R"),EXACT(Asistencia!F52,"DL"),EXACT(Asistencia!F52,"FL"),EXACT(Asistencia!F52,"FE"),EXACT(Asistencia!F52,"PCS"),EXACT(Asistencia!F52,"V")),1,0)</f>
        <v>0</v>
      </c>
      <c r="AJ49">
        <f>IF(OR(EXACT(Asistencia!G52,"A"),EXACT(Asistencia!G52,"R"),EXACT(Asistencia!G52,"DL"),EXACT(Asistencia!G52,"FL"),EXACT(Asistencia!G52,"FE"),EXACT(Asistencia!G52,"PCS"),EXACT(Asistencia!G52,"V")),1,0)</f>
        <v>0</v>
      </c>
      <c r="AK49">
        <f>IF(OR(EXACT(Asistencia!H52,"A"),EXACT(Asistencia!H52,"R"),EXACT(Asistencia!H52,"DL"),EXACT(Asistencia!H52,"FL"),EXACT(Asistencia!H52,"FE"),EXACT(Asistencia!H52,"PCS"),EXACT(Asistencia!H52,"V")),1,0)</f>
        <v>0</v>
      </c>
      <c r="AL49">
        <f>IF(OR(EXACT(Asistencia!I52,"A"),EXACT(Asistencia!I52,"R"),EXACT(Asistencia!I52,"DL"),EXACT(Asistencia!I52,"FL"),EXACT(Asistencia!I52,"FE"),EXACT(Asistencia!I52,"PCS"),EXACT(Asistencia!I52,"V")),1,0)</f>
        <v>0</v>
      </c>
      <c r="AM49">
        <f>IF(OR(EXACT(Asistencia!J52,"A"),EXACT(Asistencia!J52,"R"),EXACT(Asistencia!J52,"DL"),EXACT(Asistencia!J52,"FL"),EXACT(Asistencia!J52,"FE"),EXACT(Asistencia!J52,"PCS"),EXACT(Asistencia!J52,"V")),1,0)</f>
        <v>0</v>
      </c>
      <c r="AN49">
        <f>IF(OR(EXACT(Asistencia!K52,"A"),EXACT(Asistencia!K52,"R"),EXACT(Asistencia!K52,"DL"),EXACT(Asistencia!K52,"FL"),EXACT(Asistencia!K52,"FE"),EXACT(Asistencia!K52,"PCS"),EXACT(Asistencia!K52,"V")),1,0)</f>
        <v>0</v>
      </c>
      <c r="AO49">
        <f>IF(OR(EXACT(Asistencia!L52,"A"),EXACT(Asistencia!L52,"R"),EXACT(Asistencia!L52,"DL"),EXACT(Asistencia!L52,"FL"),EXACT(Asistencia!L52,"FE"),EXACT(Asistencia!L52,"PCS"),EXACT(Asistencia!L52,"V")),1,0)</f>
        <v>0</v>
      </c>
      <c r="AP49">
        <f t="shared" si="20"/>
        <v>0</v>
      </c>
      <c r="AQ49">
        <f>IF(EXACT(Asistencia!F52,"FL"),1,0)</f>
        <v>0</v>
      </c>
      <c r="AR49">
        <f>IF(EXACT(Asistencia!G52,"FL"),1,0)</f>
        <v>0</v>
      </c>
      <c r="AS49">
        <f>IF(EXACT(Asistencia!H52,"FL"),1,0)</f>
        <v>0</v>
      </c>
      <c r="AT49">
        <f>IF(EXACT(Asistencia!I52,"FL"),1,0)</f>
        <v>0</v>
      </c>
      <c r="AU49">
        <f>IF(EXACT(Asistencia!J52,"FL"),1,0)</f>
        <v>0</v>
      </c>
      <c r="AV49">
        <f>IF(EXACT(Asistencia!K52,"FL"),1,0)</f>
        <v>0</v>
      </c>
      <c r="AW49">
        <f>IF(EXACT(Asistencia!L52,"FL"),1,0)</f>
        <v>0</v>
      </c>
      <c r="AX49">
        <f t="shared" si="21"/>
        <v>0</v>
      </c>
      <c r="AY49">
        <f>IF(EXACT(Asistencia!F52,"DL"),1,0)</f>
        <v>0</v>
      </c>
      <c r="AZ49">
        <f>IF(EXACT(Asistencia!G52,"DL"),1,0)</f>
        <v>0</v>
      </c>
      <c r="BA49">
        <f>IF(EXACT(Asistencia!H52,"DL"),1,0)</f>
        <v>0</v>
      </c>
      <c r="BB49">
        <f>IF(EXACT(Asistencia!I52,"DL"),1,0)</f>
        <v>0</v>
      </c>
      <c r="BC49">
        <f>IF(EXACT(Asistencia!J52,"DL"),1,0)</f>
        <v>0</v>
      </c>
      <c r="BD49">
        <f>IF(EXACT(Asistencia!K52,"DL"),1,0)</f>
        <v>0</v>
      </c>
      <c r="BE49">
        <f>IF(EXACT(Asistencia!L52,"DL"),1,0)</f>
        <v>0</v>
      </c>
      <c r="BF49">
        <f t="shared" si="22"/>
        <v>0</v>
      </c>
      <c r="BG49">
        <f>IF(ISNUMBER(Asistencia!M52),Asistencia!M52,0)</f>
        <v>0</v>
      </c>
      <c r="BH49">
        <f>IF(ISNUMBER(Asistencia!N52),Asistencia!N52,0)</f>
        <v>0</v>
      </c>
      <c r="BI49">
        <f>IF(ISNUMBER(Asistencia!O52),Asistencia!O52,0)</f>
        <v>0</v>
      </c>
      <c r="BJ49">
        <f>IF(ISNUMBER(Asistencia!P52),Asistencia!P52,0)</f>
        <v>0</v>
      </c>
      <c r="BK49" t="str">
        <f>IF(Asistencia!F52="","",Asistencia!F52)</f>
        <v/>
      </c>
      <c r="BL49" t="str">
        <f>IF(Asistencia!G52="","",Asistencia!G52)</f>
        <v/>
      </c>
      <c r="BM49" t="str">
        <f>IF(Asistencia!H52="","",Asistencia!H52)</f>
        <v/>
      </c>
      <c r="BN49" t="str">
        <f>IF(Asistencia!I52="","",Asistencia!I52)</f>
        <v/>
      </c>
      <c r="BO49" t="str">
        <f>IF(Asistencia!J52="","",Asistencia!J52)</f>
        <v/>
      </c>
      <c r="BP49" t="str">
        <f>IF(Asistencia!K52="","",Asistencia!K52)</f>
        <v/>
      </c>
      <c r="BQ49" t="str">
        <f>IF(Asistencia!L52="","",Asistencia!L52)</f>
        <v/>
      </c>
    </row>
    <row r="50" spans="1:69" ht="15.75" customHeight="1" x14ac:dyDescent="0.25">
      <c r="A50" s="46" t="str">
        <f t="shared" si="23"/>
        <v/>
      </c>
      <c r="B50" s="47" t="str">
        <f t="shared" si="24"/>
        <v/>
      </c>
      <c r="C50" s="47"/>
      <c r="D50" s="47"/>
      <c r="E50" s="46" t="str">
        <f t="shared" si="25"/>
        <v/>
      </c>
      <c r="F50" s="45" t="str">
        <f t="shared" si="26"/>
        <v/>
      </c>
      <c r="G50" s="44" t="str">
        <f t="shared" si="27"/>
        <v/>
      </c>
      <c r="H50" s="44" t="str">
        <f t="shared" si="28"/>
        <v/>
      </c>
      <c r="I50" s="44" t="str">
        <f t="shared" si="29"/>
        <v/>
      </c>
      <c r="J50" s="44" t="str">
        <f t="shared" si="30"/>
        <v/>
      </c>
      <c r="K50" s="44" t="str">
        <f t="shared" si="31"/>
        <v/>
      </c>
      <c r="L50" s="44" t="str">
        <f t="shared" si="32"/>
        <v/>
      </c>
      <c r="M50" s="43" t="str">
        <f t="shared" si="33"/>
        <v/>
      </c>
      <c r="N50" s="41" t="str">
        <f t="shared" si="34"/>
        <v/>
      </c>
      <c r="O50" s="41" t="str">
        <f t="shared" si="35"/>
        <v/>
      </c>
      <c r="P50" s="41" t="str">
        <f t="shared" si="36"/>
        <v/>
      </c>
      <c r="Q50" s="41" t="str">
        <f t="shared" si="37"/>
        <v/>
      </c>
      <c r="R50" s="41" t="str">
        <f t="shared" si="38"/>
        <v/>
      </c>
      <c r="S50" s="41"/>
      <c r="T50" s="48"/>
      <c r="U50" s="41" t="str">
        <f t="shared" si="39"/>
        <v/>
      </c>
      <c r="V50" s="41"/>
      <c r="W50" s="42" t="str">
        <f t="shared" si="40"/>
        <v/>
      </c>
      <c r="Y50" t="str">
        <f>IFERROR(MATCH(46,$AH$5:$AH$323,0),"")</f>
        <v/>
      </c>
      <c r="Z50" t="str">
        <f t="shared" si="41"/>
        <v/>
      </c>
      <c r="AA50" t="str">
        <f t="shared" si="19"/>
        <v/>
      </c>
      <c r="AB50" t="str">
        <f>IF(Asistencia!A53="","",Asistencia!A53)</f>
        <v/>
      </c>
      <c r="AC50" t="str">
        <f>IF(Asistencia!A53="","",SUBSTITUTE(SUBSTITUTE(SUBSTITUTE(SUBSTITUTE(SUBSTITUTE(SUBSTITUTE(SUBSTITUTE(UPPER(TRIM(Asistencia!A53)),"Á","A"),"É","E"),"Í","I"),"Ó","O"),"Ú","U"),"Ñ","N"),"  "," "))</f>
        <v/>
      </c>
      <c r="AD50" t="str">
        <f>IF(Asistencia!E53="","",Asistencia!E53)</f>
        <v/>
      </c>
      <c r="AE50" t="str">
        <f>IF(Asistencia!D53="","",UPPER(TRIM(Asistencia!D53)))</f>
        <v/>
      </c>
      <c r="AF50" t="s">
        <v>188</v>
      </c>
      <c r="AG50">
        <f>IF(AND(AA50&lt;&gt;"",COUNTIF($AA$5:AA50,AA50)=1),1,0)</f>
        <v>0</v>
      </c>
      <c r="AH50" t="str">
        <f>IF(AG50=1,SUM($AG$5:AG50),"")</f>
        <v/>
      </c>
      <c r="AI50">
        <f>IF(OR(EXACT(Asistencia!F53,"A"),EXACT(Asistencia!F53,"R"),EXACT(Asistencia!F53,"DL"),EXACT(Asistencia!F53,"FL"),EXACT(Asistencia!F53,"FE"),EXACT(Asistencia!F53,"PCS"),EXACT(Asistencia!F53,"V")),1,0)</f>
        <v>0</v>
      </c>
      <c r="AJ50">
        <f>IF(OR(EXACT(Asistencia!G53,"A"),EXACT(Asistencia!G53,"R"),EXACT(Asistencia!G53,"DL"),EXACT(Asistencia!G53,"FL"),EXACT(Asistencia!G53,"FE"),EXACT(Asistencia!G53,"PCS"),EXACT(Asistencia!G53,"V")),1,0)</f>
        <v>0</v>
      </c>
      <c r="AK50">
        <f>IF(OR(EXACT(Asistencia!H53,"A"),EXACT(Asistencia!H53,"R"),EXACT(Asistencia!H53,"DL"),EXACT(Asistencia!H53,"FL"),EXACT(Asistencia!H53,"FE"),EXACT(Asistencia!H53,"PCS"),EXACT(Asistencia!H53,"V")),1,0)</f>
        <v>0</v>
      </c>
      <c r="AL50">
        <f>IF(OR(EXACT(Asistencia!I53,"A"),EXACT(Asistencia!I53,"R"),EXACT(Asistencia!I53,"DL"),EXACT(Asistencia!I53,"FL"),EXACT(Asistencia!I53,"FE"),EXACT(Asistencia!I53,"PCS"),EXACT(Asistencia!I53,"V")),1,0)</f>
        <v>0</v>
      </c>
      <c r="AM50">
        <f>IF(OR(EXACT(Asistencia!J53,"A"),EXACT(Asistencia!J53,"R"),EXACT(Asistencia!J53,"DL"),EXACT(Asistencia!J53,"FL"),EXACT(Asistencia!J53,"FE"),EXACT(Asistencia!J53,"PCS"),EXACT(Asistencia!J53,"V")),1,0)</f>
        <v>0</v>
      </c>
      <c r="AN50">
        <f>IF(OR(EXACT(Asistencia!K53,"A"),EXACT(Asistencia!K53,"R"),EXACT(Asistencia!K53,"DL"),EXACT(Asistencia!K53,"FL"),EXACT(Asistencia!K53,"FE"),EXACT(Asistencia!K53,"PCS"),EXACT(Asistencia!K53,"V")),1,0)</f>
        <v>0</v>
      </c>
      <c r="AO50">
        <f>IF(OR(EXACT(Asistencia!L53,"A"),EXACT(Asistencia!L53,"R"),EXACT(Asistencia!L53,"DL"),EXACT(Asistencia!L53,"FL"),EXACT(Asistencia!L53,"FE"),EXACT(Asistencia!L53,"PCS"),EXACT(Asistencia!L53,"V")),1,0)</f>
        <v>0</v>
      </c>
      <c r="AP50">
        <f t="shared" si="20"/>
        <v>0</v>
      </c>
      <c r="AQ50">
        <f>IF(EXACT(Asistencia!F53,"FL"),1,0)</f>
        <v>0</v>
      </c>
      <c r="AR50">
        <f>IF(EXACT(Asistencia!G53,"FL"),1,0)</f>
        <v>0</v>
      </c>
      <c r="AS50">
        <f>IF(EXACT(Asistencia!H53,"FL"),1,0)</f>
        <v>0</v>
      </c>
      <c r="AT50">
        <f>IF(EXACT(Asistencia!I53,"FL"),1,0)</f>
        <v>0</v>
      </c>
      <c r="AU50">
        <f>IF(EXACT(Asistencia!J53,"FL"),1,0)</f>
        <v>0</v>
      </c>
      <c r="AV50">
        <f>IF(EXACT(Asistencia!K53,"FL"),1,0)</f>
        <v>0</v>
      </c>
      <c r="AW50">
        <f>IF(EXACT(Asistencia!L53,"FL"),1,0)</f>
        <v>0</v>
      </c>
      <c r="AX50">
        <f t="shared" si="21"/>
        <v>0</v>
      </c>
      <c r="AY50">
        <f>IF(EXACT(Asistencia!F53,"DL"),1,0)</f>
        <v>0</v>
      </c>
      <c r="AZ50">
        <f>IF(EXACT(Asistencia!G53,"DL"),1,0)</f>
        <v>0</v>
      </c>
      <c r="BA50">
        <f>IF(EXACT(Asistencia!H53,"DL"),1,0)</f>
        <v>0</v>
      </c>
      <c r="BB50">
        <f>IF(EXACT(Asistencia!I53,"DL"),1,0)</f>
        <v>0</v>
      </c>
      <c r="BC50">
        <f>IF(EXACT(Asistencia!J53,"DL"),1,0)</f>
        <v>0</v>
      </c>
      <c r="BD50">
        <f>IF(EXACT(Asistencia!K53,"DL"),1,0)</f>
        <v>0</v>
      </c>
      <c r="BE50">
        <f>IF(EXACT(Asistencia!L53,"DL"),1,0)</f>
        <v>0</v>
      </c>
      <c r="BF50">
        <f t="shared" si="22"/>
        <v>0</v>
      </c>
      <c r="BG50">
        <f>IF(ISNUMBER(Asistencia!M53),Asistencia!M53,0)</f>
        <v>0</v>
      </c>
      <c r="BH50">
        <f>IF(ISNUMBER(Asistencia!N53),Asistencia!N53,0)</f>
        <v>0</v>
      </c>
      <c r="BI50">
        <f>IF(ISNUMBER(Asistencia!O53),Asistencia!O53,0)</f>
        <v>0</v>
      </c>
      <c r="BJ50">
        <f>IF(ISNUMBER(Asistencia!P53),Asistencia!P53,0)</f>
        <v>0</v>
      </c>
      <c r="BK50" t="str">
        <f>IF(Asistencia!F53="","",Asistencia!F53)</f>
        <v/>
      </c>
      <c r="BL50" t="str">
        <f>IF(Asistencia!G53="","",Asistencia!G53)</f>
        <v/>
      </c>
      <c r="BM50" t="str">
        <f>IF(Asistencia!H53="","",Asistencia!H53)</f>
        <v/>
      </c>
      <c r="BN50" t="str">
        <f>IF(Asistencia!I53="","",Asistencia!I53)</f>
        <v/>
      </c>
      <c r="BO50" t="str">
        <f>IF(Asistencia!J53="","",Asistencia!J53)</f>
        <v/>
      </c>
      <c r="BP50" t="str">
        <f>IF(Asistencia!K53="","",Asistencia!K53)</f>
        <v/>
      </c>
      <c r="BQ50" t="str">
        <f>IF(Asistencia!L53="","",Asistencia!L53)</f>
        <v/>
      </c>
    </row>
    <row r="51" spans="1:69" ht="15.75" customHeight="1" x14ac:dyDescent="0.25">
      <c r="A51" s="46" t="str">
        <f t="shared" si="23"/>
        <v/>
      </c>
      <c r="B51" s="47" t="str">
        <f t="shared" si="24"/>
        <v/>
      </c>
      <c r="C51" s="47"/>
      <c r="D51" s="47"/>
      <c r="E51" s="46" t="str">
        <f t="shared" si="25"/>
        <v/>
      </c>
      <c r="F51" s="45" t="str">
        <f t="shared" si="26"/>
        <v/>
      </c>
      <c r="G51" s="44" t="str">
        <f t="shared" si="27"/>
        <v/>
      </c>
      <c r="H51" s="44" t="str">
        <f t="shared" si="28"/>
        <v/>
      </c>
      <c r="I51" s="44" t="str">
        <f t="shared" si="29"/>
        <v/>
      </c>
      <c r="J51" s="44" t="str">
        <f t="shared" si="30"/>
        <v/>
      </c>
      <c r="K51" s="44" t="str">
        <f t="shared" si="31"/>
        <v/>
      </c>
      <c r="L51" s="44" t="str">
        <f t="shared" si="32"/>
        <v/>
      </c>
      <c r="M51" s="43" t="str">
        <f t="shared" si="33"/>
        <v/>
      </c>
      <c r="N51" s="41" t="str">
        <f t="shared" si="34"/>
        <v/>
      </c>
      <c r="O51" s="41" t="str">
        <f t="shared" si="35"/>
        <v/>
      </c>
      <c r="P51" s="41" t="str">
        <f t="shared" si="36"/>
        <v/>
      </c>
      <c r="Q51" s="41" t="str">
        <f t="shared" si="37"/>
        <v/>
      </c>
      <c r="R51" s="41" t="str">
        <f t="shared" si="38"/>
        <v/>
      </c>
      <c r="S51" s="41"/>
      <c r="T51" s="48"/>
      <c r="U51" s="41" t="str">
        <f t="shared" si="39"/>
        <v/>
      </c>
      <c r="V51" s="41"/>
      <c r="W51" s="42" t="str">
        <f t="shared" si="40"/>
        <v/>
      </c>
      <c r="Y51" t="str">
        <f>IFERROR(MATCH(47,$AH$5:$AH$323,0),"")</f>
        <v/>
      </c>
      <c r="Z51" t="str">
        <f t="shared" si="41"/>
        <v/>
      </c>
      <c r="AA51" t="str">
        <f t="shared" si="19"/>
        <v/>
      </c>
      <c r="AB51" t="str">
        <f>IF(Asistencia!A54="","",Asistencia!A54)</f>
        <v/>
      </c>
      <c r="AC51" t="str">
        <f>IF(Asistencia!A54="","",SUBSTITUTE(SUBSTITUTE(SUBSTITUTE(SUBSTITUTE(SUBSTITUTE(SUBSTITUTE(SUBSTITUTE(UPPER(TRIM(Asistencia!A54)),"Á","A"),"É","E"),"Í","I"),"Ó","O"),"Ú","U"),"Ñ","N"),"  "," "))</f>
        <v/>
      </c>
      <c r="AD51" t="str">
        <f>IF(Asistencia!E54="","",Asistencia!E54)</f>
        <v/>
      </c>
      <c r="AE51" t="str">
        <f>IF(Asistencia!D54="","",UPPER(TRIM(Asistencia!D54)))</f>
        <v/>
      </c>
      <c r="AF51" t="s">
        <v>188</v>
      </c>
      <c r="AG51">
        <f>IF(AND(AA51&lt;&gt;"",COUNTIF($AA$5:AA51,AA51)=1),1,0)</f>
        <v>0</v>
      </c>
      <c r="AH51" t="str">
        <f>IF(AG51=1,SUM($AG$5:AG51),"")</f>
        <v/>
      </c>
      <c r="AI51">
        <f>IF(OR(EXACT(Asistencia!F54,"A"),EXACT(Asistencia!F54,"R"),EXACT(Asistencia!F54,"DL"),EXACT(Asistencia!F54,"FL"),EXACT(Asistencia!F54,"FE"),EXACT(Asistencia!F54,"PCS"),EXACT(Asistencia!F54,"V")),1,0)</f>
        <v>0</v>
      </c>
      <c r="AJ51">
        <f>IF(OR(EXACT(Asistencia!G54,"A"),EXACT(Asistencia!G54,"R"),EXACT(Asistencia!G54,"DL"),EXACT(Asistencia!G54,"FL"),EXACT(Asistencia!G54,"FE"),EXACT(Asistencia!G54,"PCS"),EXACT(Asistencia!G54,"V")),1,0)</f>
        <v>0</v>
      </c>
      <c r="AK51">
        <f>IF(OR(EXACT(Asistencia!H54,"A"),EXACT(Asistencia!H54,"R"),EXACT(Asistencia!H54,"DL"),EXACT(Asistencia!H54,"FL"),EXACT(Asistencia!H54,"FE"),EXACT(Asistencia!H54,"PCS"),EXACT(Asistencia!H54,"V")),1,0)</f>
        <v>0</v>
      </c>
      <c r="AL51">
        <f>IF(OR(EXACT(Asistencia!I54,"A"),EXACT(Asistencia!I54,"R"),EXACT(Asistencia!I54,"DL"),EXACT(Asistencia!I54,"FL"),EXACT(Asistencia!I54,"FE"),EXACT(Asistencia!I54,"PCS"),EXACT(Asistencia!I54,"V")),1,0)</f>
        <v>0</v>
      </c>
      <c r="AM51">
        <f>IF(OR(EXACT(Asistencia!J54,"A"),EXACT(Asistencia!J54,"R"),EXACT(Asistencia!J54,"DL"),EXACT(Asistencia!J54,"FL"),EXACT(Asistencia!J54,"FE"),EXACT(Asistencia!J54,"PCS"),EXACT(Asistencia!J54,"V")),1,0)</f>
        <v>0</v>
      </c>
      <c r="AN51">
        <f>IF(OR(EXACT(Asistencia!K54,"A"),EXACT(Asistencia!K54,"R"),EXACT(Asistencia!K54,"DL"),EXACT(Asistencia!K54,"FL"),EXACT(Asistencia!K54,"FE"),EXACT(Asistencia!K54,"PCS"),EXACT(Asistencia!K54,"V")),1,0)</f>
        <v>0</v>
      </c>
      <c r="AO51">
        <f>IF(OR(EXACT(Asistencia!L54,"A"),EXACT(Asistencia!L54,"R"),EXACT(Asistencia!L54,"DL"),EXACT(Asistencia!L54,"FL"),EXACT(Asistencia!L54,"FE"),EXACT(Asistencia!L54,"PCS"),EXACT(Asistencia!L54,"V")),1,0)</f>
        <v>0</v>
      </c>
      <c r="AP51">
        <f t="shared" si="20"/>
        <v>0</v>
      </c>
      <c r="AQ51">
        <f>IF(EXACT(Asistencia!F54,"FL"),1,0)</f>
        <v>0</v>
      </c>
      <c r="AR51">
        <f>IF(EXACT(Asistencia!G54,"FL"),1,0)</f>
        <v>0</v>
      </c>
      <c r="AS51">
        <f>IF(EXACT(Asistencia!H54,"FL"),1,0)</f>
        <v>0</v>
      </c>
      <c r="AT51">
        <f>IF(EXACT(Asistencia!I54,"FL"),1,0)</f>
        <v>0</v>
      </c>
      <c r="AU51">
        <f>IF(EXACT(Asistencia!J54,"FL"),1,0)</f>
        <v>0</v>
      </c>
      <c r="AV51">
        <f>IF(EXACT(Asistencia!K54,"FL"),1,0)</f>
        <v>0</v>
      </c>
      <c r="AW51">
        <f>IF(EXACT(Asistencia!L54,"FL"),1,0)</f>
        <v>0</v>
      </c>
      <c r="AX51">
        <f t="shared" si="21"/>
        <v>0</v>
      </c>
      <c r="AY51">
        <f>IF(EXACT(Asistencia!F54,"DL"),1,0)</f>
        <v>0</v>
      </c>
      <c r="AZ51">
        <f>IF(EXACT(Asistencia!G54,"DL"),1,0)</f>
        <v>0</v>
      </c>
      <c r="BA51">
        <f>IF(EXACT(Asistencia!H54,"DL"),1,0)</f>
        <v>0</v>
      </c>
      <c r="BB51">
        <f>IF(EXACT(Asistencia!I54,"DL"),1,0)</f>
        <v>0</v>
      </c>
      <c r="BC51">
        <f>IF(EXACT(Asistencia!J54,"DL"),1,0)</f>
        <v>0</v>
      </c>
      <c r="BD51">
        <f>IF(EXACT(Asistencia!K54,"DL"),1,0)</f>
        <v>0</v>
      </c>
      <c r="BE51">
        <f>IF(EXACT(Asistencia!L54,"DL"),1,0)</f>
        <v>0</v>
      </c>
      <c r="BF51">
        <f t="shared" si="22"/>
        <v>0</v>
      </c>
      <c r="BG51">
        <f>IF(ISNUMBER(Asistencia!M54),Asistencia!M54,0)</f>
        <v>0</v>
      </c>
      <c r="BH51">
        <f>IF(ISNUMBER(Asistencia!N54),Asistencia!N54,0)</f>
        <v>0</v>
      </c>
      <c r="BI51">
        <f>IF(ISNUMBER(Asistencia!O54),Asistencia!O54,0)</f>
        <v>0</v>
      </c>
      <c r="BJ51">
        <f>IF(ISNUMBER(Asistencia!P54),Asistencia!P54,0)</f>
        <v>0</v>
      </c>
      <c r="BK51" t="str">
        <f>IF(Asistencia!F54="","",Asistencia!F54)</f>
        <v/>
      </c>
      <c r="BL51" t="str">
        <f>IF(Asistencia!G54="","",Asistencia!G54)</f>
        <v/>
      </c>
      <c r="BM51" t="str">
        <f>IF(Asistencia!H54="","",Asistencia!H54)</f>
        <v/>
      </c>
      <c r="BN51" t="str">
        <f>IF(Asistencia!I54="","",Asistencia!I54)</f>
        <v/>
      </c>
      <c r="BO51" t="str">
        <f>IF(Asistencia!J54="","",Asistencia!J54)</f>
        <v/>
      </c>
      <c r="BP51" t="str">
        <f>IF(Asistencia!K54="","",Asistencia!K54)</f>
        <v/>
      </c>
      <c r="BQ51" t="str">
        <f>IF(Asistencia!L54="","",Asistencia!L54)</f>
        <v/>
      </c>
    </row>
    <row r="52" spans="1:69" ht="15.75" customHeight="1" x14ac:dyDescent="0.25">
      <c r="A52" s="46" t="str">
        <f t="shared" si="23"/>
        <v/>
      </c>
      <c r="B52" s="47" t="str">
        <f t="shared" si="24"/>
        <v/>
      </c>
      <c r="C52" s="47"/>
      <c r="D52" s="47"/>
      <c r="E52" s="46" t="str">
        <f t="shared" si="25"/>
        <v/>
      </c>
      <c r="F52" s="45" t="str">
        <f t="shared" si="26"/>
        <v/>
      </c>
      <c r="G52" s="44" t="str">
        <f t="shared" si="27"/>
        <v/>
      </c>
      <c r="H52" s="44" t="str">
        <f t="shared" si="28"/>
        <v/>
      </c>
      <c r="I52" s="44" t="str">
        <f t="shared" si="29"/>
        <v/>
      </c>
      <c r="J52" s="44" t="str">
        <f t="shared" si="30"/>
        <v/>
      </c>
      <c r="K52" s="44" t="str">
        <f t="shared" si="31"/>
        <v/>
      </c>
      <c r="L52" s="44" t="str">
        <f t="shared" si="32"/>
        <v/>
      </c>
      <c r="M52" s="43" t="str">
        <f t="shared" si="33"/>
        <v/>
      </c>
      <c r="N52" s="41" t="str">
        <f t="shared" si="34"/>
        <v/>
      </c>
      <c r="O52" s="41" t="str">
        <f t="shared" si="35"/>
        <v/>
      </c>
      <c r="P52" s="41" t="str">
        <f t="shared" si="36"/>
        <v/>
      </c>
      <c r="Q52" s="41" t="str">
        <f t="shared" si="37"/>
        <v/>
      </c>
      <c r="R52" s="41" t="str">
        <f t="shared" si="38"/>
        <v/>
      </c>
      <c r="S52" s="41"/>
      <c r="T52" s="48"/>
      <c r="U52" s="41" t="str">
        <f t="shared" si="39"/>
        <v/>
      </c>
      <c r="V52" s="41"/>
      <c r="W52" s="42" t="str">
        <f t="shared" si="40"/>
        <v/>
      </c>
      <c r="Y52" t="str">
        <f>IFERROR(MATCH(48,$AH$5:$AH$323,0),"")</f>
        <v/>
      </c>
      <c r="Z52" t="str">
        <f t="shared" si="41"/>
        <v/>
      </c>
      <c r="AA52" t="str">
        <f t="shared" si="19"/>
        <v/>
      </c>
      <c r="AB52" t="str">
        <f>IF(Asistencia!A55="","",Asistencia!A55)</f>
        <v/>
      </c>
      <c r="AC52" t="str">
        <f>IF(Asistencia!A55="","",SUBSTITUTE(SUBSTITUTE(SUBSTITUTE(SUBSTITUTE(SUBSTITUTE(SUBSTITUTE(SUBSTITUTE(UPPER(TRIM(Asistencia!A55)),"Á","A"),"É","E"),"Í","I"),"Ó","O"),"Ú","U"),"Ñ","N"),"  "," "))</f>
        <v/>
      </c>
      <c r="AD52" t="str">
        <f>IF(Asistencia!E55="","",Asistencia!E55)</f>
        <v/>
      </c>
      <c r="AE52" t="str">
        <f>IF(Asistencia!D55="","",UPPER(TRIM(Asistencia!D55)))</f>
        <v/>
      </c>
      <c r="AF52" t="s">
        <v>188</v>
      </c>
      <c r="AG52">
        <f>IF(AND(AA52&lt;&gt;"",COUNTIF($AA$5:AA52,AA52)=1),1,0)</f>
        <v>0</v>
      </c>
      <c r="AH52" t="str">
        <f>IF(AG52=1,SUM($AG$5:AG52),"")</f>
        <v/>
      </c>
      <c r="AI52">
        <f>IF(OR(EXACT(Asistencia!F55,"A"),EXACT(Asistencia!F55,"R"),EXACT(Asistencia!F55,"DL"),EXACT(Asistencia!F55,"FL"),EXACT(Asistencia!F55,"FE"),EXACT(Asistencia!F55,"PCS"),EXACT(Asistencia!F55,"V")),1,0)</f>
        <v>0</v>
      </c>
      <c r="AJ52">
        <f>IF(OR(EXACT(Asistencia!G55,"A"),EXACT(Asistencia!G55,"R"),EXACT(Asistencia!G55,"DL"),EXACT(Asistencia!G55,"FL"),EXACT(Asistencia!G55,"FE"),EXACT(Asistencia!G55,"PCS"),EXACT(Asistencia!G55,"V")),1,0)</f>
        <v>0</v>
      </c>
      <c r="AK52">
        <f>IF(OR(EXACT(Asistencia!H55,"A"),EXACT(Asistencia!H55,"R"),EXACT(Asistencia!H55,"DL"),EXACT(Asistencia!H55,"FL"),EXACT(Asistencia!H55,"FE"),EXACT(Asistencia!H55,"PCS"),EXACT(Asistencia!H55,"V")),1,0)</f>
        <v>0</v>
      </c>
      <c r="AL52">
        <f>IF(OR(EXACT(Asistencia!I55,"A"),EXACT(Asistencia!I55,"R"),EXACT(Asistencia!I55,"DL"),EXACT(Asistencia!I55,"FL"),EXACT(Asistencia!I55,"FE"),EXACT(Asistencia!I55,"PCS"),EXACT(Asistencia!I55,"V")),1,0)</f>
        <v>0</v>
      </c>
      <c r="AM52">
        <f>IF(OR(EXACT(Asistencia!J55,"A"),EXACT(Asistencia!J55,"R"),EXACT(Asistencia!J55,"DL"),EXACT(Asistencia!J55,"FL"),EXACT(Asistencia!J55,"FE"),EXACT(Asistencia!J55,"PCS"),EXACT(Asistencia!J55,"V")),1,0)</f>
        <v>0</v>
      </c>
      <c r="AN52">
        <f>IF(OR(EXACT(Asistencia!K55,"A"),EXACT(Asistencia!K55,"R"),EXACT(Asistencia!K55,"DL"),EXACT(Asistencia!K55,"FL"),EXACT(Asistencia!K55,"FE"),EXACT(Asistencia!K55,"PCS"),EXACT(Asistencia!K55,"V")),1,0)</f>
        <v>0</v>
      </c>
      <c r="AO52">
        <f>IF(OR(EXACT(Asistencia!L55,"A"),EXACT(Asistencia!L55,"R"),EXACT(Asistencia!L55,"DL"),EXACT(Asistencia!L55,"FL"),EXACT(Asistencia!L55,"FE"),EXACT(Asistencia!L55,"PCS"),EXACT(Asistencia!L55,"V")),1,0)</f>
        <v>0</v>
      </c>
      <c r="AP52">
        <f t="shared" si="20"/>
        <v>0</v>
      </c>
      <c r="AQ52">
        <f>IF(EXACT(Asistencia!F55,"FL"),1,0)</f>
        <v>0</v>
      </c>
      <c r="AR52">
        <f>IF(EXACT(Asistencia!G55,"FL"),1,0)</f>
        <v>0</v>
      </c>
      <c r="AS52">
        <f>IF(EXACT(Asistencia!H55,"FL"),1,0)</f>
        <v>0</v>
      </c>
      <c r="AT52">
        <f>IF(EXACT(Asistencia!I55,"FL"),1,0)</f>
        <v>0</v>
      </c>
      <c r="AU52">
        <f>IF(EXACT(Asistencia!J55,"FL"),1,0)</f>
        <v>0</v>
      </c>
      <c r="AV52">
        <f>IF(EXACT(Asistencia!K55,"FL"),1,0)</f>
        <v>0</v>
      </c>
      <c r="AW52">
        <f>IF(EXACT(Asistencia!L55,"FL"),1,0)</f>
        <v>0</v>
      </c>
      <c r="AX52">
        <f t="shared" si="21"/>
        <v>0</v>
      </c>
      <c r="AY52">
        <f>IF(EXACT(Asistencia!F55,"DL"),1,0)</f>
        <v>0</v>
      </c>
      <c r="AZ52">
        <f>IF(EXACT(Asistencia!G55,"DL"),1,0)</f>
        <v>0</v>
      </c>
      <c r="BA52">
        <f>IF(EXACT(Asistencia!H55,"DL"),1,0)</f>
        <v>0</v>
      </c>
      <c r="BB52">
        <f>IF(EXACT(Asistencia!I55,"DL"),1,0)</f>
        <v>0</v>
      </c>
      <c r="BC52">
        <f>IF(EXACT(Asistencia!J55,"DL"),1,0)</f>
        <v>0</v>
      </c>
      <c r="BD52">
        <f>IF(EXACT(Asistencia!K55,"DL"),1,0)</f>
        <v>0</v>
      </c>
      <c r="BE52">
        <f>IF(EXACT(Asistencia!L55,"DL"),1,0)</f>
        <v>0</v>
      </c>
      <c r="BF52">
        <f t="shared" si="22"/>
        <v>0</v>
      </c>
      <c r="BG52">
        <f>IF(ISNUMBER(Asistencia!M55),Asistencia!M55,0)</f>
        <v>0</v>
      </c>
      <c r="BH52">
        <f>IF(ISNUMBER(Asistencia!N55),Asistencia!N55,0)</f>
        <v>0</v>
      </c>
      <c r="BI52">
        <f>IF(ISNUMBER(Asistencia!O55),Asistencia!O55,0)</f>
        <v>0</v>
      </c>
      <c r="BJ52">
        <f>IF(ISNUMBER(Asistencia!P55),Asistencia!P55,0)</f>
        <v>0</v>
      </c>
      <c r="BK52" t="str">
        <f>IF(Asistencia!F55="","",Asistencia!F55)</f>
        <v/>
      </c>
      <c r="BL52" t="str">
        <f>IF(Asistencia!G55="","",Asistencia!G55)</f>
        <v/>
      </c>
      <c r="BM52" t="str">
        <f>IF(Asistencia!H55="","",Asistencia!H55)</f>
        <v/>
      </c>
      <c r="BN52" t="str">
        <f>IF(Asistencia!I55="","",Asistencia!I55)</f>
        <v/>
      </c>
      <c r="BO52" t="str">
        <f>IF(Asistencia!J55="","",Asistencia!J55)</f>
        <v/>
      </c>
      <c r="BP52" t="str">
        <f>IF(Asistencia!K55="","",Asistencia!K55)</f>
        <v/>
      </c>
      <c r="BQ52" t="str">
        <f>IF(Asistencia!L55="","",Asistencia!L55)</f>
        <v/>
      </c>
    </row>
    <row r="53" spans="1:69" ht="15.75" customHeight="1" x14ac:dyDescent="0.25">
      <c r="A53" s="46" t="str">
        <f t="shared" si="23"/>
        <v/>
      </c>
      <c r="B53" s="47" t="str">
        <f t="shared" si="24"/>
        <v/>
      </c>
      <c r="C53" s="47"/>
      <c r="D53" s="47"/>
      <c r="E53" s="46" t="str">
        <f t="shared" si="25"/>
        <v/>
      </c>
      <c r="F53" s="45" t="str">
        <f t="shared" si="26"/>
        <v/>
      </c>
      <c r="G53" s="44" t="str">
        <f t="shared" si="27"/>
        <v/>
      </c>
      <c r="H53" s="44" t="str">
        <f t="shared" si="28"/>
        <v/>
      </c>
      <c r="I53" s="44" t="str">
        <f t="shared" si="29"/>
        <v/>
      </c>
      <c r="J53" s="44" t="str">
        <f t="shared" si="30"/>
        <v/>
      </c>
      <c r="K53" s="44" t="str">
        <f t="shared" si="31"/>
        <v/>
      </c>
      <c r="L53" s="44" t="str">
        <f t="shared" si="32"/>
        <v/>
      </c>
      <c r="M53" s="43" t="str">
        <f t="shared" si="33"/>
        <v/>
      </c>
      <c r="N53" s="41" t="str">
        <f t="shared" si="34"/>
        <v/>
      </c>
      <c r="O53" s="41" t="str">
        <f t="shared" si="35"/>
        <v/>
      </c>
      <c r="P53" s="41" t="str">
        <f t="shared" si="36"/>
        <v/>
      </c>
      <c r="Q53" s="41" t="str">
        <f t="shared" si="37"/>
        <v/>
      </c>
      <c r="R53" s="41" t="str">
        <f t="shared" si="38"/>
        <v/>
      </c>
      <c r="S53" s="41"/>
      <c r="T53" s="48"/>
      <c r="U53" s="41" t="str">
        <f t="shared" si="39"/>
        <v/>
      </c>
      <c r="V53" s="41"/>
      <c r="W53" s="42" t="str">
        <f t="shared" si="40"/>
        <v/>
      </c>
      <c r="Y53" t="str">
        <f>IFERROR(MATCH(49,$AH$5:$AH$323,0),"")</f>
        <v/>
      </c>
      <c r="Z53" t="str">
        <f t="shared" si="41"/>
        <v/>
      </c>
      <c r="AA53" t="str">
        <f t="shared" si="19"/>
        <v/>
      </c>
      <c r="AB53" t="str">
        <f>IF(Asistencia!A56="","",Asistencia!A56)</f>
        <v/>
      </c>
      <c r="AC53" t="str">
        <f>IF(Asistencia!A56="","",SUBSTITUTE(SUBSTITUTE(SUBSTITUTE(SUBSTITUTE(SUBSTITUTE(SUBSTITUTE(SUBSTITUTE(UPPER(TRIM(Asistencia!A56)),"Á","A"),"É","E"),"Í","I"),"Ó","O"),"Ú","U"),"Ñ","N"),"  "," "))</f>
        <v/>
      </c>
      <c r="AD53" t="str">
        <f>IF(Asistencia!E56="","",Asistencia!E56)</f>
        <v/>
      </c>
      <c r="AE53" t="str">
        <f>IF(Asistencia!D56="","",UPPER(TRIM(Asistencia!D56)))</f>
        <v/>
      </c>
      <c r="AF53" t="s">
        <v>188</v>
      </c>
      <c r="AG53">
        <f>IF(AND(AA53&lt;&gt;"",COUNTIF($AA$5:AA53,AA53)=1),1,0)</f>
        <v>0</v>
      </c>
      <c r="AH53" t="str">
        <f>IF(AG53=1,SUM($AG$5:AG53),"")</f>
        <v/>
      </c>
      <c r="AI53">
        <f>IF(OR(EXACT(Asistencia!F56,"A"),EXACT(Asistencia!F56,"R"),EXACT(Asistencia!F56,"DL"),EXACT(Asistencia!F56,"FL"),EXACT(Asistencia!F56,"FE"),EXACT(Asistencia!F56,"PCS"),EXACT(Asistencia!F56,"V")),1,0)</f>
        <v>0</v>
      </c>
      <c r="AJ53">
        <f>IF(OR(EXACT(Asistencia!G56,"A"),EXACT(Asistencia!G56,"R"),EXACT(Asistencia!G56,"DL"),EXACT(Asistencia!G56,"FL"),EXACT(Asistencia!G56,"FE"),EXACT(Asistencia!G56,"PCS"),EXACT(Asistencia!G56,"V")),1,0)</f>
        <v>0</v>
      </c>
      <c r="AK53">
        <f>IF(OR(EXACT(Asistencia!H56,"A"),EXACT(Asistencia!H56,"R"),EXACT(Asistencia!H56,"DL"),EXACT(Asistencia!H56,"FL"),EXACT(Asistencia!H56,"FE"),EXACT(Asistencia!H56,"PCS"),EXACT(Asistencia!H56,"V")),1,0)</f>
        <v>0</v>
      </c>
      <c r="AL53">
        <f>IF(OR(EXACT(Asistencia!I56,"A"),EXACT(Asistencia!I56,"R"),EXACT(Asistencia!I56,"DL"),EXACT(Asistencia!I56,"FL"),EXACT(Asistencia!I56,"FE"),EXACT(Asistencia!I56,"PCS"),EXACT(Asistencia!I56,"V")),1,0)</f>
        <v>0</v>
      </c>
      <c r="AM53">
        <f>IF(OR(EXACT(Asistencia!J56,"A"),EXACT(Asistencia!J56,"R"),EXACT(Asistencia!J56,"DL"),EXACT(Asistencia!J56,"FL"),EXACT(Asistencia!J56,"FE"),EXACT(Asistencia!J56,"PCS"),EXACT(Asistencia!J56,"V")),1,0)</f>
        <v>0</v>
      </c>
      <c r="AN53">
        <f>IF(OR(EXACT(Asistencia!K56,"A"),EXACT(Asistencia!K56,"R"),EXACT(Asistencia!K56,"DL"),EXACT(Asistencia!K56,"FL"),EXACT(Asistencia!K56,"FE"),EXACT(Asistencia!K56,"PCS"),EXACT(Asistencia!K56,"V")),1,0)</f>
        <v>0</v>
      </c>
      <c r="AO53">
        <f>IF(OR(EXACT(Asistencia!L56,"A"),EXACT(Asistencia!L56,"R"),EXACT(Asistencia!L56,"DL"),EXACT(Asistencia!L56,"FL"),EXACT(Asistencia!L56,"FE"),EXACT(Asistencia!L56,"PCS"),EXACT(Asistencia!L56,"V")),1,0)</f>
        <v>0</v>
      </c>
      <c r="AP53">
        <f t="shared" si="20"/>
        <v>0</v>
      </c>
      <c r="AQ53">
        <f>IF(EXACT(Asistencia!F56,"FL"),1,0)</f>
        <v>0</v>
      </c>
      <c r="AR53">
        <f>IF(EXACT(Asistencia!G56,"FL"),1,0)</f>
        <v>0</v>
      </c>
      <c r="AS53">
        <f>IF(EXACT(Asistencia!H56,"FL"),1,0)</f>
        <v>0</v>
      </c>
      <c r="AT53">
        <f>IF(EXACT(Asistencia!I56,"FL"),1,0)</f>
        <v>0</v>
      </c>
      <c r="AU53">
        <f>IF(EXACT(Asistencia!J56,"FL"),1,0)</f>
        <v>0</v>
      </c>
      <c r="AV53">
        <f>IF(EXACT(Asistencia!K56,"FL"),1,0)</f>
        <v>0</v>
      </c>
      <c r="AW53">
        <f>IF(EXACT(Asistencia!L56,"FL"),1,0)</f>
        <v>0</v>
      </c>
      <c r="AX53">
        <f t="shared" si="21"/>
        <v>0</v>
      </c>
      <c r="AY53">
        <f>IF(EXACT(Asistencia!F56,"DL"),1,0)</f>
        <v>0</v>
      </c>
      <c r="AZ53">
        <f>IF(EXACT(Asistencia!G56,"DL"),1,0)</f>
        <v>0</v>
      </c>
      <c r="BA53">
        <f>IF(EXACT(Asistencia!H56,"DL"),1,0)</f>
        <v>0</v>
      </c>
      <c r="BB53">
        <f>IF(EXACT(Asistencia!I56,"DL"),1,0)</f>
        <v>0</v>
      </c>
      <c r="BC53">
        <f>IF(EXACT(Asistencia!J56,"DL"),1,0)</f>
        <v>0</v>
      </c>
      <c r="BD53">
        <f>IF(EXACT(Asistencia!K56,"DL"),1,0)</f>
        <v>0</v>
      </c>
      <c r="BE53">
        <f>IF(EXACT(Asistencia!L56,"DL"),1,0)</f>
        <v>0</v>
      </c>
      <c r="BF53">
        <f t="shared" si="22"/>
        <v>0</v>
      </c>
      <c r="BG53">
        <f>IF(ISNUMBER(Asistencia!M56),Asistencia!M56,0)</f>
        <v>0</v>
      </c>
      <c r="BH53">
        <f>IF(ISNUMBER(Asistencia!N56),Asistencia!N56,0)</f>
        <v>0</v>
      </c>
      <c r="BI53">
        <f>IF(ISNUMBER(Asistencia!O56),Asistencia!O56,0)</f>
        <v>0</v>
      </c>
      <c r="BJ53">
        <f>IF(ISNUMBER(Asistencia!P56),Asistencia!P56,0)</f>
        <v>0</v>
      </c>
      <c r="BK53" t="str">
        <f>IF(Asistencia!F56="","",Asistencia!F56)</f>
        <v/>
      </c>
      <c r="BL53" t="str">
        <f>IF(Asistencia!G56="","",Asistencia!G56)</f>
        <v/>
      </c>
      <c r="BM53" t="str">
        <f>IF(Asistencia!H56="","",Asistencia!H56)</f>
        <v/>
      </c>
      <c r="BN53" t="str">
        <f>IF(Asistencia!I56="","",Asistencia!I56)</f>
        <v/>
      </c>
      <c r="BO53" t="str">
        <f>IF(Asistencia!J56="","",Asistencia!J56)</f>
        <v/>
      </c>
      <c r="BP53" t="str">
        <f>IF(Asistencia!K56="","",Asistencia!K56)</f>
        <v/>
      </c>
      <c r="BQ53" t="str">
        <f>IF(Asistencia!L56="","",Asistencia!L56)</f>
        <v/>
      </c>
    </row>
    <row r="54" spans="1:69" ht="15.75" customHeight="1" x14ac:dyDescent="0.25">
      <c r="A54" s="46" t="str">
        <f t="shared" si="23"/>
        <v/>
      </c>
      <c r="B54" s="47" t="str">
        <f t="shared" si="24"/>
        <v/>
      </c>
      <c r="C54" s="47"/>
      <c r="D54" s="47"/>
      <c r="E54" s="46" t="str">
        <f t="shared" si="25"/>
        <v/>
      </c>
      <c r="F54" s="45" t="str">
        <f t="shared" si="26"/>
        <v/>
      </c>
      <c r="G54" s="44" t="str">
        <f t="shared" si="27"/>
        <v/>
      </c>
      <c r="H54" s="44" t="str">
        <f t="shared" si="28"/>
        <v/>
      </c>
      <c r="I54" s="44" t="str">
        <f t="shared" si="29"/>
        <v/>
      </c>
      <c r="J54" s="44" t="str">
        <f t="shared" si="30"/>
        <v/>
      </c>
      <c r="K54" s="44" t="str">
        <f t="shared" si="31"/>
        <v/>
      </c>
      <c r="L54" s="44" t="str">
        <f t="shared" si="32"/>
        <v/>
      </c>
      <c r="M54" s="43" t="str">
        <f t="shared" si="33"/>
        <v/>
      </c>
      <c r="N54" s="41" t="str">
        <f t="shared" si="34"/>
        <v/>
      </c>
      <c r="O54" s="41" t="str">
        <f t="shared" si="35"/>
        <v/>
      </c>
      <c r="P54" s="41" t="str">
        <f t="shared" si="36"/>
        <v/>
      </c>
      <c r="Q54" s="41" t="str">
        <f t="shared" si="37"/>
        <v/>
      </c>
      <c r="R54" s="41" t="str">
        <f t="shared" si="38"/>
        <v/>
      </c>
      <c r="S54" s="41"/>
      <c r="T54" s="48"/>
      <c r="U54" s="41" t="str">
        <f t="shared" si="39"/>
        <v/>
      </c>
      <c r="V54" s="41"/>
      <c r="W54" s="42" t="str">
        <f t="shared" si="40"/>
        <v/>
      </c>
      <c r="Y54" t="str">
        <f>IFERROR(MATCH(50,$AH$5:$AH$323,0),"")</f>
        <v/>
      </c>
      <c r="Z54" t="str">
        <f t="shared" si="41"/>
        <v/>
      </c>
      <c r="AA54" t="str">
        <f t="shared" si="19"/>
        <v/>
      </c>
      <c r="AB54" t="str">
        <f>IF(Asistencia!A57="","",Asistencia!A57)</f>
        <v/>
      </c>
      <c r="AC54" t="str">
        <f>IF(Asistencia!A57="","",SUBSTITUTE(SUBSTITUTE(SUBSTITUTE(SUBSTITUTE(SUBSTITUTE(SUBSTITUTE(SUBSTITUTE(UPPER(TRIM(Asistencia!A57)),"Á","A"),"É","E"),"Í","I"),"Ó","O"),"Ú","U"),"Ñ","N"),"  "," "))</f>
        <v/>
      </c>
      <c r="AD54" t="str">
        <f>IF(Asistencia!E57="","",Asistencia!E57)</f>
        <v/>
      </c>
      <c r="AE54" t="str">
        <f>IF(Asistencia!D57="","",UPPER(TRIM(Asistencia!D57)))</f>
        <v/>
      </c>
      <c r="AF54" t="s">
        <v>188</v>
      </c>
      <c r="AG54">
        <f>IF(AND(AA54&lt;&gt;"",COUNTIF($AA$5:AA54,AA54)=1),1,0)</f>
        <v>0</v>
      </c>
      <c r="AH54" t="str">
        <f>IF(AG54=1,SUM($AG$5:AG54),"")</f>
        <v/>
      </c>
      <c r="AI54">
        <f>IF(OR(EXACT(Asistencia!F57,"A"),EXACT(Asistencia!F57,"R"),EXACT(Asistencia!F57,"DL"),EXACT(Asistencia!F57,"FL"),EXACT(Asistencia!F57,"FE"),EXACT(Asistencia!F57,"PCS"),EXACT(Asistencia!F57,"V")),1,0)</f>
        <v>0</v>
      </c>
      <c r="AJ54">
        <f>IF(OR(EXACT(Asistencia!G57,"A"),EXACT(Asistencia!G57,"R"),EXACT(Asistencia!G57,"DL"),EXACT(Asistencia!G57,"FL"),EXACT(Asistencia!G57,"FE"),EXACT(Asistencia!G57,"PCS"),EXACT(Asistencia!G57,"V")),1,0)</f>
        <v>0</v>
      </c>
      <c r="AK54">
        <f>IF(OR(EXACT(Asistencia!H57,"A"),EXACT(Asistencia!H57,"R"),EXACT(Asistencia!H57,"DL"),EXACT(Asistencia!H57,"FL"),EXACT(Asistencia!H57,"FE"),EXACT(Asistencia!H57,"PCS"),EXACT(Asistencia!H57,"V")),1,0)</f>
        <v>0</v>
      </c>
      <c r="AL54">
        <f>IF(OR(EXACT(Asistencia!I57,"A"),EXACT(Asistencia!I57,"R"),EXACT(Asistencia!I57,"DL"),EXACT(Asistencia!I57,"FL"),EXACT(Asistencia!I57,"FE"),EXACT(Asistencia!I57,"PCS"),EXACT(Asistencia!I57,"V")),1,0)</f>
        <v>0</v>
      </c>
      <c r="AM54">
        <f>IF(OR(EXACT(Asistencia!J57,"A"),EXACT(Asistencia!J57,"R"),EXACT(Asistencia!J57,"DL"),EXACT(Asistencia!J57,"FL"),EXACT(Asistencia!J57,"FE"),EXACT(Asistencia!J57,"PCS"),EXACT(Asistencia!J57,"V")),1,0)</f>
        <v>0</v>
      </c>
      <c r="AN54">
        <f>IF(OR(EXACT(Asistencia!K57,"A"),EXACT(Asistencia!K57,"R"),EXACT(Asistencia!K57,"DL"),EXACT(Asistencia!K57,"FL"),EXACT(Asistencia!K57,"FE"),EXACT(Asistencia!K57,"PCS"),EXACT(Asistencia!K57,"V")),1,0)</f>
        <v>0</v>
      </c>
      <c r="AO54">
        <f>IF(OR(EXACT(Asistencia!L57,"A"),EXACT(Asistencia!L57,"R"),EXACT(Asistencia!L57,"DL"),EXACT(Asistencia!L57,"FL"),EXACT(Asistencia!L57,"FE"),EXACT(Asistencia!L57,"PCS"),EXACT(Asistencia!L57,"V")),1,0)</f>
        <v>0</v>
      </c>
      <c r="AP54">
        <f t="shared" si="20"/>
        <v>0</v>
      </c>
      <c r="AQ54">
        <f>IF(EXACT(Asistencia!F57,"FL"),1,0)</f>
        <v>0</v>
      </c>
      <c r="AR54">
        <f>IF(EXACT(Asistencia!G57,"FL"),1,0)</f>
        <v>0</v>
      </c>
      <c r="AS54">
        <f>IF(EXACT(Asistencia!H57,"FL"),1,0)</f>
        <v>0</v>
      </c>
      <c r="AT54">
        <f>IF(EXACT(Asistencia!I57,"FL"),1,0)</f>
        <v>0</v>
      </c>
      <c r="AU54">
        <f>IF(EXACT(Asistencia!J57,"FL"),1,0)</f>
        <v>0</v>
      </c>
      <c r="AV54">
        <f>IF(EXACT(Asistencia!K57,"FL"),1,0)</f>
        <v>0</v>
      </c>
      <c r="AW54">
        <f>IF(EXACT(Asistencia!L57,"FL"),1,0)</f>
        <v>0</v>
      </c>
      <c r="AX54">
        <f t="shared" si="21"/>
        <v>0</v>
      </c>
      <c r="AY54">
        <f>IF(EXACT(Asistencia!F57,"DL"),1,0)</f>
        <v>0</v>
      </c>
      <c r="AZ54">
        <f>IF(EXACT(Asistencia!G57,"DL"),1,0)</f>
        <v>0</v>
      </c>
      <c r="BA54">
        <f>IF(EXACT(Asistencia!H57,"DL"),1,0)</f>
        <v>0</v>
      </c>
      <c r="BB54">
        <f>IF(EXACT(Asistencia!I57,"DL"),1,0)</f>
        <v>0</v>
      </c>
      <c r="BC54">
        <f>IF(EXACT(Asistencia!J57,"DL"),1,0)</f>
        <v>0</v>
      </c>
      <c r="BD54">
        <f>IF(EXACT(Asistencia!K57,"DL"),1,0)</f>
        <v>0</v>
      </c>
      <c r="BE54">
        <f>IF(EXACT(Asistencia!L57,"DL"),1,0)</f>
        <v>0</v>
      </c>
      <c r="BF54">
        <f t="shared" si="22"/>
        <v>0</v>
      </c>
      <c r="BG54">
        <f>IF(ISNUMBER(Asistencia!M57),Asistencia!M57,0)</f>
        <v>0</v>
      </c>
      <c r="BH54">
        <f>IF(ISNUMBER(Asistencia!N57),Asistencia!N57,0)</f>
        <v>0</v>
      </c>
      <c r="BI54">
        <f>IF(ISNUMBER(Asistencia!O57),Asistencia!O57,0)</f>
        <v>0</v>
      </c>
      <c r="BJ54">
        <f>IF(ISNUMBER(Asistencia!P57),Asistencia!P57,0)</f>
        <v>0</v>
      </c>
      <c r="BK54" t="str">
        <f>IF(Asistencia!F57="","",Asistencia!F57)</f>
        <v/>
      </c>
      <c r="BL54" t="str">
        <f>IF(Asistencia!G57="","",Asistencia!G57)</f>
        <v/>
      </c>
      <c r="BM54" t="str">
        <f>IF(Asistencia!H57="","",Asistencia!H57)</f>
        <v/>
      </c>
      <c r="BN54" t="str">
        <f>IF(Asistencia!I57="","",Asistencia!I57)</f>
        <v/>
      </c>
      <c r="BO54" t="str">
        <f>IF(Asistencia!J57="","",Asistencia!J57)</f>
        <v/>
      </c>
      <c r="BP54" t="str">
        <f>IF(Asistencia!K57="","",Asistencia!K57)</f>
        <v/>
      </c>
      <c r="BQ54" t="str">
        <f>IF(Asistencia!L57="","",Asistencia!L57)</f>
        <v/>
      </c>
    </row>
    <row r="55" spans="1:69" ht="15.75" customHeight="1" x14ac:dyDescent="0.25">
      <c r="A55" s="46" t="str">
        <f t="shared" si="23"/>
        <v/>
      </c>
      <c r="B55" s="47" t="str">
        <f t="shared" si="24"/>
        <v/>
      </c>
      <c r="C55" s="47"/>
      <c r="D55" s="47"/>
      <c r="E55" s="46" t="str">
        <f t="shared" si="25"/>
        <v/>
      </c>
      <c r="F55" s="45" t="str">
        <f t="shared" si="26"/>
        <v/>
      </c>
      <c r="G55" s="44" t="str">
        <f t="shared" si="27"/>
        <v/>
      </c>
      <c r="H55" s="44" t="str">
        <f t="shared" si="28"/>
        <v/>
      </c>
      <c r="I55" s="44" t="str">
        <f t="shared" si="29"/>
        <v/>
      </c>
      <c r="J55" s="44" t="str">
        <f t="shared" si="30"/>
        <v/>
      </c>
      <c r="K55" s="44" t="str">
        <f t="shared" si="31"/>
        <v/>
      </c>
      <c r="L55" s="44" t="str">
        <f t="shared" si="32"/>
        <v/>
      </c>
      <c r="M55" s="43" t="str">
        <f t="shared" si="33"/>
        <v/>
      </c>
      <c r="N55" s="41" t="str">
        <f t="shared" si="34"/>
        <v/>
      </c>
      <c r="O55" s="41" t="str">
        <f t="shared" si="35"/>
        <v/>
      </c>
      <c r="P55" s="41" t="str">
        <f t="shared" si="36"/>
        <v/>
      </c>
      <c r="Q55" s="41" t="str">
        <f t="shared" si="37"/>
        <v/>
      </c>
      <c r="R55" s="41" t="str">
        <f t="shared" si="38"/>
        <v/>
      </c>
      <c r="S55" s="41"/>
      <c r="T55" s="48"/>
      <c r="U55" s="41" t="str">
        <f t="shared" si="39"/>
        <v/>
      </c>
      <c r="V55" s="41"/>
      <c r="W55" s="42" t="str">
        <f t="shared" si="40"/>
        <v/>
      </c>
      <c r="Y55" t="str">
        <f>IFERROR(MATCH(51,$AH$5:$AH$323,0),"")</f>
        <v/>
      </c>
      <c r="Z55" t="str">
        <f t="shared" si="41"/>
        <v/>
      </c>
      <c r="AA55" t="str">
        <f t="shared" si="19"/>
        <v/>
      </c>
      <c r="AB55" t="str">
        <f>IF(Asistencia!A58="","",Asistencia!A58)</f>
        <v/>
      </c>
      <c r="AC55" t="str">
        <f>IF(Asistencia!A58="","",SUBSTITUTE(SUBSTITUTE(SUBSTITUTE(SUBSTITUTE(SUBSTITUTE(SUBSTITUTE(SUBSTITUTE(UPPER(TRIM(Asistencia!A58)),"Á","A"),"É","E"),"Í","I"),"Ó","O"),"Ú","U"),"Ñ","N"),"  "," "))</f>
        <v/>
      </c>
      <c r="AD55" t="str">
        <f>IF(Asistencia!E58="","",Asistencia!E58)</f>
        <v/>
      </c>
      <c r="AE55" t="str">
        <f>IF(Asistencia!D58="","",UPPER(TRIM(Asistencia!D58)))</f>
        <v/>
      </c>
      <c r="AF55" t="s">
        <v>188</v>
      </c>
      <c r="AG55">
        <f>IF(AND(AA55&lt;&gt;"",COUNTIF($AA$5:AA55,AA55)=1),1,0)</f>
        <v>0</v>
      </c>
      <c r="AH55" t="str">
        <f>IF(AG55=1,SUM($AG$5:AG55),"")</f>
        <v/>
      </c>
      <c r="AI55">
        <f>IF(OR(EXACT(Asistencia!F58,"A"),EXACT(Asistencia!F58,"R"),EXACT(Asistencia!F58,"DL"),EXACT(Asistencia!F58,"FL"),EXACT(Asistencia!F58,"FE"),EXACT(Asistencia!F58,"PCS"),EXACT(Asistencia!F58,"V")),1,0)</f>
        <v>0</v>
      </c>
      <c r="AJ55">
        <f>IF(OR(EXACT(Asistencia!G58,"A"),EXACT(Asistencia!G58,"R"),EXACT(Asistencia!G58,"DL"),EXACT(Asistencia!G58,"FL"),EXACT(Asistencia!G58,"FE"),EXACT(Asistencia!G58,"PCS"),EXACT(Asistencia!G58,"V")),1,0)</f>
        <v>0</v>
      </c>
      <c r="AK55">
        <f>IF(OR(EXACT(Asistencia!H58,"A"),EXACT(Asistencia!H58,"R"),EXACT(Asistencia!H58,"DL"),EXACT(Asistencia!H58,"FL"),EXACT(Asistencia!H58,"FE"),EXACT(Asistencia!H58,"PCS"),EXACT(Asistencia!H58,"V")),1,0)</f>
        <v>0</v>
      </c>
      <c r="AL55">
        <f>IF(OR(EXACT(Asistencia!I58,"A"),EXACT(Asistencia!I58,"R"),EXACT(Asistencia!I58,"DL"),EXACT(Asistencia!I58,"FL"),EXACT(Asistencia!I58,"FE"),EXACT(Asistencia!I58,"PCS"),EXACT(Asistencia!I58,"V")),1,0)</f>
        <v>0</v>
      </c>
      <c r="AM55">
        <f>IF(OR(EXACT(Asistencia!J58,"A"),EXACT(Asistencia!J58,"R"),EXACT(Asistencia!J58,"DL"),EXACT(Asistencia!J58,"FL"),EXACT(Asistencia!J58,"FE"),EXACT(Asistencia!J58,"PCS"),EXACT(Asistencia!J58,"V")),1,0)</f>
        <v>0</v>
      </c>
      <c r="AN55">
        <f>IF(OR(EXACT(Asistencia!K58,"A"),EXACT(Asistencia!K58,"R"),EXACT(Asistencia!K58,"DL"),EXACT(Asistencia!K58,"FL"),EXACT(Asistencia!K58,"FE"),EXACT(Asistencia!K58,"PCS"),EXACT(Asistencia!K58,"V")),1,0)</f>
        <v>0</v>
      </c>
      <c r="AO55">
        <f>IF(OR(EXACT(Asistencia!L58,"A"),EXACT(Asistencia!L58,"R"),EXACT(Asistencia!L58,"DL"),EXACT(Asistencia!L58,"FL"),EXACT(Asistencia!L58,"FE"),EXACT(Asistencia!L58,"PCS"),EXACT(Asistencia!L58,"V")),1,0)</f>
        <v>0</v>
      </c>
      <c r="AP55">
        <f t="shared" si="20"/>
        <v>0</v>
      </c>
      <c r="AQ55">
        <f>IF(EXACT(Asistencia!F58,"FL"),1,0)</f>
        <v>0</v>
      </c>
      <c r="AR55">
        <f>IF(EXACT(Asistencia!G58,"FL"),1,0)</f>
        <v>0</v>
      </c>
      <c r="AS55">
        <f>IF(EXACT(Asistencia!H58,"FL"),1,0)</f>
        <v>0</v>
      </c>
      <c r="AT55">
        <f>IF(EXACT(Asistencia!I58,"FL"),1,0)</f>
        <v>0</v>
      </c>
      <c r="AU55">
        <f>IF(EXACT(Asistencia!J58,"FL"),1,0)</f>
        <v>0</v>
      </c>
      <c r="AV55">
        <f>IF(EXACT(Asistencia!K58,"FL"),1,0)</f>
        <v>0</v>
      </c>
      <c r="AW55">
        <f>IF(EXACT(Asistencia!L58,"FL"),1,0)</f>
        <v>0</v>
      </c>
      <c r="AX55">
        <f t="shared" si="21"/>
        <v>0</v>
      </c>
      <c r="AY55">
        <f>IF(EXACT(Asistencia!F58,"DL"),1,0)</f>
        <v>0</v>
      </c>
      <c r="AZ55">
        <f>IF(EXACT(Asistencia!G58,"DL"),1,0)</f>
        <v>0</v>
      </c>
      <c r="BA55">
        <f>IF(EXACT(Asistencia!H58,"DL"),1,0)</f>
        <v>0</v>
      </c>
      <c r="BB55">
        <f>IF(EXACT(Asistencia!I58,"DL"),1,0)</f>
        <v>0</v>
      </c>
      <c r="BC55">
        <f>IF(EXACT(Asistencia!J58,"DL"),1,0)</f>
        <v>0</v>
      </c>
      <c r="BD55">
        <f>IF(EXACT(Asistencia!K58,"DL"),1,0)</f>
        <v>0</v>
      </c>
      <c r="BE55">
        <f>IF(EXACT(Asistencia!L58,"DL"),1,0)</f>
        <v>0</v>
      </c>
      <c r="BF55">
        <f t="shared" si="22"/>
        <v>0</v>
      </c>
      <c r="BG55">
        <f>IF(ISNUMBER(Asistencia!M58),Asistencia!M58,0)</f>
        <v>0</v>
      </c>
      <c r="BH55">
        <f>IF(ISNUMBER(Asistencia!N58),Asistencia!N58,0)</f>
        <v>0</v>
      </c>
      <c r="BI55">
        <f>IF(ISNUMBER(Asistencia!O58),Asistencia!O58,0)</f>
        <v>0</v>
      </c>
      <c r="BJ55">
        <f>IF(ISNUMBER(Asistencia!P58),Asistencia!P58,0)</f>
        <v>0</v>
      </c>
      <c r="BK55" t="str">
        <f>IF(Asistencia!F58="","",Asistencia!F58)</f>
        <v/>
      </c>
      <c r="BL55" t="str">
        <f>IF(Asistencia!G58="","",Asistencia!G58)</f>
        <v/>
      </c>
      <c r="BM55" t="str">
        <f>IF(Asistencia!H58="","",Asistencia!H58)</f>
        <v/>
      </c>
      <c r="BN55" t="str">
        <f>IF(Asistencia!I58="","",Asistencia!I58)</f>
        <v/>
      </c>
      <c r="BO55" t="str">
        <f>IF(Asistencia!J58="","",Asistencia!J58)</f>
        <v/>
      </c>
      <c r="BP55" t="str">
        <f>IF(Asistencia!K58="","",Asistencia!K58)</f>
        <v/>
      </c>
      <c r="BQ55" t="str">
        <f>IF(Asistencia!L58="","",Asistencia!L58)</f>
        <v/>
      </c>
    </row>
    <row r="56" spans="1:69" ht="15.75" customHeight="1" x14ac:dyDescent="0.25">
      <c r="A56" s="46" t="str">
        <f t="shared" si="23"/>
        <v/>
      </c>
      <c r="B56" s="47" t="str">
        <f t="shared" si="24"/>
        <v/>
      </c>
      <c r="C56" s="47"/>
      <c r="D56" s="47"/>
      <c r="E56" s="46" t="str">
        <f t="shared" si="25"/>
        <v/>
      </c>
      <c r="F56" s="45" t="str">
        <f t="shared" si="26"/>
        <v/>
      </c>
      <c r="G56" s="44" t="str">
        <f t="shared" si="27"/>
        <v/>
      </c>
      <c r="H56" s="44" t="str">
        <f t="shared" si="28"/>
        <v/>
      </c>
      <c r="I56" s="44" t="str">
        <f t="shared" si="29"/>
        <v/>
      </c>
      <c r="J56" s="44" t="str">
        <f t="shared" si="30"/>
        <v/>
      </c>
      <c r="K56" s="44" t="str">
        <f t="shared" si="31"/>
        <v/>
      </c>
      <c r="L56" s="44" t="str">
        <f t="shared" si="32"/>
        <v/>
      </c>
      <c r="M56" s="43" t="str">
        <f t="shared" si="33"/>
        <v/>
      </c>
      <c r="N56" s="41" t="str">
        <f t="shared" si="34"/>
        <v/>
      </c>
      <c r="O56" s="41" t="str">
        <f t="shared" si="35"/>
        <v/>
      </c>
      <c r="P56" s="41" t="str">
        <f t="shared" si="36"/>
        <v/>
      </c>
      <c r="Q56" s="41" t="str">
        <f t="shared" si="37"/>
        <v/>
      </c>
      <c r="R56" s="41" t="str">
        <f t="shared" si="38"/>
        <v/>
      </c>
      <c r="S56" s="41"/>
      <c r="T56" s="48"/>
      <c r="U56" s="41" t="str">
        <f t="shared" si="39"/>
        <v/>
      </c>
      <c r="V56" s="41"/>
      <c r="W56" s="42" t="str">
        <f t="shared" si="40"/>
        <v/>
      </c>
      <c r="Y56" t="str">
        <f>IFERROR(MATCH(52,$AH$5:$AH$323,0),"")</f>
        <v/>
      </c>
      <c r="Z56" t="str">
        <f t="shared" si="41"/>
        <v/>
      </c>
      <c r="AA56" t="str">
        <f t="shared" si="19"/>
        <v/>
      </c>
      <c r="AB56" t="str">
        <f>IF(Asistencia!A59="","",Asistencia!A59)</f>
        <v/>
      </c>
      <c r="AC56" t="str">
        <f>IF(Asistencia!A59="","",SUBSTITUTE(SUBSTITUTE(SUBSTITUTE(SUBSTITUTE(SUBSTITUTE(SUBSTITUTE(SUBSTITUTE(UPPER(TRIM(Asistencia!A59)),"Á","A"),"É","E"),"Í","I"),"Ó","O"),"Ú","U"),"Ñ","N"),"  "," "))</f>
        <v/>
      </c>
      <c r="AD56" t="str">
        <f>IF(Asistencia!E59="","",Asistencia!E59)</f>
        <v/>
      </c>
      <c r="AE56" t="str">
        <f>IF(Asistencia!D59="","",UPPER(TRIM(Asistencia!D59)))</f>
        <v/>
      </c>
      <c r="AF56" t="s">
        <v>188</v>
      </c>
      <c r="AG56">
        <f>IF(AND(AA56&lt;&gt;"",COUNTIF($AA$5:AA56,AA56)=1),1,0)</f>
        <v>0</v>
      </c>
      <c r="AH56" t="str">
        <f>IF(AG56=1,SUM($AG$5:AG56),"")</f>
        <v/>
      </c>
      <c r="AI56">
        <f>IF(OR(EXACT(Asistencia!F59,"A"),EXACT(Asistencia!F59,"R"),EXACT(Asistencia!F59,"DL"),EXACT(Asistencia!F59,"FL"),EXACT(Asistencia!F59,"FE"),EXACT(Asistencia!F59,"PCS"),EXACT(Asistencia!F59,"V")),1,0)</f>
        <v>0</v>
      </c>
      <c r="AJ56">
        <f>IF(OR(EXACT(Asistencia!G59,"A"),EXACT(Asistencia!G59,"R"),EXACT(Asistencia!G59,"DL"),EXACT(Asistencia!G59,"FL"),EXACT(Asistencia!G59,"FE"),EXACT(Asistencia!G59,"PCS"),EXACT(Asistencia!G59,"V")),1,0)</f>
        <v>0</v>
      </c>
      <c r="AK56">
        <f>IF(OR(EXACT(Asistencia!H59,"A"),EXACT(Asistencia!H59,"R"),EXACT(Asistencia!H59,"DL"),EXACT(Asistencia!H59,"FL"),EXACT(Asistencia!H59,"FE"),EXACT(Asistencia!H59,"PCS"),EXACT(Asistencia!H59,"V")),1,0)</f>
        <v>0</v>
      </c>
      <c r="AL56">
        <f>IF(OR(EXACT(Asistencia!I59,"A"),EXACT(Asistencia!I59,"R"),EXACT(Asistencia!I59,"DL"),EXACT(Asistencia!I59,"FL"),EXACT(Asistencia!I59,"FE"),EXACT(Asistencia!I59,"PCS"),EXACT(Asistencia!I59,"V")),1,0)</f>
        <v>0</v>
      </c>
      <c r="AM56">
        <f>IF(OR(EXACT(Asistencia!J59,"A"),EXACT(Asistencia!J59,"R"),EXACT(Asistencia!J59,"DL"),EXACT(Asistencia!J59,"FL"),EXACT(Asistencia!J59,"FE"),EXACT(Asistencia!J59,"PCS"),EXACT(Asistencia!J59,"V")),1,0)</f>
        <v>0</v>
      </c>
      <c r="AN56">
        <f>IF(OR(EXACT(Asistencia!K59,"A"),EXACT(Asistencia!K59,"R"),EXACT(Asistencia!K59,"DL"),EXACT(Asistencia!K59,"FL"),EXACT(Asistencia!K59,"FE"),EXACT(Asistencia!K59,"PCS"),EXACT(Asistencia!K59,"V")),1,0)</f>
        <v>0</v>
      </c>
      <c r="AO56">
        <f>IF(OR(EXACT(Asistencia!L59,"A"),EXACT(Asistencia!L59,"R"),EXACT(Asistencia!L59,"DL"),EXACT(Asistencia!L59,"FL"),EXACT(Asistencia!L59,"FE"),EXACT(Asistencia!L59,"PCS"),EXACT(Asistencia!L59,"V")),1,0)</f>
        <v>0</v>
      </c>
      <c r="AP56">
        <f t="shared" si="20"/>
        <v>0</v>
      </c>
      <c r="AQ56">
        <f>IF(EXACT(Asistencia!F59,"FL"),1,0)</f>
        <v>0</v>
      </c>
      <c r="AR56">
        <f>IF(EXACT(Asistencia!G59,"FL"),1,0)</f>
        <v>0</v>
      </c>
      <c r="AS56">
        <f>IF(EXACT(Asistencia!H59,"FL"),1,0)</f>
        <v>0</v>
      </c>
      <c r="AT56">
        <f>IF(EXACT(Asistencia!I59,"FL"),1,0)</f>
        <v>0</v>
      </c>
      <c r="AU56">
        <f>IF(EXACT(Asistencia!J59,"FL"),1,0)</f>
        <v>0</v>
      </c>
      <c r="AV56">
        <f>IF(EXACT(Asistencia!K59,"FL"),1,0)</f>
        <v>0</v>
      </c>
      <c r="AW56">
        <f>IF(EXACT(Asistencia!L59,"FL"),1,0)</f>
        <v>0</v>
      </c>
      <c r="AX56">
        <f t="shared" si="21"/>
        <v>0</v>
      </c>
      <c r="AY56">
        <f>IF(EXACT(Asistencia!F59,"DL"),1,0)</f>
        <v>0</v>
      </c>
      <c r="AZ56">
        <f>IF(EXACT(Asistencia!G59,"DL"),1,0)</f>
        <v>0</v>
      </c>
      <c r="BA56">
        <f>IF(EXACT(Asistencia!H59,"DL"),1,0)</f>
        <v>0</v>
      </c>
      <c r="BB56">
        <f>IF(EXACT(Asistencia!I59,"DL"),1,0)</f>
        <v>0</v>
      </c>
      <c r="BC56">
        <f>IF(EXACT(Asistencia!J59,"DL"),1,0)</f>
        <v>0</v>
      </c>
      <c r="BD56">
        <f>IF(EXACT(Asistencia!K59,"DL"),1,0)</f>
        <v>0</v>
      </c>
      <c r="BE56">
        <f>IF(EXACT(Asistencia!L59,"DL"),1,0)</f>
        <v>0</v>
      </c>
      <c r="BF56">
        <f t="shared" si="22"/>
        <v>0</v>
      </c>
      <c r="BG56">
        <f>IF(ISNUMBER(Asistencia!M59),Asistencia!M59,0)</f>
        <v>0</v>
      </c>
      <c r="BH56">
        <f>IF(ISNUMBER(Asistencia!N59),Asistencia!N59,0)</f>
        <v>0</v>
      </c>
      <c r="BI56">
        <f>IF(ISNUMBER(Asistencia!O59),Asistencia!O59,0)</f>
        <v>0</v>
      </c>
      <c r="BJ56">
        <f>IF(ISNUMBER(Asistencia!P59),Asistencia!P59,0)</f>
        <v>0</v>
      </c>
      <c r="BK56" t="str">
        <f>IF(Asistencia!F59="","",Asistencia!F59)</f>
        <v/>
      </c>
      <c r="BL56" t="str">
        <f>IF(Asistencia!G59="","",Asistencia!G59)</f>
        <v/>
      </c>
      <c r="BM56" t="str">
        <f>IF(Asistencia!H59="","",Asistencia!H59)</f>
        <v/>
      </c>
      <c r="BN56" t="str">
        <f>IF(Asistencia!I59="","",Asistencia!I59)</f>
        <v/>
      </c>
      <c r="BO56" t="str">
        <f>IF(Asistencia!J59="","",Asistencia!J59)</f>
        <v/>
      </c>
      <c r="BP56" t="str">
        <f>IF(Asistencia!K59="","",Asistencia!K59)</f>
        <v/>
      </c>
      <c r="BQ56" t="str">
        <f>IF(Asistencia!L59="","",Asistencia!L59)</f>
        <v/>
      </c>
    </row>
    <row r="57" spans="1:69" ht="15.75" customHeight="1" x14ac:dyDescent="0.25">
      <c r="A57" s="46" t="str">
        <f t="shared" si="23"/>
        <v/>
      </c>
      <c r="B57" s="47" t="str">
        <f t="shared" si="24"/>
        <v/>
      </c>
      <c r="C57" s="47"/>
      <c r="D57" s="47"/>
      <c r="E57" s="46" t="str">
        <f t="shared" si="25"/>
        <v/>
      </c>
      <c r="F57" s="45" t="str">
        <f t="shared" si="26"/>
        <v/>
      </c>
      <c r="G57" s="44" t="str">
        <f t="shared" si="27"/>
        <v/>
      </c>
      <c r="H57" s="44" t="str">
        <f t="shared" si="28"/>
        <v/>
      </c>
      <c r="I57" s="44" t="str">
        <f t="shared" si="29"/>
        <v/>
      </c>
      <c r="J57" s="44" t="str">
        <f t="shared" si="30"/>
        <v/>
      </c>
      <c r="K57" s="44" t="str">
        <f t="shared" si="31"/>
        <v/>
      </c>
      <c r="L57" s="44" t="str">
        <f t="shared" si="32"/>
        <v/>
      </c>
      <c r="M57" s="43" t="str">
        <f t="shared" si="33"/>
        <v/>
      </c>
      <c r="N57" s="41" t="str">
        <f t="shared" si="34"/>
        <v/>
      </c>
      <c r="O57" s="41" t="str">
        <f t="shared" si="35"/>
        <v/>
      </c>
      <c r="P57" s="41" t="str">
        <f t="shared" si="36"/>
        <v/>
      </c>
      <c r="Q57" s="41" t="str">
        <f t="shared" si="37"/>
        <v/>
      </c>
      <c r="R57" s="41" t="str">
        <f t="shared" si="38"/>
        <v/>
      </c>
      <c r="S57" s="41"/>
      <c r="T57" s="48"/>
      <c r="U57" s="41" t="str">
        <f t="shared" si="39"/>
        <v/>
      </c>
      <c r="V57" s="41"/>
      <c r="W57" s="42" t="str">
        <f t="shared" si="40"/>
        <v/>
      </c>
      <c r="Y57" t="str">
        <f>IFERROR(MATCH(53,$AH$5:$AH$323,0),"")</f>
        <v/>
      </c>
      <c r="Z57" t="str">
        <f t="shared" si="41"/>
        <v/>
      </c>
      <c r="AA57" t="str">
        <f t="shared" si="19"/>
        <v/>
      </c>
      <c r="AB57" t="str">
        <f>IF(Asistencia!A60="","",Asistencia!A60)</f>
        <v/>
      </c>
      <c r="AC57" t="str">
        <f>IF(Asistencia!A60="","",SUBSTITUTE(SUBSTITUTE(SUBSTITUTE(SUBSTITUTE(SUBSTITUTE(SUBSTITUTE(SUBSTITUTE(UPPER(TRIM(Asistencia!A60)),"Á","A"),"É","E"),"Í","I"),"Ó","O"),"Ú","U"),"Ñ","N"),"  "," "))</f>
        <v/>
      </c>
      <c r="AD57" t="str">
        <f>IF(Asistencia!E60="","",Asistencia!E60)</f>
        <v/>
      </c>
      <c r="AE57" t="str">
        <f>IF(Asistencia!D60="","",UPPER(TRIM(Asistencia!D60)))</f>
        <v/>
      </c>
      <c r="AF57" t="s">
        <v>188</v>
      </c>
      <c r="AG57">
        <f>IF(AND(AA57&lt;&gt;"",COUNTIF($AA$5:AA57,AA57)=1),1,0)</f>
        <v>0</v>
      </c>
      <c r="AH57" t="str">
        <f>IF(AG57=1,SUM($AG$5:AG57),"")</f>
        <v/>
      </c>
      <c r="AI57">
        <f>IF(OR(EXACT(Asistencia!F60,"A"),EXACT(Asistencia!F60,"R"),EXACT(Asistencia!F60,"DL"),EXACT(Asistencia!F60,"FL"),EXACT(Asistencia!F60,"FE"),EXACT(Asistencia!F60,"PCS"),EXACT(Asistencia!F60,"V")),1,0)</f>
        <v>0</v>
      </c>
      <c r="AJ57">
        <f>IF(OR(EXACT(Asistencia!G60,"A"),EXACT(Asistencia!G60,"R"),EXACT(Asistencia!G60,"DL"),EXACT(Asistencia!G60,"FL"),EXACT(Asistencia!G60,"FE"),EXACT(Asistencia!G60,"PCS"),EXACT(Asistencia!G60,"V")),1,0)</f>
        <v>0</v>
      </c>
      <c r="AK57">
        <f>IF(OR(EXACT(Asistencia!H60,"A"),EXACT(Asistencia!H60,"R"),EXACT(Asistencia!H60,"DL"),EXACT(Asistencia!H60,"FL"),EXACT(Asistencia!H60,"FE"),EXACT(Asistencia!H60,"PCS"),EXACT(Asistencia!H60,"V")),1,0)</f>
        <v>0</v>
      </c>
      <c r="AL57">
        <f>IF(OR(EXACT(Asistencia!I60,"A"),EXACT(Asistencia!I60,"R"),EXACT(Asistencia!I60,"DL"),EXACT(Asistencia!I60,"FL"),EXACT(Asistencia!I60,"FE"),EXACT(Asistencia!I60,"PCS"),EXACT(Asistencia!I60,"V")),1,0)</f>
        <v>0</v>
      </c>
      <c r="AM57">
        <f>IF(OR(EXACT(Asistencia!J60,"A"),EXACT(Asistencia!J60,"R"),EXACT(Asistencia!J60,"DL"),EXACT(Asistencia!J60,"FL"),EXACT(Asistencia!J60,"FE"),EXACT(Asistencia!J60,"PCS"),EXACT(Asistencia!J60,"V")),1,0)</f>
        <v>0</v>
      </c>
      <c r="AN57">
        <f>IF(OR(EXACT(Asistencia!K60,"A"),EXACT(Asistencia!K60,"R"),EXACT(Asistencia!K60,"DL"),EXACT(Asistencia!K60,"FL"),EXACT(Asistencia!K60,"FE"),EXACT(Asistencia!K60,"PCS"),EXACT(Asistencia!K60,"V")),1,0)</f>
        <v>0</v>
      </c>
      <c r="AO57">
        <f>IF(OR(EXACT(Asistencia!L60,"A"),EXACT(Asistencia!L60,"R"),EXACT(Asistencia!L60,"DL"),EXACT(Asistencia!L60,"FL"),EXACT(Asistencia!L60,"FE"),EXACT(Asistencia!L60,"PCS"),EXACT(Asistencia!L60,"V")),1,0)</f>
        <v>0</v>
      </c>
      <c r="AP57">
        <f t="shared" si="20"/>
        <v>0</v>
      </c>
      <c r="AQ57">
        <f>IF(EXACT(Asistencia!F60,"FL"),1,0)</f>
        <v>0</v>
      </c>
      <c r="AR57">
        <f>IF(EXACT(Asistencia!G60,"FL"),1,0)</f>
        <v>0</v>
      </c>
      <c r="AS57">
        <f>IF(EXACT(Asistencia!H60,"FL"),1,0)</f>
        <v>0</v>
      </c>
      <c r="AT57">
        <f>IF(EXACT(Asistencia!I60,"FL"),1,0)</f>
        <v>0</v>
      </c>
      <c r="AU57">
        <f>IF(EXACT(Asistencia!J60,"FL"),1,0)</f>
        <v>0</v>
      </c>
      <c r="AV57">
        <f>IF(EXACT(Asistencia!K60,"FL"),1,0)</f>
        <v>0</v>
      </c>
      <c r="AW57">
        <f>IF(EXACT(Asistencia!L60,"FL"),1,0)</f>
        <v>0</v>
      </c>
      <c r="AX57">
        <f t="shared" si="21"/>
        <v>0</v>
      </c>
      <c r="AY57">
        <f>IF(EXACT(Asistencia!F60,"DL"),1,0)</f>
        <v>0</v>
      </c>
      <c r="AZ57">
        <f>IF(EXACT(Asistencia!G60,"DL"),1,0)</f>
        <v>0</v>
      </c>
      <c r="BA57">
        <f>IF(EXACT(Asistencia!H60,"DL"),1,0)</f>
        <v>0</v>
      </c>
      <c r="BB57">
        <f>IF(EXACT(Asistencia!I60,"DL"),1,0)</f>
        <v>0</v>
      </c>
      <c r="BC57">
        <f>IF(EXACT(Asistencia!J60,"DL"),1,0)</f>
        <v>0</v>
      </c>
      <c r="BD57">
        <f>IF(EXACT(Asistencia!K60,"DL"),1,0)</f>
        <v>0</v>
      </c>
      <c r="BE57">
        <f>IF(EXACT(Asistencia!L60,"DL"),1,0)</f>
        <v>0</v>
      </c>
      <c r="BF57">
        <f t="shared" si="22"/>
        <v>0</v>
      </c>
      <c r="BG57">
        <f>IF(ISNUMBER(Asistencia!M60),Asistencia!M60,0)</f>
        <v>0</v>
      </c>
      <c r="BH57">
        <f>IF(ISNUMBER(Asistencia!N60),Asistencia!N60,0)</f>
        <v>0</v>
      </c>
      <c r="BI57">
        <f>IF(ISNUMBER(Asistencia!O60),Asistencia!O60,0)</f>
        <v>0</v>
      </c>
      <c r="BJ57">
        <f>IF(ISNUMBER(Asistencia!P60),Asistencia!P60,0)</f>
        <v>0</v>
      </c>
      <c r="BK57" t="str">
        <f>IF(Asistencia!F60="","",Asistencia!F60)</f>
        <v/>
      </c>
      <c r="BL57" t="str">
        <f>IF(Asistencia!G60="","",Asistencia!G60)</f>
        <v/>
      </c>
      <c r="BM57" t="str">
        <f>IF(Asistencia!H60="","",Asistencia!H60)</f>
        <v/>
      </c>
      <c r="BN57" t="str">
        <f>IF(Asistencia!I60="","",Asistencia!I60)</f>
        <v/>
      </c>
      <c r="BO57" t="str">
        <f>IF(Asistencia!J60="","",Asistencia!J60)</f>
        <v/>
      </c>
      <c r="BP57" t="str">
        <f>IF(Asistencia!K60="","",Asistencia!K60)</f>
        <v/>
      </c>
      <c r="BQ57" t="str">
        <f>IF(Asistencia!L60="","",Asistencia!L60)</f>
        <v/>
      </c>
    </row>
    <row r="58" spans="1:69" ht="15.75" customHeight="1" x14ac:dyDescent="0.25">
      <c r="A58" s="46" t="str">
        <f t="shared" si="23"/>
        <v/>
      </c>
      <c r="B58" s="47" t="str">
        <f t="shared" si="24"/>
        <v/>
      </c>
      <c r="C58" s="47"/>
      <c r="D58" s="47"/>
      <c r="E58" s="46" t="str">
        <f t="shared" si="25"/>
        <v/>
      </c>
      <c r="F58" s="45" t="str">
        <f t="shared" si="26"/>
        <v/>
      </c>
      <c r="G58" s="44" t="str">
        <f t="shared" si="27"/>
        <v/>
      </c>
      <c r="H58" s="44" t="str">
        <f t="shared" si="28"/>
        <v/>
      </c>
      <c r="I58" s="44" t="str">
        <f t="shared" si="29"/>
        <v/>
      </c>
      <c r="J58" s="44" t="str">
        <f t="shared" si="30"/>
        <v/>
      </c>
      <c r="K58" s="44" t="str">
        <f t="shared" si="31"/>
        <v/>
      </c>
      <c r="L58" s="44" t="str">
        <f t="shared" si="32"/>
        <v/>
      </c>
      <c r="M58" s="43" t="str">
        <f t="shared" si="33"/>
        <v/>
      </c>
      <c r="N58" s="41" t="str">
        <f t="shared" si="34"/>
        <v/>
      </c>
      <c r="O58" s="41" t="str">
        <f t="shared" si="35"/>
        <v/>
      </c>
      <c r="P58" s="41" t="str">
        <f t="shared" si="36"/>
        <v/>
      </c>
      <c r="Q58" s="41" t="str">
        <f t="shared" si="37"/>
        <v/>
      </c>
      <c r="R58" s="41" t="str">
        <f t="shared" si="38"/>
        <v/>
      </c>
      <c r="S58" s="41"/>
      <c r="T58" s="48"/>
      <c r="U58" s="41" t="str">
        <f t="shared" si="39"/>
        <v/>
      </c>
      <c r="V58" s="41"/>
      <c r="W58" s="42" t="str">
        <f t="shared" si="40"/>
        <v/>
      </c>
      <c r="Y58" t="str">
        <f>IFERROR(MATCH(54,$AH$5:$AH$323,0),"")</f>
        <v/>
      </c>
      <c r="Z58" t="str">
        <f t="shared" si="41"/>
        <v/>
      </c>
      <c r="AA58" t="str">
        <f t="shared" si="19"/>
        <v/>
      </c>
      <c r="AB58" t="str">
        <f>IF(Asistencia!A61="","",Asistencia!A61)</f>
        <v/>
      </c>
      <c r="AC58" t="str">
        <f>IF(Asistencia!A61="","",SUBSTITUTE(SUBSTITUTE(SUBSTITUTE(SUBSTITUTE(SUBSTITUTE(SUBSTITUTE(SUBSTITUTE(UPPER(TRIM(Asistencia!A61)),"Á","A"),"É","E"),"Í","I"),"Ó","O"),"Ú","U"),"Ñ","N"),"  "," "))</f>
        <v/>
      </c>
      <c r="AD58" t="str">
        <f>IF(Asistencia!E61="","",Asistencia!E61)</f>
        <v/>
      </c>
      <c r="AE58" t="str">
        <f>IF(Asistencia!D61="","",UPPER(TRIM(Asistencia!D61)))</f>
        <v/>
      </c>
      <c r="AF58" t="s">
        <v>188</v>
      </c>
      <c r="AG58">
        <f>IF(AND(AA58&lt;&gt;"",COUNTIF($AA$5:AA58,AA58)=1),1,0)</f>
        <v>0</v>
      </c>
      <c r="AH58" t="str">
        <f>IF(AG58=1,SUM($AG$5:AG58),"")</f>
        <v/>
      </c>
      <c r="AI58">
        <f>IF(OR(EXACT(Asistencia!F61,"A"),EXACT(Asistencia!F61,"R"),EXACT(Asistencia!F61,"DL"),EXACT(Asistencia!F61,"FL"),EXACT(Asistencia!F61,"FE"),EXACT(Asistencia!F61,"PCS"),EXACT(Asistencia!F61,"V")),1,0)</f>
        <v>0</v>
      </c>
      <c r="AJ58">
        <f>IF(OR(EXACT(Asistencia!G61,"A"),EXACT(Asistencia!G61,"R"),EXACT(Asistencia!G61,"DL"),EXACT(Asistencia!G61,"FL"),EXACT(Asistencia!G61,"FE"),EXACT(Asistencia!G61,"PCS"),EXACT(Asistencia!G61,"V")),1,0)</f>
        <v>0</v>
      </c>
      <c r="AK58">
        <f>IF(OR(EXACT(Asistencia!H61,"A"),EXACT(Asistencia!H61,"R"),EXACT(Asistencia!H61,"DL"),EXACT(Asistencia!H61,"FL"),EXACT(Asistencia!H61,"FE"),EXACT(Asistencia!H61,"PCS"),EXACT(Asistencia!H61,"V")),1,0)</f>
        <v>0</v>
      </c>
      <c r="AL58">
        <f>IF(OR(EXACT(Asistencia!I61,"A"),EXACT(Asistencia!I61,"R"),EXACT(Asistencia!I61,"DL"),EXACT(Asistencia!I61,"FL"),EXACT(Asistencia!I61,"FE"),EXACT(Asistencia!I61,"PCS"),EXACT(Asistencia!I61,"V")),1,0)</f>
        <v>0</v>
      </c>
      <c r="AM58">
        <f>IF(OR(EXACT(Asistencia!J61,"A"),EXACT(Asistencia!J61,"R"),EXACT(Asistencia!J61,"DL"),EXACT(Asistencia!J61,"FL"),EXACT(Asistencia!J61,"FE"),EXACT(Asistencia!J61,"PCS"),EXACT(Asistencia!J61,"V")),1,0)</f>
        <v>0</v>
      </c>
      <c r="AN58">
        <f>IF(OR(EXACT(Asistencia!K61,"A"),EXACT(Asistencia!K61,"R"),EXACT(Asistencia!K61,"DL"),EXACT(Asistencia!K61,"FL"),EXACT(Asistencia!K61,"FE"),EXACT(Asistencia!K61,"PCS"),EXACT(Asistencia!K61,"V")),1,0)</f>
        <v>0</v>
      </c>
      <c r="AO58">
        <f>IF(OR(EXACT(Asistencia!L61,"A"),EXACT(Asistencia!L61,"R"),EXACT(Asistencia!L61,"DL"),EXACT(Asistencia!L61,"FL"),EXACT(Asistencia!L61,"FE"),EXACT(Asistencia!L61,"PCS"),EXACT(Asistencia!L61,"V")),1,0)</f>
        <v>0</v>
      </c>
      <c r="AP58">
        <f t="shared" si="20"/>
        <v>0</v>
      </c>
      <c r="AQ58">
        <f>IF(EXACT(Asistencia!F61,"FL"),1,0)</f>
        <v>0</v>
      </c>
      <c r="AR58">
        <f>IF(EXACT(Asistencia!G61,"FL"),1,0)</f>
        <v>0</v>
      </c>
      <c r="AS58">
        <f>IF(EXACT(Asistencia!H61,"FL"),1,0)</f>
        <v>0</v>
      </c>
      <c r="AT58">
        <f>IF(EXACT(Asistencia!I61,"FL"),1,0)</f>
        <v>0</v>
      </c>
      <c r="AU58">
        <f>IF(EXACT(Asistencia!J61,"FL"),1,0)</f>
        <v>0</v>
      </c>
      <c r="AV58">
        <f>IF(EXACT(Asistencia!K61,"FL"),1,0)</f>
        <v>0</v>
      </c>
      <c r="AW58">
        <f>IF(EXACT(Asistencia!L61,"FL"),1,0)</f>
        <v>0</v>
      </c>
      <c r="AX58">
        <f t="shared" si="21"/>
        <v>0</v>
      </c>
      <c r="AY58">
        <f>IF(EXACT(Asistencia!F61,"DL"),1,0)</f>
        <v>0</v>
      </c>
      <c r="AZ58">
        <f>IF(EXACT(Asistencia!G61,"DL"),1,0)</f>
        <v>0</v>
      </c>
      <c r="BA58">
        <f>IF(EXACT(Asistencia!H61,"DL"),1,0)</f>
        <v>0</v>
      </c>
      <c r="BB58">
        <f>IF(EXACT(Asistencia!I61,"DL"),1,0)</f>
        <v>0</v>
      </c>
      <c r="BC58">
        <f>IF(EXACT(Asistencia!J61,"DL"),1,0)</f>
        <v>0</v>
      </c>
      <c r="BD58">
        <f>IF(EXACT(Asistencia!K61,"DL"),1,0)</f>
        <v>0</v>
      </c>
      <c r="BE58">
        <f>IF(EXACT(Asistencia!L61,"DL"),1,0)</f>
        <v>0</v>
      </c>
      <c r="BF58">
        <f t="shared" si="22"/>
        <v>0</v>
      </c>
      <c r="BG58">
        <f>IF(ISNUMBER(Asistencia!M61),Asistencia!M61,0)</f>
        <v>0</v>
      </c>
      <c r="BH58">
        <f>IF(ISNUMBER(Asistencia!N61),Asistencia!N61,0)</f>
        <v>0</v>
      </c>
      <c r="BI58">
        <f>IF(ISNUMBER(Asistencia!O61),Asistencia!O61,0)</f>
        <v>0</v>
      </c>
      <c r="BJ58">
        <f>IF(ISNUMBER(Asistencia!P61),Asistencia!P61,0)</f>
        <v>0</v>
      </c>
      <c r="BK58" t="str">
        <f>IF(Asistencia!F61="","",Asistencia!F61)</f>
        <v/>
      </c>
      <c r="BL58" t="str">
        <f>IF(Asistencia!G61="","",Asistencia!G61)</f>
        <v/>
      </c>
      <c r="BM58" t="str">
        <f>IF(Asistencia!H61="","",Asistencia!H61)</f>
        <v/>
      </c>
      <c r="BN58" t="str">
        <f>IF(Asistencia!I61="","",Asistencia!I61)</f>
        <v/>
      </c>
      <c r="BO58" t="str">
        <f>IF(Asistencia!J61="","",Asistencia!J61)</f>
        <v/>
      </c>
      <c r="BP58" t="str">
        <f>IF(Asistencia!K61="","",Asistencia!K61)</f>
        <v/>
      </c>
      <c r="BQ58" t="str">
        <f>IF(Asistencia!L61="","",Asistencia!L61)</f>
        <v/>
      </c>
    </row>
    <row r="59" spans="1:69" ht="15.75" customHeight="1" x14ac:dyDescent="0.25">
      <c r="A59" s="46" t="str">
        <f t="shared" si="23"/>
        <v/>
      </c>
      <c r="B59" s="47" t="str">
        <f t="shared" si="24"/>
        <v/>
      </c>
      <c r="C59" s="47"/>
      <c r="D59" s="47"/>
      <c r="E59" s="46" t="str">
        <f t="shared" si="25"/>
        <v/>
      </c>
      <c r="F59" s="45" t="str">
        <f t="shared" si="26"/>
        <v/>
      </c>
      <c r="G59" s="44" t="str">
        <f t="shared" si="27"/>
        <v/>
      </c>
      <c r="H59" s="44" t="str">
        <f t="shared" si="28"/>
        <v/>
      </c>
      <c r="I59" s="44" t="str">
        <f t="shared" si="29"/>
        <v/>
      </c>
      <c r="J59" s="44" t="str">
        <f t="shared" si="30"/>
        <v/>
      </c>
      <c r="K59" s="44" t="str">
        <f t="shared" si="31"/>
        <v/>
      </c>
      <c r="L59" s="44" t="str">
        <f t="shared" si="32"/>
        <v/>
      </c>
      <c r="M59" s="43" t="str">
        <f t="shared" si="33"/>
        <v/>
      </c>
      <c r="N59" s="41" t="str">
        <f t="shared" si="34"/>
        <v/>
      </c>
      <c r="O59" s="41" t="str">
        <f t="shared" si="35"/>
        <v/>
      </c>
      <c r="P59" s="41" t="str">
        <f t="shared" si="36"/>
        <v/>
      </c>
      <c r="Q59" s="41" t="str">
        <f t="shared" si="37"/>
        <v/>
      </c>
      <c r="R59" s="41" t="str">
        <f t="shared" si="38"/>
        <v/>
      </c>
      <c r="S59" s="41"/>
      <c r="T59" s="48"/>
      <c r="U59" s="41" t="str">
        <f t="shared" si="39"/>
        <v/>
      </c>
      <c r="V59" s="41"/>
      <c r="W59" s="42" t="str">
        <f t="shared" si="40"/>
        <v/>
      </c>
      <c r="Y59" t="str">
        <f>IFERROR(MATCH(55,$AH$5:$AH$323,0),"")</f>
        <v/>
      </c>
      <c r="Z59" t="str">
        <f t="shared" si="41"/>
        <v/>
      </c>
      <c r="AA59" t="str">
        <f t="shared" si="19"/>
        <v/>
      </c>
      <c r="AB59" t="str">
        <f>IF(Asistencia!A62="","",Asistencia!A62)</f>
        <v/>
      </c>
      <c r="AC59" t="str">
        <f>IF(Asistencia!A62="","",SUBSTITUTE(SUBSTITUTE(SUBSTITUTE(SUBSTITUTE(SUBSTITUTE(SUBSTITUTE(SUBSTITUTE(UPPER(TRIM(Asistencia!A62)),"Á","A"),"É","E"),"Í","I"),"Ó","O"),"Ú","U"),"Ñ","N"),"  "," "))</f>
        <v/>
      </c>
      <c r="AD59" t="str">
        <f>IF(Asistencia!E62="","",Asistencia!E62)</f>
        <v/>
      </c>
      <c r="AE59" t="str">
        <f>IF(Asistencia!D62="","",UPPER(TRIM(Asistencia!D62)))</f>
        <v/>
      </c>
      <c r="AF59" t="s">
        <v>188</v>
      </c>
      <c r="AG59">
        <f>IF(AND(AA59&lt;&gt;"",COUNTIF($AA$5:AA59,AA59)=1),1,0)</f>
        <v>0</v>
      </c>
      <c r="AH59" t="str">
        <f>IF(AG59=1,SUM($AG$5:AG59),"")</f>
        <v/>
      </c>
      <c r="AI59">
        <f>IF(OR(EXACT(Asistencia!F62,"A"),EXACT(Asistencia!F62,"R"),EXACT(Asistencia!F62,"DL"),EXACT(Asistencia!F62,"FL"),EXACT(Asistencia!F62,"FE"),EXACT(Asistencia!F62,"PCS"),EXACT(Asistencia!F62,"V")),1,0)</f>
        <v>0</v>
      </c>
      <c r="AJ59">
        <f>IF(OR(EXACT(Asistencia!G62,"A"),EXACT(Asistencia!G62,"R"),EXACT(Asistencia!G62,"DL"),EXACT(Asistencia!G62,"FL"),EXACT(Asistencia!G62,"FE"),EXACT(Asistencia!G62,"PCS"),EXACT(Asistencia!G62,"V")),1,0)</f>
        <v>0</v>
      </c>
      <c r="AK59">
        <f>IF(OR(EXACT(Asistencia!H62,"A"),EXACT(Asistencia!H62,"R"),EXACT(Asistencia!H62,"DL"),EXACT(Asistencia!H62,"FL"),EXACT(Asistencia!H62,"FE"),EXACT(Asistencia!H62,"PCS"),EXACT(Asistencia!H62,"V")),1,0)</f>
        <v>0</v>
      </c>
      <c r="AL59">
        <f>IF(OR(EXACT(Asistencia!I62,"A"),EXACT(Asistencia!I62,"R"),EXACT(Asistencia!I62,"DL"),EXACT(Asistencia!I62,"FL"),EXACT(Asistencia!I62,"FE"),EXACT(Asistencia!I62,"PCS"),EXACT(Asistencia!I62,"V")),1,0)</f>
        <v>0</v>
      </c>
      <c r="AM59">
        <f>IF(OR(EXACT(Asistencia!J62,"A"),EXACT(Asistencia!J62,"R"),EXACT(Asistencia!J62,"DL"),EXACT(Asistencia!J62,"FL"),EXACT(Asistencia!J62,"FE"),EXACT(Asistencia!J62,"PCS"),EXACT(Asistencia!J62,"V")),1,0)</f>
        <v>0</v>
      </c>
      <c r="AN59">
        <f>IF(OR(EXACT(Asistencia!K62,"A"),EXACT(Asistencia!K62,"R"),EXACT(Asistencia!K62,"DL"),EXACT(Asistencia!K62,"FL"),EXACT(Asistencia!K62,"FE"),EXACT(Asistencia!K62,"PCS"),EXACT(Asistencia!K62,"V")),1,0)</f>
        <v>0</v>
      </c>
      <c r="AO59">
        <f>IF(OR(EXACT(Asistencia!L62,"A"),EXACT(Asistencia!L62,"R"),EXACT(Asistencia!L62,"DL"),EXACT(Asistencia!L62,"FL"),EXACT(Asistencia!L62,"FE"),EXACT(Asistencia!L62,"PCS"),EXACT(Asistencia!L62,"V")),1,0)</f>
        <v>0</v>
      </c>
      <c r="AP59">
        <f t="shared" si="20"/>
        <v>0</v>
      </c>
      <c r="AQ59">
        <f>IF(EXACT(Asistencia!F62,"FL"),1,0)</f>
        <v>0</v>
      </c>
      <c r="AR59">
        <f>IF(EXACT(Asistencia!G62,"FL"),1,0)</f>
        <v>0</v>
      </c>
      <c r="AS59">
        <f>IF(EXACT(Asistencia!H62,"FL"),1,0)</f>
        <v>0</v>
      </c>
      <c r="AT59">
        <f>IF(EXACT(Asistencia!I62,"FL"),1,0)</f>
        <v>0</v>
      </c>
      <c r="AU59">
        <f>IF(EXACT(Asistencia!J62,"FL"),1,0)</f>
        <v>0</v>
      </c>
      <c r="AV59">
        <f>IF(EXACT(Asistencia!K62,"FL"),1,0)</f>
        <v>0</v>
      </c>
      <c r="AW59">
        <f>IF(EXACT(Asistencia!L62,"FL"),1,0)</f>
        <v>0</v>
      </c>
      <c r="AX59">
        <f t="shared" si="21"/>
        <v>0</v>
      </c>
      <c r="AY59">
        <f>IF(EXACT(Asistencia!F62,"DL"),1,0)</f>
        <v>0</v>
      </c>
      <c r="AZ59">
        <f>IF(EXACT(Asistencia!G62,"DL"),1,0)</f>
        <v>0</v>
      </c>
      <c r="BA59">
        <f>IF(EXACT(Asistencia!H62,"DL"),1,0)</f>
        <v>0</v>
      </c>
      <c r="BB59">
        <f>IF(EXACT(Asistencia!I62,"DL"),1,0)</f>
        <v>0</v>
      </c>
      <c r="BC59">
        <f>IF(EXACT(Asistencia!J62,"DL"),1,0)</f>
        <v>0</v>
      </c>
      <c r="BD59">
        <f>IF(EXACT(Asistencia!K62,"DL"),1,0)</f>
        <v>0</v>
      </c>
      <c r="BE59">
        <f>IF(EXACT(Asistencia!L62,"DL"),1,0)</f>
        <v>0</v>
      </c>
      <c r="BF59">
        <f t="shared" si="22"/>
        <v>0</v>
      </c>
      <c r="BG59">
        <f>IF(ISNUMBER(Asistencia!M62),Asistencia!M62,0)</f>
        <v>0</v>
      </c>
      <c r="BH59">
        <f>IF(ISNUMBER(Asistencia!N62),Asistencia!N62,0)</f>
        <v>0</v>
      </c>
      <c r="BI59">
        <f>IF(ISNUMBER(Asistencia!O62),Asistencia!O62,0)</f>
        <v>0</v>
      </c>
      <c r="BJ59">
        <f>IF(ISNUMBER(Asistencia!P62),Asistencia!P62,0)</f>
        <v>0</v>
      </c>
      <c r="BK59" t="str">
        <f>IF(Asistencia!F62="","",Asistencia!F62)</f>
        <v/>
      </c>
      <c r="BL59" t="str">
        <f>IF(Asistencia!G62="","",Asistencia!G62)</f>
        <v/>
      </c>
      <c r="BM59" t="str">
        <f>IF(Asistencia!H62="","",Asistencia!H62)</f>
        <v/>
      </c>
      <c r="BN59" t="str">
        <f>IF(Asistencia!I62="","",Asistencia!I62)</f>
        <v/>
      </c>
      <c r="BO59" t="str">
        <f>IF(Asistencia!J62="","",Asistencia!J62)</f>
        <v/>
      </c>
      <c r="BP59" t="str">
        <f>IF(Asistencia!K62="","",Asistencia!K62)</f>
        <v/>
      </c>
      <c r="BQ59" t="str">
        <f>IF(Asistencia!L62="","",Asistencia!L62)</f>
        <v/>
      </c>
    </row>
    <row r="60" spans="1:69" ht="15.75" customHeight="1" x14ac:dyDescent="0.25">
      <c r="A60" s="46" t="str">
        <f t="shared" si="23"/>
        <v/>
      </c>
      <c r="B60" s="47" t="str">
        <f t="shared" si="24"/>
        <v/>
      </c>
      <c r="C60" s="47"/>
      <c r="D60" s="47"/>
      <c r="E60" s="46" t="str">
        <f t="shared" si="25"/>
        <v/>
      </c>
      <c r="F60" s="45" t="str">
        <f t="shared" si="26"/>
        <v/>
      </c>
      <c r="G60" s="44" t="str">
        <f t="shared" si="27"/>
        <v/>
      </c>
      <c r="H60" s="44" t="str">
        <f t="shared" si="28"/>
        <v/>
      </c>
      <c r="I60" s="44" t="str">
        <f t="shared" si="29"/>
        <v/>
      </c>
      <c r="J60" s="44" t="str">
        <f t="shared" si="30"/>
        <v/>
      </c>
      <c r="K60" s="44" t="str">
        <f t="shared" si="31"/>
        <v/>
      </c>
      <c r="L60" s="44" t="str">
        <f t="shared" si="32"/>
        <v/>
      </c>
      <c r="M60" s="43" t="str">
        <f t="shared" si="33"/>
        <v/>
      </c>
      <c r="N60" s="41" t="str">
        <f t="shared" si="34"/>
        <v/>
      </c>
      <c r="O60" s="41" t="str">
        <f t="shared" si="35"/>
        <v/>
      </c>
      <c r="P60" s="41" t="str">
        <f t="shared" si="36"/>
        <v/>
      </c>
      <c r="Q60" s="41" t="str">
        <f t="shared" si="37"/>
        <v/>
      </c>
      <c r="R60" s="41" t="str">
        <f t="shared" si="38"/>
        <v/>
      </c>
      <c r="S60" s="41"/>
      <c r="T60" s="48"/>
      <c r="U60" s="41" t="str">
        <f t="shared" si="39"/>
        <v/>
      </c>
      <c r="V60" s="41"/>
      <c r="W60" s="42" t="str">
        <f t="shared" si="40"/>
        <v/>
      </c>
      <c r="Y60" t="str">
        <f>IFERROR(MATCH(56,$AH$5:$AH$323,0),"")</f>
        <v/>
      </c>
      <c r="Z60" t="str">
        <f t="shared" si="41"/>
        <v/>
      </c>
      <c r="AA60" t="str">
        <f t="shared" si="19"/>
        <v/>
      </c>
      <c r="AB60" t="str">
        <f>IF(Asistencia!A63="","",Asistencia!A63)</f>
        <v/>
      </c>
      <c r="AC60" t="str">
        <f>IF(Asistencia!A63="","",SUBSTITUTE(SUBSTITUTE(SUBSTITUTE(SUBSTITUTE(SUBSTITUTE(SUBSTITUTE(SUBSTITUTE(UPPER(TRIM(Asistencia!A63)),"Á","A"),"É","E"),"Í","I"),"Ó","O"),"Ú","U"),"Ñ","N"),"  "," "))</f>
        <v/>
      </c>
      <c r="AD60" t="str">
        <f>IF(Asistencia!E63="","",Asistencia!E63)</f>
        <v/>
      </c>
      <c r="AE60" t="str">
        <f>IF(Asistencia!D63="","",UPPER(TRIM(Asistencia!D63)))</f>
        <v/>
      </c>
      <c r="AF60" t="s">
        <v>188</v>
      </c>
      <c r="AG60">
        <f>IF(AND(AA60&lt;&gt;"",COUNTIF($AA$5:AA60,AA60)=1),1,0)</f>
        <v>0</v>
      </c>
      <c r="AH60" t="str">
        <f>IF(AG60=1,SUM($AG$5:AG60),"")</f>
        <v/>
      </c>
      <c r="AI60">
        <f>IF(OR(EXACT(Asistencia!F63,"A"),EXACT(Asistencia!F63,"R"),EXACT(Asistencia!F63,"DL"),EXACT(Asistencia!F63,"FL"),EXACT(Asistencia!F63,"FE"),EXACT(Asistencia!F63,"PCS"),EXACT(Asistencia!F63,"V")),1,0)</f>
        <v>0</v>
      </c>
      <c r="AJ60">
        <f>IF(OR(EXACT(Asistencia!G63,"A"),EXACT(Asistencia!G63,"R"),EXACT(Asistencia!G63,"DL"),EXACT(Asistencia!G63,"FL"),EXACT(Asistencia!G63,"FE"),EXACT(Asistencia!G63,"PCS"),EXACT(Asistencia!G63,"V")),1,0)</f>
        <v>0</v>
      </c>
      <c r="AK60">
        <f>IF(OR(EXACT(Asistencia!H63,"A"),EXACT(Asistencia!H63,"R"),EXACT(Asistencia!H63,"DL"),EXACT(Asistencia!H63,"FL"),EXACT(Asistencia!H63,"FE"),EXACT(Asistencia!H63,"PCS"),EXACT(Asistencia!H63,"V")),1,0)</f>
        <v>0</v>
      </c>
      <c r="AL60">
        <f>IF(OR(EXACT(Asistencia!I63,"A"),EXACT(Asistencia!I63,"R"),EXACT(Asistencia!I63,"DL"),EXACT(Asistencia!I63,"FL"),EXACT(Asistencia!I63,"FE"),EXACT(Asistencia!I63,"PCS"),EXACT(Asistencia!I63,"V")),1,0)</f>
        <v>0</v>
      </c>
      <c r="AM60">
        <f>IF(OR(EXACT(Asistencia!J63,"A"),EXACT(Asistencia!J63,"R"),EXACT(Asistencia!J63,"DL"),EXACT(Asistencia!J63,"FL"),EXACT(Asistencia!J63,"FE"),EXACT(Asistencia!J63,"PCS"),EXACT(Asistencia!J63,"V")),1,0)</f>
        <v>0</v>
      </c>
      <c r="AN60">
        <f>IF(OR(EXACT(Asistencia!K63,"A"),EXACT(Asistencia!K63,"R"),EXACT(Asistencia!K63,"DL"),EXACT(Asistencia!K63,"FL"),EXACT(Asistencia!K63,"FE"),EXACT(Asistencia!K63,"PCS"),EXACT(Asistencia!K63,"V")),1,0)</f>
        <v>0</v>
      </c>
      <c r="AO60">
        <f>IF(OR(EXACT(Asistencia!L63,"A"),EXACT(Asistencia!L63,"R"),EXACT(Asistencia!L63,"DL"),EXACT(Asistencia!L63,"FL"),EXACT(Asistencia!L63,"FE"),EXACT(Asistencia!L63,"PCS"),EXACT(Asistencia!L63,"V")),1,0)</f>
        <v>0</v>
      </c>
      <c r="AP60">
        <f t="shared" si="20"/>
        <v>0</v>
      </c>
      <c r="AQ60">
        <f>IF(EXACT(Asistencia!F63,"FL"),1,0)</f>
        <v>0</v>
      </c>
      <c r="AR60">
        <f>IF(EXACT(Asistencia!G63,"FL"),1,0)</f>
        <v>0</v>
      </c>
      <c r="AS60">
        <f>IF(EXACT(Asistencia!H63,"FL"),1,0)</f>
        <v>0</v>
      </c>
      <c r="AT60">
        <f>IF(EXACT(Asistencia!I63,"FL"),1,0)</f>
        <v>0</v>
      </c>
      <c r="AU60">
        <f>IF(EXACT(Asistencia!J63,"FL"),1,0)</f>
        <v>0</v>
      </c>
      <c r="AV60">
        <f>IF(EXACT(Asistencia!K63,"FL"),1,0)</f>
        <v>0</v>
      </c>
      <c r="AW60">
        <f>IF(EXACT(Asistencia!L63,"FL"),1,0)</f>
        <v>0</v>
      </c>
      <c r="AX60">
        <f t="shared" si="21"/>
        <v>0</v>
      </c>
      <c r="AY60">
        <f>IF(EXACT(Asistencia!F63,"DL"),1,0)</f>
        <v>0</v>
      </c>
      <c r="AZ60">
        <f>IF(EXACT(Asistencia!G63,"DL"),1,0)</f>
        <v>0</v>
      </c>
      <c r="BA60">
        <f>IF(EXACT(Asistencia!H63,"DL"),1,0)</f>
        <v>0</v>
      </c>
      <c r="BB60">
        <f>IF(EXACT(Asistencia!I63,"DL"),1,0)</f>
        <v>0</v>
      </c>
      <c r="BC60">
        <f>IF(EXACT(Asistencia!J63,"DL"),1,0)</f>
        <v>0</v>
      </c>
      <c r="BD60">
        <f>IF(EXACT(Asistencia!K63,"DL"),1,0)</f>
        <v>0</v>
      </c>
      <c r="BE60">
        <f>IF(EXACT(Asistencia!L63,"DL"),1,0)</f>
        <v>0</v>
      </c>
      <c r="BF60">
        <f t="shared" si="22"/>
        <v>0</v>
      </c>
      <c r="BG60">
        <f>IF(ISNUMBER(Asistencia!M63),Asistencia!M63,0)</f>
        <v>0</v>
      </c>
      <c r="BH60">
        <f>IF(ISNUMBER(Asistencia!N63),Asistencia!N63,0)</f>
        <v>0</v>
      </c>
      <c r="BI60">
        <f>IF(ISNUMBER(Asistencia!O63),Asistencia!O63,0)</f>
        <v>0</v>
      </c>
      <c r="BJ60">
        <f>IF(ISNUMBER(Asistencia!P63),Asistencia!P63,0)</f>
        <v>0</v>
      </c>
      <c r="BK60" t="str">
        <f>IF(Asistencia!F63="","",Asistencia!F63)</f>
        <v/>
      </c>
      <c r="BL60" t="str">
        <f>IF(Asistencia!G63="","",Asistencia!G63)</f>
        <v/>
      </c>
      <c r="BM60" t="str">
        <f>IF(Asistencia!H63="","",Asistencia!H63)</f>
        <v/>
      </c>
      <c r="BN60" t="str">
        <f>IF(Asistencia!I63="","",Asistencia!I63)</f>
        <v/>
      </c>
      <c r="BO60" t="str">
        <f>IF(Asistencia!J63="","",Asistencia!J63)</f>
        <v/>
      </c>
      <c r="BP60" t="str">
        <f>IF(Asistencia!K63="","",Asistencia!K63)</f>
        <v/>
      </c>
      <c r="BQ60" t="str">
        <f>IF(Asistencia!L63="","",Asistencia!L63)</f>
        <v/>
      </c>
    </row>
    <row r="61" spans="1:69" ht="15.75" customHeight="1" x14ac:dyDescent="0.25">
      <c r="A61" s="46" t="str">
        <f t="shared" si="23"/>
        <v/>
      </c>
      <c r="B61" s="47" t="str">
        <f t="shared" si="24"/>
        <v/>
      </c>
      <c r="C61" s="47"/>
      <c r="D61" s="47"/>
      <c r="E61" s="46" t="str">
        <f t="shared" si="25"/>
        <v/>
      </c>
      <c r="F61" s="45" t="str">
        <f t="shared" si="26"/>
        <v/>
      </c>
      <c r="G61" s="44" t="str">
        <f t="shared" si="27"/>
        <v/>
      </c>
      <c r="H61" s="44" t="str">
        <f t="shared" si="28"/>
        <v/>
      </c>
      <c r="I61" s="44" t="str">
        <f t="shared" si="29"/>
        <v/>
      </c>
      <c r="J61" s="44" t="str">
        <f t="shared" si="30"/>
        <v/>
      </c>
      <c r="K61" s="44" t="str">
        <f t="shared" si="31"/>
        <v/>
      </c>
      <c r="L61" s="44" t="str">
        <f t="shared" si="32"/>
        <v/>
      </c>
      <c r="M61" s="43" t="str">
        <f t="shared" si="33"/>
        <v/>
      </c>
      <c r="N61" s="41" t="str">
        <f t="shared" si="34"/>
        <v/>
      </c>
      <c r="O61" s="41" t="str">
        <f t="shared" si="35"/>
        <v/>
      </c>
      <c r="P61" s="41" t="str">
        <f t="shared" si="36"/>
        <v/>
      </c>
      <c r="Q61" s="41" t="str">
        <f t="shared" si="37"/>
        <v/>
      </c>
      <c r="R61" s="41" t="str">
        <f t="shared" si="38"/>
        <v/>
      </c>
      <c r="S61" s="41"/>
      <c r="T61" s="48"/>
      <c r="U61" s="41" t="str">
        <f t="shared" si="39"/>
        <v/>
      </c>
      <c r="V61" s="41"/>
      <c r="W61" s="42" t="str">
        <f t="shared" si="40"/>
        <v/>
      </c>
      <c r="Y61" t="str">
        <f>IFERROR(MATCH(57,$AH$5:$AH$323,0),"")</f>
        <v/>
      </c>
      <c r="Z61" t="str">
        <f t="shared" si="41"/>
        <v/>
      </c>
      <c r="AA61" t="str">
        <f t="shared" si="19"/>
        <v/>
      </c>
      <c r="AB61" t="str">
        <f>IF(Asistencia!A64="","",Asistencia!A64)</f>
        <v/>
      </c>
      <c r="AC61" t="str">
        <f>IF(Asistencia!A64="","",SUBSTITUTE(SUBSTITUTE(SUBSTITUTE(SUBSTITUTE(SUBSTITUTE(SUBSTITUTE(SUBSTITUTE(UPPER(TRIM(Asistencia!A64)),"Á","A"),"É","E"),"Í","I"),"Ó","O"),"Ú","U"),"Ñ","N"),"  "," "))</f>
        <v/>
      </c>
      <c r="AD61" t="str">
        <f>IF(Asistencia!E64="","",Asistencia!E64)</f>
        <v/>
      </c>
      <c r="AE61" t="str">
        <f>IF(Asistencia!D64="","",UPPER(TRIM(Asistencia!D64)))</f>
        <v/>
      </c>
      <c r="AF61" t="s">
        <v>188</v>
      </c>
      <c r="AG61">
        <f>IF(AND(AA61&lt;&gt;"",COUNTIF($AA$5:AA61,AA61)=1),1,0)</f>
        <v>0</v>
      </c>
      <c r="AH61" t="str">
        <f>IF(AG61=1,SUM($AG$5:AG61),"")</f>
        <v/>
      </c>
      <c r="AI61">
        <f>IF(OR(EXACT(Asistencia!F64,"A"),EXACT(Asistencia!F64,"R"),EXACT(Asistencia!F64,"DL"),EXACT(Asistencia!F64,"FL"),EXACT(Asistencia!F64,"FE"),EXACT(Asistencia!F64,"PCS"),EXACT(Asistencia!F64,"V")),1,0)</f>
        <v>0</v>
      </c>
      <c r="AJ61">
        <f>IF(OR(EXACT(Asistencia!G64,"A"),EXACT(Asistencia!G64,"R"),EXACT(Asistencia!G64,"DL"),EXACT(Asistencia!G64,"FL"),EXACT(Asistencia!G64,"FE"),EXACT(Asistencia!G64,"PCS"),EXACT(Asistencia!G64,"V")),1,0)</f>
        <v>0</v>
      </c>
      <c r="AK61">
        <f>IF(OR(EXACT(Asistencia!H64,"A"),EXACT(Asistencia!H64,"R"),EXACT(Asistencia!H64,"DL"),EXACT(Asistencia!H64,"FL"),EXACT(Asistencia!H64,"FE"),EXACT(Asistencia!H64,"PCS"),EXACT(Asistencia!H64,"V")),1,0)</f>
        <v>0</v>
      </c>
      <c r="AL61">
        <f>IF(OR(EXACT(Asistencia!I64,"A"),EXACT(Asistencia!I64,"R"),EXACT(Asistencia!I64,"DL"),EXACT(Asistencia!I64,"FL"),EXACT(Asistencia!I64,"FE"),EXACT(Asistencia!I64,"PCS"),EXACT(Asistencia!I64,"V")),1,0)</f>
        <v>0</v>
      </c>
      <c r="AM61">
        <f>IF(OR(EXACT(Asistencia!J64,"A"),EXACT(Asistencia!J64,"R"),EXACT(Asistencia!J64,"DL"),EXACT(Asistencia!J64,"FL"),EXACT(Asistencia!J64,"FE"),EXACT(Asistencia!J64,"PCS"),EXACT(Asistencia!J64,"V")),1,0)</f>
        <v>0</v>
      </c>
      <c r="AN61">
        <f>IF(OR(EXACT(Asistencia!K64,"A"),EXACT(Asistencia!K64,"R"),EXACT(Asistencia!K64,"DL"),EXACT(Asistencia!K64,"FL"),EXACT(Asistencia!K64,"FE"),EXACT(Asistencia!K64,"PCS"),EXACT(Asistencia!K64,"V")),1,0)</f>
        <v>0</v>
      </c>
      <c r="AO61">
        <f>IF(OR(EXACT(Asistencia!L64,"A"),EXACT(Asistencia!L64,"R"),EXACT(Asistencia!L64,"DL"),EXACT(Asistencia!L64,"FL"),EXACT(Asistencia!L64,"FE"),EXACT(Asistencia!L64,"PCS"),EXACT(Asistencia!L64,"V")),1,0)</f>
        <v>0</v>
      </c>
      <c r="AP61">
        <f t="shared" si="20"/>
        <v>0</v>
      </c>
      <c r="AQ61">
        <f>IF(EXACT(Asistencia!F64,"FL"),1,0)</f>
        <v>0</v>
      </c>
      <c r="AR61">
        <f>IF(EXACT(Asistencia!G64,"FL"),1,0)</f>
        <v>0</v>
      </c>
      <c r="AS61">
        <f>IF(EXACT(Asistencia!H64,"FL"),1,0)</f>
        <v>0</v>
      </c>
      <c r="AT61">
        <f>IF(EXACT(Asistencia!I64,"FL"),1,0)</f>
        <v>0</v>
      </c>
      <c r="AU61">
        <f>IF(EXACT(Asistencia!J64,"FL"),1,0)</f>
        <v>0</v>
      </c>
      <c r="AV61">
        <f>IF(EXACT(Asistencia!K64,"FL"),1,0)</f>
        <v>0</v>
      </c>
      <c r="AW61">
        <f>IF(EXACT(Asistencia!L64,"FL"),1,0)</f>
        <v>0</v>
      </c>
      <c r="AX61">
        <f t="shared" si="21"/>
        <v>0</v>
      </c>
      <c r="AY61">
        <f>IF(EXACT(Asistencia!F64,"DL"),1,0)</f>
        <v>0</v>
      </c>
      <c r="AZ61">
        <f>IF(EXACT(Asistencia!G64,"DL"),1,0)</f>
        <v>0</v>
      </c>
      <c r="BA61">
        <f>IF(EXACT(Asistencia!H64,"DL"),1,0)</f>
        <v>0</v>
      </c>
      <c r="BB61">
        <f>IF(EXACT(Asistencia!I64,"DL"),1,0)</f>
        <v>0</v>
      </c>
      <c r="BC61">
        <f>IF(EXACT(Asistencia!J64,"DL"),1,0)</f>
        <v>0</v>
      </c>
      <c r="BD61">
        <f>IF(EXACT(Asistencia!K64,"DL"),1,0)</f>
        <v>0</v>
      </c>
      <c r="BE61">
        <f>IF(EXACT(Asistencia!L64,"DL"),1,0)</f>
        <v>0</v>
      </c>
      <c r="BF61">
        <f t="shared" si="22"/>
        <v>0</v>
      </c>
      <c r="BG61">
        <f>IF(ISNUMBER(Asistencia!M64),Asistencia!M64,0)</f>
        <v>0</v>
      </c>
      <c r="BH61">
        <f>IF(ISNUMBER(Asistencia!N64),Asistencia!N64,0)</f>
        <v>0</v>
      </c>
      <c r="BI61">
        <f>IF(ISNUMBER(Asistencia!O64),Asistencia!O64,0)</f>
        <v>0</v>
      </c>
      <c r="BJ61">
        <f>IF(ISNUMBER(Asistencia!P64),Asistencia!P64,0)</f>
        <v>0</v>
      </c>
      <c r="BK61" t="str">
        <f>IF(Asistencia!F64="","",Asistencia!F64)</f>
        <v/>
      </c>
      <c r="BL61" t="str">
        <f>IF(Asistencia!G64="","",Asistencia!G64)</f>
        <v/>
      </c>
      <c r="BM61" t="str">
        <f>IF(Asistencia!H64="","",Asistencia!H64)</f>
        <v/>
      </c>
      <c r="BN61" t="str">
        <f>IF(Asistencia!I64="","",Asistencia!I64)</f>
        <v/>
      </c>
      <c r="BO61" t="str">
        <f>IF(Asistencia!J64="","",Asistencia!J64)</f>
        <v/>
      </c>
      <c r="BP61" t="str">
        <f>IF(Asistencia!K64="","",Asistencia!K64)</f>
        <v/>
      </c>
      <c r="BQ61" t="str">
        <f>IF(Asistencia!L64="","",Asistencia!L64)</f>
        <v/>
      </c>
    </row>
    <row r="62" spans="1:69" ht="15.75" customHeight="1" x14ac:dyDescent="0.25">
      <c r="A62" s="46" t="str">
        <f t="shared" si="23"/>
        <v/>
      </c>
      <c r="B62" s="47" t="str">
        <f t="shared" si="24"/>
        <v/>
      </c>
      <c r="C62" s="47"/>
      <c r="D62" s="47"/>
      <c r="E62" s="46" t="str">
        <f t="shared" si="25"/>
        <v/>
      </c>
      <c r="F62" s="45" t="str">
        <f t="shared" si="26"/>
        <v/>
      </c>
      <c r="G62" s="44" t="str">
        <f t="shared" si="27"/>
        <v/>
      </c>
      <c r="H62" s="44" t="str">
        <f t="shared" si="28"/>
        <v/>
      </c>
      <c r="I62" s="44" t="str">
        <f t="shared" si="29"/>
        <v/>
      </c>
      <c r="J62" s="44" t="str">
        <f t="shared" si="30"/>
        <v/>
      </c>
      <c r="K62" s="44" t="str">
        <f t="shared" si="31"/>
        <v/>
      </c>
      <c r="L62" s="44" t="str">
        <f t="shared" si="32"/>
        <v/>
      </c>
      <c r="M62" s="43" t="str">
        <f t="shared" si="33"/>
        <v/>
      </c>
      <c r="N62" s="41" t="str">
        <f t="shared" si="34"/>
        <v/>
      </c>
      <c r="O62" s="41" t="str">
        <f t="shared" si="35"/>
        <v/>
      </c>
      <c r="P62" s="41" t="str">
        <f t="shared" si="36"/>
        <v/>
      </c>
      <c r="Q62" s="41" t="str">
        <f t="shared" si="37"/>
        <v/>
      </c>
      <c r="R62" s="41" t="str">
        <f t="shared" si="38"/>
        <v/>
      </c>
      <c r="S62" s="41"/>
      <c r="T62" s="48"/>
      <c r="U62" s="41" t="str">
        <f t="shared" si="39"/>
        <v/>
      </c>
      <c r="V62" s="41"/>
      <c r="W62" s="42" t="str">
        <f t="shared" si="40"/>
        <v/>
      </c>
      <c r="Y62" t="str">
        <f>IFERROR(MATCH(58,$AH$5:$AH$323,0),"")</f>
        <v/>
      </c>
      <c r="Z62" t="str">
        <f t="shared" si="41"/>
        <v/>
      </c>
      <c r="AA62" t="str">
        <f t="shared" si="19"/>
        <v/>
      </c>
      <c r="AB62" t="str">
        <f>IF(Asistencia!A65="","",Asistencia!A65)</f>
        <v/>
      </c>
      <c r="AC62" t="str">
        <f>IF(Asistencia!A65="","",SUBSTITUTE(SUBSTITUTE(SUBSTITUTE(SUBSTITUTE(SUBSTITUTE(SUBSTITUTE(SUBSTITUTE(UPPER(TRIM(Asistencia!A65)),"Á","A"),"É","E"),"Í","I"),"Ó","O"),"Ú","U"),"Ñ","N"),"  "," "))</f>
        <v/>
      </c>
      <c r="AD62" t="str">
        <f>IF(Asistencia!E65="","",Asistencia!E65)</f>
        <v/>
      </c>
      <c r="AE62" t="str">
        <f>IF(Asistencia!D65="","",UPPER(TRIM(Asistencia!D65)))</f>
        <v/>
      </c>
      <c r="AF62" t="s">
        <v>188</v>
      </c>
      <c r="AG62">
        <f>IF(AND(AA62&lt;&gt;"",COUNTIF($AA$5:AA62,AA62)=1),1,0)</f>
        <v>0</v>
      </c>
      <c r="AH62" t="str">
        <f>IF(AG62=1,SUM($AG$5:AG62),"")</f>
        <v/>
      </c>
      <c r="AI62">
        <f>IF(OR(EXACT(Asistencia!F65,"A"),EXACT(Asistencia!F65,"R"),EXACT(Asistencia!F65,"DL"),EXACT(Asistencia!F65,"FL"),EXACT(Asistencia!F65,"FE"),EXACT(Asistencia!F65,"PCS"),EXACT(Asistencia!F65,"V")),1,0)</f>
        <v>0</v>
      </c>
      <c r="AJ62">
        <f>IF(OR(EXACT(Asistencia!G65,"A"),EXACT(Asistencia!G65,"R"),EXACT(Asistencia!G65,"DL"),EXACT(Asistencia!G65,"FL"),EXACT(Asistencia!G65,"FE"),EXACT(Asistencia!G65,"PCS"),EXACT(Asistencia!G65,"V")),1,0)</f>
        <v>0</v>
      </c>
      <c r="AK62">
        <f>IF(OR(EXACT(Asistencia!H65,"A"),EXACT(Asistencia!H65,"R"),EXACT(Asistencia!H65,"DL"),EXACT(Asistencia!H65,"FL"),EXACT(Asistencia!H65,"FE"),EXACT(Asistencia!H65,"PCS"),EXACT(Asistencia!H65,"V")),1,0)</f>
        <v>0</v>
      </c>
      <c r="AL62">
        <f>IF(OR(EXACT(Asistencia!I65,"A"),EXACT(Asistencia!I65,"R"),EXACT(Asistencia!I65,"DL"),EXACT(Asistencia!I65,"FL"),EXACT(Asistencia!I65,"FE"),EXACT(Asistencia!I65,"PCS"),EXACT(Asistencia!I65,"V")),1,0)</f>
        <v>0</v>
      </c>
      <c r="AM62">
        <f>IF(OR(EXACT(Asistencia!J65,"A"),EXACT(Asistencia!J65,"R"),EXACT(Asistencia!J65,"DL"),EXACT(Asistencia!J65,"FL"),EXACT(Asistencia!J65,"FE"),EXACT(Asistencia!J65,"PCS"),EXACT(Asistencia!J65,"V")),1,0)</f>
        <v>0</v>
      </c>
      <c r="AN62">
        <f>IF(OR(EXACT(Asistencia!K65,"A"),EXACT(Asistencia!K65,"R"),EXACT(Asistencia!K65,"DL"),EXACT(Asistencia!K65,"FL"),EXACT(Asistencia!K65,"FE"),EXACT(Asistencia!K65,"PCS"),EXACT(Asistencia!K65,"V")),1,0)</f>
        <v>0</v>
      </c>
      <c r="AO62">
        <f>IF(OR(EXACT(Asistencia!L65,"A"),EXACT(Asistencia!L65,"R"),EXACT(Asistencia!L65,"DL"),EXACT(Asistencia!L65,"FL"),EXACT(Asistencia!L65,"FE"),EXACT(Asistencia!L65,"PCS"),EXACT(Asistencia!L65,"V")),1,0)</f>
        <v>0</v>
      </c>
      <c r="AP62">
        <f t="shared" si="20"/>
        <v>0</v>
      </c>
      <c r="AQ62">
        <f>IF(EXACT(Asistencia!F65,"FL"),1,0)</f>
        <v>0</v>
      </c>
      <c r="AR62">
        <f>IF(EXACT(Asistencia!G65,"FL"),1,0)</f>
        <v>0</v>
      </c>
      <c r="AS62">
        <f>IF(EXACT(Asistencia!H65,"FL"),1,0)</f>
        <v>0</v>
      </c>
      <c r="AT62">
        <f>IF(EXACT(Asistencia!I65,"FL"),1,0)</f>
        <v>0</v>
      </c>
      <c r="AU62">
        <f>IF(EXACT(Asistencia!J65,"FL"),1,0)</f>
        <v>0</v>
      </c>
      <c r="AV62">
        <f>IF(EXACT(Asistencia!K65,"FL"),1,0)</f>
        <v>0</v>
      </c>
      <c r="AW62">
        <f>IF(EXACT(Asistencia!L65,"FL"),1,0)</f>
        <v>0</v>
      </c>
      <c r="AX62">
        <f t="shared" si="21"/>
        <v>0</v>
      </c>
      <c r="AY62">
        <f>IF(EXACT(Asistencia!F65,"DL"),1,0)</f>
        <v>0</v>
      </c>
      <c r="AZ62">
        <f>IF(EXACT(Asistencia!G65,"DL"),1,0)</f>
        <v>0</v>
      </c>
      <c r="BA62">
        <f>IF(EXACT(Asistencia!H65,"DL"),1,0)</f>
        <v>0</v>
      </c>
      <c r="BB62">
        <f>IF(EXACT(Asistencia!I65,"DL"),1,0)</f>
        <v>0</v>
      </c>
      <c r="BC62">
        <f>IF(EXACT(Asistencia!J65,"DL"),1,0)</f>
        <v>0</v>
      </c>
      <c r="BD62">
        <f>IF(EXACT(Asistencia!K65,"DL"),1,0)</f>
        <v>0</v>
      </c>
      <c r="BE62">
        <f>IF(EXACT(Asistencia!L65,"DL"),1,0)</f>
        <v>0</v>
      </c>
      <c r="BF62">
        <f t="shared" si="22"/>
        <v>0</v>
      </c>
      <c r="BG62">
        <f>IF(ISNUMBER(Asistencia!M65),Asistencia!M65,0)</f>
        <v>0</v>
      </c>
      <c r="BH62">
        <f>IF(ISNUMBER(Asistencia!N65),Asistencia!N65,0)</f>
        <v>0</v>
      </c>
      <c r="BI62">
        <f>IF(ISNUMBER(Asistencia!O65),Asistencia!O65,0)</f>
        <v>0</v>
      </c>
      <c r="BJ62">
        <f>IF(ISNUMBER(Asistencia!P65),Asistencia!P65,0)</f>
        <v>0</v>
      </c>
      <c r="BK62" t="str">
        <f>IF(Asistencia!F65="","",Asistencia!F65)</f>
        <v/>
      </c>
      <c r="BL62" t="str">
        <f>IF(Asistencia!G65="","",Asistencia!G65)</f>
        <v/>
      </c>
      <c r="BM62" t="str">
        <f>IF(Asistencia!H65="","",Asistencia!H65)</f>
        <v/>
      </c>
      <c r="BN62" t="str">
        <f>IF(Asistencia!I65="","",Asistencia!I65)</f>
        <v/>
      </c>
      <c r="BO62" t="str">
        <f>IF(Asistencia!J65="","",Asistencia!J65)</f>
        <v/>
      </c>
      <c r="BP62" t="str">
        <f>IF(Asistencia!K65="","",Asistencia!K65)</f>
        <v/>
      </c>
      <c r="BQ62" t="str">
        <f>IF(Asistencia!L65="","",Asistencia!L65)</f>
        <v/>
      </c>
    </row>
    <row r="63" spans="1:69" ht="15.75" customHeight="1" x14ac:dyDescent="0.25">
      <c r="A63" s="46" t="str">
        <f t="shared" si="23"/>
        <v/>
      </c>
      <c r="B63" s="47" t="str">
        <f t="shared" si="24"/>
        <v/>
      </c>
      <c r="C63" s="47"/>
      <c r="D63" s="47"/>
      <c r="E63" s="46" t="str">
        <f t="shared" si="25"/>
        <v/>
      </c>
      <c r="F63" s="45" t="str">
        <f t="shared" si="26"/>
        <v/>
      </c>
      <c r="G63" s="44" t="str">
        <f t="shared" si="27"/>
        <v/>
      </c>
      <c r="H63" s="44" t="str">
        <f t="shared" si="28"/>
        <v/>
      </c>
      <c r="I63" s="44" t="str">
        <f t="shared" si="29"/>
        <v/>
      </c>
      <c r="J63" s="44" t="str">
        <f t="shared" si="30"/>
        <v/>
      </c>
      <c r="K63" s="44" t="str">
        <f t="shared" si="31"/>
        <v/>
      </c>
      <c r="L63" s="44" t="str">
        <f t="shared" si="32"/>
        <v/>
      </c>
      <c r="M63" s="43" t="str">
        <f t="shared" si="33"/>
        <v/>
      </c>
      <c r="N63" s="41" t="str">
        <f t="shared" si="34"/>
        <v/>
      </c>
      <c r="O63" s="41" t="str">
        <f t="shared" si="35"/>
        <v/>
      </c>
      <c r="P63" s="41" t="str">
        <f t="shared" si="36"/>
        <v/>
      </c>
      <c r="Q63" s="41" t="str">
        <f t="shared" si="37"/>
        <v/>
      </c>
      <c r="R63" s="41" t="str">
        <f t="shared" si="38"/>
        <v/>
      </c>
      <c r="S63" s="41"/>
      <c r="T63" s="48"/>
      <c r="U63" s="41" t="str">
        <f t="shared" si="39"/>
        <v/>
      </c>
      <c r="V63" s="41"/>
      <c r="W63" s="42" t="str">
        <f t="shared" si="40"/>
        <v/>
      </c>
      <c r="Y63" t="str">
        <f>IFERROR(MATCH(59,$AH$5:$AH$323,0),"")</f>
        <v/>
      </c>
      <c r="Z63" t="str">
        <f t="shared" si="41"/>
        <v/>
      </c>
      <c r="AA63" t="str">
        <f t="shared" si="19"/>
        <v/>
      </c>
      <c r="AB63" t="str">
        <f>IF(Asistencia!A66="","",Asistencia!A66)</f>
        <v/>
      </c>
      <c r="AC63" t="str">
        <f>IF(Asistencia!A66="","",SUBSTITUTE(SUBSTITUTE(SUBSTITUTE(SUBSTITUTE(SUBSTITUTE(SUBSTITUTE(SUBSTITUTE(UPPER(TRIM(Asistencia!A66)),"Á","A"),"É","E"),"Í","I"),"Ó","O"),"Ú","U"),"Ñ","N"),"  "," "))</f>
        <v/>
      </c>
      <c r="AD63" t="str">
        <f>IF(Asistencia!E66="","",Asistencia!E66)</f>
        <v/>
      </c>
      <c r="AE63" t="str">
        <f>IF(Asistencia!D66="","",UPPER(TRIM(Asistencia!D66)))</f>
        <v/>
      </c>
      <c r="AF63" t="s">
        <v>188</v>
      </c>
      <c r="AG63">
        <f>IF(AND(AA63&lt;&gt;"",COUNTIF($AA$5:AA63,AA63)=1),1,0)</f>
        <v>0</v>
      </c>
      <c r="AH63" t="str">
        <f>IF(AG63=1,SUM($AG$5:AG63),"")</f>
        <v/>
      </c>
      <c r="AI63">
        <f>IF(OR(EXACT(Asistencia!F66,"A"),EXACT(Asistencia!F66,"R"),EXACT(Asistencia!F66,"DL"),EXACT(Asistencia!F66,"FL"),EXACT(Asistencia!F66,"FE"),EXACT(Asistencia!F66,"PCS"),EXACT(Asistencia!F66,"V")),1,0)</f>
        <v>0</v>
      </c>
      <c r="AJ63">
        <f>IF(OR(EXACT(Asistencia!G66,"A"),EXACT(Asistencia!G66,"R"),EXACT(Asistencia!G66,"DL"),EXACT(Asistencia!G66,"FL"),EXACT(Asistencia!G66,"FE"),EXACT(Asistencia!G66,"PCS"),EXACT(Asistencia!G66,"V")),1,0)</f>
        <v>0</v>
      </c>
      <c r="AK63">
        <f>IF(OR(EXACT(Asistencia!H66,"A"),EXACT(Asistencia!H66,"R"),EXACT(Asistencia!H66,"DL"),EXACT(Asistencia!H66,"FL"),EXACT(Asistencia!H66,"FE"),EXACT(Asistencia!H66,"PCS"),EXACT(Asistencia!H66,"V")),1,0)</f>
        <v>0</v>
      </c>
      <c r="AL63">
        <f>IF(OR(EXACT(Asistencia!I66,"A"),EXACT(Asistencia!I66,"R"),EXACT(Asistencia!I66,"DL"),EXACT(Asistencia!I66,"FL"),EXACT(Asistencia!I66,"FE"),EXACT(Asistencia!I66,"PCS"),EXACT(Asistencia!I66,"V")),1,0)</f>
        <v>0</v>
      </c>
      <c r="AM63">
        <f>IF(OR(EXACT(Asistencia!J66,"A"),EXACT(Asistencia!J66,"R"),EXACT(Asistencia!J66,"DL"),EXACT(Asistencia!J66,"FL"),EXACT(Asistencia!J66,"FE"),EXACT(Asistencia!J66,"PCS"),EXACT(Asistencia!J66,"V")),1,0)</f>
        <v>0</v>
      </c>
      <c r="AN63">
        <f>IF(OR(EXACT(Asistencia!K66,"A"),EXACT(Asistencia!K66,"R"),EXACT(Asistencia!K66,"DL"),EXACT(Asistencia!K66,"FL"),EXACT(Asistencia!K66,"FE"),EXACT(Asistencia!K66,"PCS"),EXACT(Asistencia!K66,"V")),1,0)</f>
        <v>0</v>
      </c>
      <c r="AO63">
        <f>IF(OR(EXACT(Asistencia!L66,"A"),EXACT(Asistencia!L66,"R"),EXACT(Asistencia!L66,"DL"),EXACT(Asistencia!L66,"FL"),EXACT(Asistencia!L66,"FE"),EXACT(Asistencia!L66,"PCS"),EXACT(Asistencia!L66,"V")),1,0)</f>
        <v>0</v>
      </c>
      <c r="AP63">
        <f t="shared" si="20"/>
        <v>0</v>
      </c>
      <c r="AQ63">
        <f>IF(EXACT(Asistencia!F66,"FL"),1,0)</f>
        <v>0</v>
      </c>
      <c r="AR63">
        <f>IF(EXACT(Asistencia!G66,"FL"),1,0)</f>
        <v>0</v>
      </c>
      <c r="AS63">
        <f>IF(EXACT(Asistencia!H66,"FL"),1,0)</f>
        <v>0</v>
      </c>
      <c r="AT63">
        <f>IF(EXACT(Asistencia!I66,"FL"),1,0)</f>
        <v>0</v>
      </c>
      <c r="AU63">
        <f>IF(EXACT(Asistencia!J66,"FL"),1,0)</f>
        <v>0</v>
      </c>
      <c r="AV63">
        <f>IF(EXACT(Asistencia!K66,"FL"),1,0)</f>
        <v>0</v>
      </c>
      <c r="AW63">
        <f>IF(EXACT(Asistencia!L66,"FL"),1,0)</f>
        <v>0</v>
      </c>
      <c r="AX63">
        <f t="shared" si="21"/>
        <v>0</v>
      </c>
      <c r="AY63">
        <f>IF(EXACT(Asistencia!F66,"DL"),1,0)</f>
        <v>0</v>
      </c>
      <c r="AZ63">
        <f>IF(EXACT(Asistencia!G66,"DL"),1,0)</f>
        <v>0</v>
      </c>
      <c r="BA63">
        <f>IF(EXACT(Asistencia!H66,"DL"),1,0)</f>
        <v>0</v>
      </c>
      <c r="BB63">
        <f>IF(EXACT(Asistencia!I66,"DL"),1,0)</f>
        <v>0</v>
      </c>
      <c r="BC63">
        <f>IF(EXACT(Asistencia!J66,"DL"),1,0)</f>
        <v>0</v>
      </c>
      <c r="BD63">
        <f>IF(EXACT(Asistencia!K66,"DL"),1,0)</f>
        <v>0</v>
      </c>
      <c r="BE63">
        <f>IF(EXACT(Asistencia!L66,"DL"),1,0)</f>
        <v>0</v>
      </c>
      <c r="BF63">
        <f t="shared" si="22"/>
        <v>0</v>
      </c>
      <c r="BG63">
        <f>IF(ISNUMBER(Asistencia!M66),Asistencia!M66,0)</f>
        <v>0</v>
      </c>
      <c r="BH63">
        <f>IF(ISNUMBER(Asistencia!N66),Asistencia!N66,0)</f>
        <v>0</v>
      </c>
      <c r="BI63">
        <f>IF(ISNUMBER(Asistencia!O66),Asistencia!O66,0)</f>
        <v>0</v>
      </c>
      <c r="BJ63">
        <f>IF(ISNUMBER(Asistencia!P66),Asistencia!P66,0)</f>
        <v>0</v>
      </c>
      <c r="BK63" t="str">
        <f>IF(Asistencia!F66="","",Asistencia!F66)</f>
        <v/>
      </c>
      <c r="BL63" t="str">
        <f>IF(Asistencia!G66="","",Asistencia!G66)</f>
        <v/>
      </c>
      <c r="BM63" t="str">
        <f>IF(Asistencia!H66="","",Asistencia!H66)</f>
        <v/>
      </c>
      <c r="BN63" t="str">
        <f>IF(Asistencia!I66="","",Asistencia!I66)</f>
        <v/>
      </c>
      <c r="BO63" t="str">
        <f>IF(Asistencia!J66="","",Asistencia!J66)</f>
        <v/>
      </c>
      <c r="BP63" t="str">
        <f>IF(Asistencia!K66="","",Asistencia!K66)</f>
        <v/>
      </c>
      <c r="BQ63" t="str">
        <f>IF(Asistencia!L66="","",Asistencia!L66)</f>
        <v/>
      </c>
    </row>
    <row r="64" spans="1:69" ht="15.75" customHeight="1" x14ac:dyDescent="0.25">
      <c r="A64" s="46" t="str">
        <f t="shared" si="23"/>
        <v/>
      </c>
      <c r="B64" s="47" t="str">
        <f t="shared" si="24"/>
        <v/>
      </c>
      <c r="C64" s="47"/>
      <c r="D64" s="47"/>
      <c r="E64" s="46" t="str">
        <f t="shared" si="25"/>
        <v/>
      </c>
      <c r="F64" s="45" t="str">
        <f t="shared" si="26"/>
        <v/>
      </c>
      <c r="G64" s="44" t="str">
        <f t="shared" si="27"/>
        <v/>
      </c>
      <c r="H64" s="44" t="str">
        <f t="shared" si="28"/>
        <v/>
      </c>
      <c r="I64" s="44" t="str">
        <f t="shared" si="29"/>
        <v/>
      </c>
      <c r="J64" s="44" t="str">
        <f t="shared" si="30"/>
        <v/>
      </c>
      <c r="K64" s="44" t="str">
        <f t="shared" si="31"/>
        <v/>
      </c>
      <c r="L64" s="44" t="str">
        <f t="shared" si="32"/>
        <v/>
      </c>
      <c r="M64" s="43" t="str">
        <f t="shared" si="33"/>
        <v/>
      </c>
      <c r="N64" s="41" t="str">
        <f t="shared" si="34"/>
        <v/>
      </c>
      <c r="O64" s="41" t="str">
        <f t="shared" si="35"/>
        <v/>
      </c>
      <c r="P64" s="41" t="str">
        <f t="shared" si="36"/>
        <v/>
      </c>
      <c r="Q64" s="41" t="str">
        <f t="shared" si="37"/>
        <v/>
      </c>
      <c r="R64" s="41" t="str">
        <f t="shared" si="38"/>
        <v/>
      </c>
      <c r="S64" s="41"/>
      <c r="T64" s="48"/>
      <c r="U64" s="41" t="str">
        <f t="shared" si="39"/>
        <v/>
      </c>
      <c r="V64" s="41"/>
      <c r="W64" s="42" t="str">
        <f t="shared" si="40"/>
        <v/>
      </c>
      <c r="Y64" t="str">
        <f>IFERROR(MATCH(60,$AH$5:$AH$323,0),"")</f>
        <v/>
      </c>
      <c r="Z64" t="str">
        <f t="shared" si="41"/>
        <v/>
      </c>
      <c r="AA64" t="str">
        <f t="shared" si="19"/>
        <v/>
      </c>
      <c r="AB64" t="str">
        <f>IF(Asistencia!A67="","",Asistencia!A67)</f>
        <v/>
      </c>
      <c r="AC64" t="str">
        <f>IF(Asistencia!A67="","",SUBSTITUTE(SUBSTITUTE(SUBSTITUTE(SUBSTITUTE(SUBSTITUTE(SUBSTITUTE(SUBSTITUTE(UPPER(TRIM(Asistencia!A67)),"Á","A"),"É","E"),"Í","I"),"Ó","O"),"Ú","U"),"Ñ","N"),"  "," "))</f>
        <v/>
      </c>
      <c r="AD64" t="str">
        <f>IF(Asistencia!E67="","",Asistencia!E67)</f>
        <v/>
      </c>
      <c r="AE64" t="str">
        <f>IF(Asistencia!D67="","",UPPER(TRIM(Asistencia!D67)))</f>
        <v/>
      </c>
      <c r="AF64" t="s">
        <v>188</v>
      </c>
      <c r="AG64">
        <f>IF(AND(AA64&lt;&gt;"",COUNTIF($AA$5:AA64,AA64)=1),1,0)</f>
        <v>0</v>
      </c>
      <c r="AH64" t="str">
        <f>IF(AG64=1,SUM($AG$5:AG64),"")</f>
        <v/>
      </c>
      <c r="AI64">
        <f>IF(OR(EXACT(Asistencia!F67,"A"),EXACT(Asistencia!F67,"R"),EXACT(Asistencia!F67,"DL"),EXACT(Asistencia!F67,"FL"),EXACT(Asistencia!F67,"FE"),EXACT(Asistencia!F67,"PCS"),EXACT(Asistencia!F67,"V")),1,0)</f>
        <v>0</v>
      </c>
      <c r="AJ64">
        <f>IF(OR(EXACT(Asistencia!G67,"A"),EXACT(Asistencia!G67,"R"),EXACT(Asistencia!G67,"DL"),EXACT(Asistencia!G67,"FL"),EXACT(Asistencia!G67,"FE"),EXACT(Asistencia!G67,"PCS"),EXACT(Asistencia!G67,"V")),1,0)</f>
        <v>0</v>
      </c>
      <c r="AK64">
        <f>IF(OR(EXACT(Asistencia!H67,"A"),EXACT(Asistencia!H67,"R"),EXACT(Asistencia!H67,"DL"),EXACT(Asistencia!H67,"FL"),EXACT(Asistencia!H67,"FE"),EXACT(Asistencia!H67,"PCS"),EXACT(Asistencia!H67,"V")),1,0)</f>
        <v>0</v>
      </c>
      <c r="AL64">
        <f>IF(OR(EXACT(Asistencia!I67,"A"),EXACT(Asistencia!I67,"R"),EXACT(Asistencia!I67,"DL"),EXACT(Asistencia!I67,"FL"),EXACT(Asistencia!I67,"FE"),EXACT(Asistencia!I67,"PCS"),EXACT(Asistencia!I67,"V")),1,0)</f>
        <v>0</v>
      </c>
      <c r="AM64">
        <f>IF(OR(EXACT(Asistencia!J67,"A"),EXACT(Asistencia!J67,"R"),EXACT(Asistencia!J67,"DL"),EXACT(Asistencia!J67,"FL"),EXACT(Asistencia!J67,"FE"),EXACT(Asistencia!J67,"PCS"),EXACT(Asistencia!J67,"V")),1,0)</f>
        <v>0</v>
      </c>
      <c r="AN64">
        <f>IF(OR(EXACT(Asistencia!K67,"A"),EXACT(Asistencia!K67,"R"),EXACT(Asistencia!K67,"DL"),EXACT(Asistencia!K67,"FL"),EXACT(Asistencia!K67,"FE"),EXACT(Asistencia!K67,"PCS"),EXACT(Asistencia!K67,"V")),1,0)</f>
        <v>0</v>
      </c>
      <c r="AO64">
        <f>IF(OR(EXACT(Asistencia!L67,"A"),EXACT(Asistencia!L67,"R"),EXACT(Asistencia!L67,"DL"),EXACT(Asistencia!L67,"FL"),EXACT(Asistencia!L67,"FE"),EXACT(Asistencia!L67,"PCS"),EXACT(Asistencia!L67,"V")),1,0)</f>
        <v>0</v>
      </c>
      <c r="AP64">
        <f t="shared" si="20"/>
        <v>0</v>
      </c>
      <c r="AQ64">
        <f>IF(EXACT(Asistencia!F67,"FL"),1,0)</f>
        <v>0</v>
      </c>
      <c r="AR64">
        <f>IF(EXACT(Asistencia!G67,"FL"),1,0)</f>
        <v>0</v>
      </c>
      <c r="AS64">
        <f>IF(EXACT(Asistencia!H67,"FL"),1,0)</f>
        <v>0</v>
      </c>
      <c r="AT64">
        <f>IF(EXACT(Asistencia!I67,"FL"),1,0)</f>
        <v>0</v>
      </c>
      <c r="AU64">
        <f>IF(EXACT(Asistencia!J67,"FL"),1,0)</f>
        <v>0</v>
      </c>
      <c r="AV64">
        <f>IF(EXACT(Asistencia!K67,"FL"),1,0)</f>
        <v>0</v>
      </c>
      <c r="AW64">
        <f>IF(EXACT(Asistencia!L67,"FL"),1,0)</f>
        <v>0</v>
      </c>
      <c r="AX64">
        <f t="shared" si="21"/>
        <v>0</v>
      </c>
      <c r="AY64">
        <f>IF(EXACT(Asistencia!F67,"DL"),1,0)</f>
        <v>0</v>
      </c>
      <c r="AZ64">
        <f>IF(EXACT(Asistencia!G67,"DL"),1,0)</f>
        <v>0</v>
      </c>
      <c r="BA64">
        <f>IF(EXACT(Asistencia!H67,"DL"),1,0)</f>
        <v>0</v>
      </c>
      <c r="BB64">
        <f>IF(EXACT(Asistencia!I67,"DL"),1,0)</f>
        <v>0</v>
      </c>
      <c r="BC64">
        <f>IF(EXACT(Asistencia!J67,"DL"),1,0)</f>
        <v>0</v>
      </c>
      <c r="BD64">
        <f>IF(EXACT(Asistencia!K67,"DL"),1,0)</f>
        <v>0</v>
      </c>
      <c r="BE64">
        <f>IF(EXACT(Asistencia!L67,"DL"),1,0)</f>
        <v>0</v>
      </c>
      <c r="BF64">
        <f t="shared" si="22"/>
        <v>0</v>
      </c>
      <c r="BG64">
        <f>IF(ISNUMBER(Asistencia!M67),Asistencia!M67,0)</f>
        <v>0</v>
      </c>
      <c r="BH64">
        <f>IF(ISNUMBER(Asistencia!N67),Asistencia!N67,0)</f>
        <v>0</v>
      </c>
      <c r="BI64">
        <f>IF(ISNUMBER(Asistencia!O67),Asistencia!O67,0)</f>
        <v>0</v>
      </c>
      <c r="BJ64">
        <f>IF(ISNUMBER(Asistencia!P67),Asistencia!P67,0)</f>
        <v>0</v>
      </c>
      <c r="BK64" t="str">
        <f>IF(Asistencia!F67="","",Asistencia!F67)</f>
        <v/>
      </c>
      <c r="BL64" t="str">
        <f>IF(Asistencia!G67="","",Asistencia!G67)</f>
        <v/>
      </c>
      <c r="BM64" t="str">
        <f>IF(Asistencia!H67="","",Asistencia!H67)</f>
        <v/>
      </c>
      <c r="BN64" t="str">
        <f>IF(Asistencia!I67="","",Asistencia!I67)</f>
        <v/>
      </c>
      <c r="BO64" t="str">
        <f>IF(Asistencia!J67="","",Asistencia!J67)</f>
        <v/>
      </c>
      <c r="BP64" t="str">
        <f>IF(Asistencia!K67="","",Asistencia!K67)</f>
        <v/>
      </c>
      <c r="BQ64" t="str">
        <f>IF(Asistencia!L67="","",Asistencia!L67)</f>
        <v/>
      </c>
    </row>
    <row r="65" spans="1:69" ht="15.75" customHeight="1" x14ac:dyDescent="0.25">
      <c r="A65" s="46" t="str">
        <f t="shared" si="23"/>
        <v/>
      </c>
      <c r="B65" s="47" t="str">
        <f t="shared" si="24"/>
        <v/>
      </c>
      <c r="C65" s="47"/>
      <c r="D65" s="47"/>
      <c r="E65" s="46" t="str">
        <f t="shared" si="25"/>
        <v/>
      </c>
      <c r="F65" s="45" t="str">
        <f t="shared" si="26"/>
        <v/>
      </c>
      <c r="G65" s="44" t="str">
        <f t="shared" si="27"/>
        <v/>
      </c>
      <c r="H65" s="44" t="str">
        <f t="shared" si="28"/>
        <v/>
      </c>
      <c r="I65" s="44" t="str">
        <f t="shared" si="29"/>
        <v/>
      </c>
      <c r="J65" s="44" t="str">
        <f t="shared" si="30"/>
        <v/>
      </c>
      <c r="K65" s="44" t="str">
        <f t="shared" si="31"/>
        <v/>
      </c>
      <c r="L65" s="44" t="str">
        <f t="shared" si="32"/>
        <v/>
      </c>
      <c r="M65" s="43" t="str">
        <f t="shared" si="33"/>
        <v/>
      </c>
      <c r="N65" s="41" t="str">
        <f t="shared" si="34"/>
        <v/>
      </c>
      <c r="O65" s="41" t="str">
        <f t="shared" si="35"/>
        <v/>
      </c>
      <c r="P65" s="41" t="str">
        <f t="shared" si="36"/>
        <v/>
      </c>
      <c r="Q65" s="41" t="str">
        <f t="shared" si="37"/>
        <v/>
      </c>
      <c r="R65" s="41" t="str">
        <f t="shared" si="38"/>
        <v/>
      </c>
      <c r="S65" s="41"/>
      <c r="T65" s="48"/>
      <c r="U65" s="41" t="str">
        <f t="shared" si="39"/>
        <v/>
      </c>
      <c r="V65" s="41"/>
      <c r="W65" s="42" t="str">
        <f t="shared" si="40"/>
        <v/>
      </c>
      <c r="Y65" t="str">
        <f>IFERROR(MATCH(61,$AH$5:$AH$323,0),"")</f>
        <v/>
      </c>
      <c r="Z65" t="str">
        <f t="shared" si="41"/>
        <v/>
      </c>
      <c r="AA65" t="str">
        <f t="shared" si="19"/>
        <v/>
      </c>
      <c r="AB65" t="str">
        <f>IF(Asistencia!A68="","",Asistencia!A68)</f>
        <v/>
      </c>
      <c r="AC65" t="str">
        <f>IF(Asistencia!A68="","",SUBSTITUTE(SUBSTITUTE(SUBSTITUTE(SUBSTITUTE(SUBSTITUTE(SUBSTITUTE(SUBSTITUTE(UPPER(TRIM(Asistencia!A68)),"Á","A"),"É","E"),"Í","I"),"Ó","O"),"Ú","U"),"Ñ","N"),"  "," "))</f>
        <v/>
      </c>
      <c r="AD65" t="str">
        <f>IF(Asistencia!E68="","",Asistencia!E68)</f>
        <v/>
      </c>
      <c r="AE65" t="str">
        <f>IF(Asistencia!D68="","",UPPER(TRIM(Asistencia!D68)))</f>
        <v/>
      </c>
      <c r="AF65" t="s">
        <v>188</v>
      </c>
      <c r="AG65">
        <f>IF(AND(AA65&lt;&gt;"",COUNTIF($AA$5:AA65,AA65)=1),1,0)</f>
        <v>0</v>
      </c>
      <c r="AH65" t="str">
        <f>IF(AG65=1,SUM($AG$5:AG65),"")</f>
        <v/>
      </c>
      <c r="AI65">
        <f>IF(OR(EXACT(Asistencia!F68,"A"),EXACT(Asistencia!F68,"R"),EXACT(Asistencia!F68,"DL"),EXACT(Asistencia!F68,"FL"),EXACT(Asistencia!F68,"FE"),EXACT(Asistencia!F68,"PCS"),EXACT(Asistencia!F68,"V")),1,0)</f>
        <v>0</v>
      </c>
      <c r="AJ65">
        <f>IF(OR(EXACT(Asistencia!G68,"A"),EXACT(Asistencia!G68,"R"),EXACT(Asistencia!G68,"DL"),EXACT(Asistencia!G68,"FL"),EXACT(Asistencia!G68,"FE"),EXACT(Asistencia!G68,"PCS"),EXACT(Asistencia!G68,"V")),1,0)</f>
        <v>0</v>
      </c>
      <c r="AK65">
        <f>IF(OR(EXACT(Asistencia!H68,"A"),EXACT(Asistencia!H68,"R"),EXACT(Asistencia!H68,"DL"),EXACT(Asistencia!H68,"FL"),EXACT(Asistencia!H68,"FE"),EXACT(Asistencia!H68,"PCS"),EXACT(Asistencia!H68,"V")),1,0)</f>
        <v>0</v>
      </c>
      <c r="AL65">
        <f>IF(OR(EXACT(Asistencia!I68,"A"),EXACT(Asistencia!I68,"R"),EXACT(Asistencia!I68,"DL"),EXACT(Asistencia!I68,"FL"),EXACT(Asistencia!I68,"FE"),EXACT(Asistencia!I68,"PCS"),EXACT(Asistencia!I68,"V")),1,0)</f>
        <v>0</v>
      </c>
      <c r="AM65">
        <f>IF(OR(EXACT(Asistencia!J68,"A"),EXACT(Asistencia!J68,"R"),EXACT(Asistencia!J68,"DL"),EXACT(Asistencia!J68,"FL"),EXACT(Asistencia!J68,"FE"),EXACT(Asistencia!J68,"PCS"),EXACT(Asistencia!J68,"V")),1,0)</f>
        <v>0</v>
      </c>
      <c r="AN65">
        <f>IF(OR(EXACT(Asistencia!K68,"A"),EXACT(Asistencia!K68,"R"),EXACT(Asistencia!K68,"DL"),EXACT(Asistencia!K68,"FL"),EXACT(Asistencia!K68,"FE"),EXACT(Asistencia!K68,"PCS"),EXACT(Asistencia!K68,"V")),1,0)</f>
        <v>0</v>
      </c>
      <c r="AO65">
        <f>IF(OR(EXACT(Asistencia!L68,"A"),EXACT(Asistencia!L68,"R"),EXACT(Asistencia!L68,"DL"),EXACT(Asistencia!L68,"FL"),EXACT(Asistencia!L68,"FE"),EXACT(Asistencia!L68,"PCS"),EXACT(Asistencia!L68,"V")),1,0)</f>
        <v>0</v>
      </c>
      <c r="AP65">
        <f t="shared" si="20"/>
        <v>0</v>
      </c>
      <c r="AQ65">
        <f>IF(EXACT(Asistencia!F68,"FL"),1,0)</f>
        <v>0</v>
      </c>
      <c r="AR65">
        <f>IF(EXACT(Asistencia!G68,"FL"),1,0)</f>
        <v>0</v>
      </c>
      <c r="AS65">
        <f>IF(EXACT(Asistencia!H68,"FL"),1,0)</f>
        <v>0</v>
      </c>
      <c r="AT65">
        <f>IF(EXACT(Asistencia!I68,"FL"),1,0)</f>
        <v>0</v>
      </c>
      <c r="AU65">
        <f>IF(EXACT(Asistencia!J68,"FL"),1,0)</f>
        <v>0</v>
      </c>
      <c r="AV65">
        <f>IF(EXACT(Asistencia!K68,"FL"),1,0)</f>
        <v>0</v>
      </c>
      <c r="AW65">
        <f>IF(EXACT(Asistencia!L68,"FL"),1,0)</f>
        <v>0</v>
      </c>
      <c r="AX65">
        <f t="shared" si="21"/>
        <v>0</v>
      </c>
      <c r="AY65">
        <f>IF(EXACT(Asistencia!F68,"DL"),1,0)</f>
        <v>0</v>
      </c>
      <c r="AZ65">
        <f>IF(EXACT(Asistencia!G68,"DL"),1,0)</f>
        <v>0</v>
      </c>
      <c r="BA65">
        <f>IF(EXACT(Asistencia!H68,"DL"),1,0)</f>
        <v>0</v>
      </c>
      <c r="BB65">
        <f>IF(EXACT(Asistencia!I68,"DL"),1,0)</f>
        <v>0</v>
      </c>
      <c r="BC65">
        <f>IF(EXACT(Asistencia!J68,"DL"),1,0)</f>
        <v>0</v>
      </c>
      <c r="BD65">
        <f>IF(EXACT(Asistencia!K68,"DL"),1,0)</f>
        <v>0</v>
      </c>
      <c r="BE65">
        <f>IF(EXACT(Asistencia!L68,"DL"),1,0)</f>
        <v>0</v>
      </c>
      <c r="BF65">
        <f t="shared" si="22"/>
        <v>0</v>
      </c>
      <c r="BG65">
        <f>IF(ISNUMBER(Asistencia!M68),Asistencia!M68,0)</f>
        <v>0</v>
      </c>
      <c r="BH65">
        <f>IF(ISNUMBER(Asistencia!N68),Asistencia!N68,0)</f>
        <v>0</v>
      </c>
      <c r="BI65">
        <f>IF(ISNUMBER(Asistencia!O68),Asistencia!O68,0)</f>
        <v>0</v>
      </c>
      <c r="BJ65">
        <f>IF(ISNUMBER(Asistencia!P68),Asistencia!P68,0)</f>
        <v>0</v>
      </c>
      <c r="BK65" t="str">
        <f>IF(Asistencia!F68="","",Asistencia!F68)</f>
        <v/>
      </c>
      <c r="BL65" t="str">
        <f>IF(Asistencia!G68="","",Asistencia!G68)</f>
        <v/>
      </c>
      <c r="BM65" t="str">
        <f>IF(Asistencia!H68="","",Asistencia!H68)</f>
        <v/>
      </c>
      <c r="BN65" t="str">
        <f>IF(Asistencia!I68="","",Asistencia!I68)</f>
        <v/>
      </c>
      <c r="BO65" t="str">
        <f>IF(Asistencia!J68="","",Asistencia!J68)</f>
        <v/>
      </c>
      <c r="BP65" t="str">
        <f>IF(Asistencia!K68="","",Asistencia!K68)</f>
        <v/>
      </c>
      <c r="BQ65" t="str">
        <f>IF(Asistencia!L68="","",Asistencia!L68)</f>
        <v/>
      </c>
    </row>
    <row r="66" spans="1:69" ht="15.75" customHeight="1" x14ac:dyDescent="0.25">
      <c r="A66" s="46" t="str">
        <f t="shared" si="23"/>
        <v/>
      </c>
      <c r="B66" s="47" t="str">
        <f t="shared" si="24"/>
        <v/>
      </c>
      <c r="C66" s="47"/>
      <c r="D66" s="47"/>
      <c r="E66" s="46" t="str">
        <f t="shared" si="25"/>
        <v/>
      </c>
      <c r="F66" s="45" t="str">
        <f t="shared" si="26"/>
        <v/>
      </c>
      <c r="G66" s="44" t="str">
        <f t="shared" si="27"/>
        <v/>
      </c>
      <c r="H66" s="44" t="str">
        <f t="shared" si="28"/>
        <v/>
      </c>
      <c r="I66" s="44" t="str">
        <f t="shared" si="29"/>
        <v/>
      </c>
      <c r="J66" s="44" t="str">
        <f t="shared" si="30"/>
        <v/>
      </c>
      <c r="K66" s="44" t="str">
        <f t="shared" si="31"/>
        <v/>
      </c>
      <c r="L66" s="44" t="str">
        <f t="shared" si="32"/>
        <v/>
      </c>
      <c r="M66" s="43" t="str">
        <f t="shared" si="33"/>
        <v/>
      </c>
      <c r="N66" s="41" t="str">
        <f t="shared" si="34"/>
        <v/>
      </c>
      <c r="O66" s="41" t="str">
        <f t="shared" si="35"/>
        <v/>
      </c>
      <c r="P66" s="41" t="str">
        <f t="shared" si="36"/>
        <v/>
      </c>
      <c r="Q66" s="41" t="str">
        <f t="shared" si="37"/>
        <v/>
      </c>
      <c r="R66" s="41" t="str">
        <f t="shared" si="38"/>
        <v/>
      </c>
      <c r="S66" s="41"/>
      <c r="T66" s="48"/>
      <c r="U66" s="41" t="str">
        <f t="shared" si="39"/>
        <v/>
      </c>
      <c r="V66" s="41"/>
      <c r="W66" s="42" t="str">
        <f t="shared" si="40"/>
        <v/>
      </c>
      <c r="Y66" t="str">
        <f>IFERROR(MATCH(62,$AH$5:$AH$323,0),"")</f>
        <v/>
      </c>
      <c r="Z66" t="str">
        <f t="shared" si="41"/>
        <v/>
      </c>
      <c r="AA66" t="str">
        <f t="shared" si="19"/>
        <v/>
      </c>
      <c r="AB66" t="str">
        <f>IF(Asistencia!A69="","",Asistencia!A69)</f>
        <v/>
      </c>
      <c r="AC66" t="str">
        <f>IF(Asistencia!A69="","",SUBSTITUTE(SUBSTITUTE(SUBSTITUTE(SUBSTITUTE(SUBSTITUTE(SUBSTITUTE(SUBSTITUTE(UPPER(TRIM(Asistencia!A69)),"Á","A"),"É","E"),"Í","I"),"Ó","O"),"Ú","U"),"Ñ","N"),"  "," "))</f>
        <v/>
      </c>
      <c r="AD66" t="str">
        <f>IF(Asistencia!E69="","",Asistencia!E69)</f>
        <v/>
      </c>
      <c r="AE66" t="str">
        <f>IF(Asistencia!D69="","",UPPER(TRIM(Asistencia!D69)))</f>
        <v/>
      </c>
      <c r="AF66" t="s">
        <v>188</v>
      </c>
      <c r="AG66">
        <f>IF(AND(AA66&lt;&gt;"",COUNTIF($AA$5:AA66,AA66)=1),1,0)</f>
        <v>0</v>
      </c>
      <c r="AH66" t="str">
        <f>IF(AG66=1,SUM($AG$5:AG66),"")</f>
        <v/>
      </c>
      <c r="AI66">
        <f>IF(OR(EXACT(Asistencia!F69,"A"),EXACT(Asistencia!F69,"R"),EXACT(Asistencia!F69,"DL"),EXACT(Asistencia!F69,"FL"),EXACT(Asistencia!F69,"FE"),EXACT(Asistencia!F69,"PCS"),EXACT(Asistencia!F69,"V")),1,0)</f>
        <v>0</v>
      </c>
      <c r="AJ66">
        <f>IF(OR(EXACT(Asistencia!G69,"A"),EXACT(Asistencia!G69,"R"),EXACT(Asistencia!G69,"DL"),EXACT(Asistencia!G69,"FL"),EXACT(Asistencia!G69,"FE"),EXACT(Asistencia!G69,"PCS"),EXACT(Asistencia!G69,"V")),1,0)</f>
        <v>0</v>
      </c>
      <c r="AK66">
        <f>IF(OR(EXACT(Asistencia!H69,"A"),EXACT(Asistencia!H69,"R"),EXACT(Asistencia!H69,"DL"),EXACT(Asistencia!H69,"FL"),EXACT(Asistencia!H69,"FE"),EXACT(Asistencia!H69,"PCS"),EXACT(Asistencia!H69,"V")),1,0)</f>
        <v>0</v>
      </c>
      <c r="AL66">
        <f>IF(OR(EXACT(Asistencia!I69,"A"),EXACT(Asistencia!I69,"R"),EXACT(Asistencia!I69,"DL"),EXACT(Asistencia!I69,"FL"),EXACT(Asistencia!I69,"FE"),EXACT(Asistencia!I69,"PCS"),EXACT(Asistencia!I69,"V")),1,0)</f>
        <v>0</v>
      </c>
      <c r="AM66">
        <f>IF(OR(EXACT(Asistencia!J69,"A"),EXACT(Asistencia!J69,"R"),EXACT(Asistencia!J69,"DL"),EXACT(Asistencia!J69,"FL"),EXACT(Asistencia!J69,"FE"),EXACT(Asistencia!J69,"PCS"),EXACT(Asistencia!J69,"V")),1,0)</f>
        <v>0</v>
      </c>
      <c r="AN66">
        <f>IF(OR(EXACT(Asistencia!K69,"A"),EXACT(Asistencia!K69,"R"),EXACT(Asistencia!K69,"DL"),EXACT(Asistencia!K69,"FL"),EXACT(Asistencia!K69,"FE"),EXACT(Asistencia!K69,"PCS"),EXACT(Asistencia!K69,"V")),1,0)</f>
        <v>0</v>
      </c>
      <c r="AO66">
        <f>IF(OR(EXACT(Asistencia!L69,"A"),EXACT(Asistencia!L69,"R"),EXACT(Asistencia!L69,"DL"),EXACT(Asistencia!L69,"FL"),EXACT(Asistencia!L69,"FE"),EXACT(Asistencia!L69,"PCS"),EXACT(Asistencia!L69,"V")),1,0)</f>
        <v>0</v>
      </c>
      <c r="AP66">
        <f t="shared" si="20"/>
        <v>0</v>
      </c>
      <c r="AQ66">
        <f>IF(EXACT(Asistencia!F69,"FL"),1,0)</f>
        <v>0</v>
      </c>
      <c r="AR66">
        <f>IF(EXACT(Asistencia!G69,"FL"),1,0)</f>
        <v>0</v>
      </c>
      <c r="AS66">
        <f>IF(EXACT(Asistencia!H69,"FL"),1,0)</f>
        <v>0</v>
      </c>
      <c r="AT66">
        <f>IF(EXACT(Asistencia!I69,"FL"),1,0)</f>
        <v>0</v>
      </c>
      <c r="AU66">
        <f>IF(EXACT(Asistencia!J69,"FL"),1,0)</f>
        <v>0</v>
      </c>
      <c r="AV66">
        <f>IF(EXACT(Asistencia!K69,"FL"),1,0)</f>
        <v>0</v>
      </c>
      <c r="AW66">
        <f>IF(EXACT(Asistencia!L69,"FL"),1,0)</f>
        <v>0</v>
      </c>
      <c r="AX66">
        <f t="shared" si="21"/>
        <v>0</v>
      </c>
      <c r="AY66">
        <f>IF(EXACT(Asistencia!F69,"DL"),1,0)</f>
        <v>0</v>
      </c>
      <c r="AZ66">
        <f>IF(EXACT(Asistencia!G69,"DL"),1,0)</f>
        <v>0</v>
      </c>
      <c r="BA66">
        <f>IF(EXACT(Asistencia!H69,"DL"),1,0)</f>
        <v>0</v>
      </c>
      <c r="BB66">
        <f>IF(EXACT(Asistencia!I69,"DL"),1,0)</f>
        <v>0</v>
      </c>
      <c r="BC66">
        <f>IF(EXACT(Asistencia!J69,"DL"),1,0)</f>
        <v>0</v>
      </c>
      <c r="BD66">
        <f>IF(EXACT(Asistencia!K69,"DL"),1,0)</f>
        <v>0</v>
      </c>
      <c r="BE66">
        <f>IF(EXACT(Asistencia!L69,"DL"),1,0)</f>
        <v>0</v>
      </c>
      <c r="BF66">
        <f t="shared" si="22"/>
        <v>0</v>
      </c>
      <c r="BG66">
        <f>IF(ISNUMBER(Asistencia!M69),Asistencia!M69,0)</f>
        <v>0</v>
      </c>
      <c r="BH66">
        <f>IF(ISNUMBER(Asistencia!N69),Asistencia!N69,0)</f>
        <v>0</v>
      </c>
      <c r="BI66">
        <f>IF(ISNUMBER(Asistencia!O69),Asistencia!O69,0)</f>
        <v>0</v>
      </c>
      <c r="BJ66">
        <f>IF(ISNUMBER(Asistencia!P69),Asistencia!P69,0)</f>
        <v>0</v>
      </c>
      <c r="BK66" t="str">
        <f>IF(Asistencia!F69="","",Asistencia!F69)</f>
        <v/>
      </c>
      <c r="BL66" t="str">
        <f>IF(Asistencia!G69="","",Asistencia!G69)</f>
        <v/>
      </c>
      <c r="BM66" t="str">
        <f>IF(Asistencia!H69="","",Asistencia!H69)</f>
        <v/>
      </c>
      <c r="BN66" t="str">
        <f>IF(Asistencia!I69="","",Asistencia!I69)</f>
        <v/>
      </c>
      <c r="BO66" t="str">
        <f>IF(Asistencia!J69="","",Asistencia!J69)</f>
        <v/>
      </c>
      <c r="BP66" t="str">
        <f>IF(Asistencia!K69="","",Asistencia!K69)</f>
        <v/>
      </c>
      <c r="BQ66" t="str">
        <f>IF(Asistencia!L69="","",Asistencia!L69)</f>
        <v/>
      </c>
    </row>
    <row r="67" spans="1:69" ht="15.75" customHeight="1" x14ac:dyDescent="0.25">
      <c r="A67" s="46" t="str">
        <f t="shared" si="23"/>
        <v/>
      </c>
      <c r="B67" s="47" t="str">
        <f t="shared" si="24"/>
        <v/>
      </c>
      <c r="C67" s="47"/>
      <c r="D67" s="47"/>
      <c r="E67" s="46" t="str">
        <f t="shared" si="25"/>
        <v/>
      </c>
      <c r="F67" s="45" t="str">
        <f t="shared" si="26"/>
        <v/>
      </c>
      <c r="G67" s="44" t="str">
        <f t="shared" si="27"/>
        <v/>
      </c>
      <c r="H67" s="44" t="str">
        <f t="shared" si="28"/>
        <v/>
      </c>
      <c r="I67" s="44" t="str">
        <f t="shared" si="29"/>
        <v/>
      </c>
      <c r="J67" s="44" t="str">
        <f t="shared" si="30"/>
        <v/>
      </c>
      <c r="K67" s="44" t="str">
        <f t="shared" si="31"/>
        <v/>
      </c>
      <c r="L67" s="44" t="str">
        <f t="shared" si="32"/>
        <v/>
      </c>
      <c r="M67" s="43" t="str">
        <f t="shared" si="33"/>
        <v/>
      </c>
      <c r="N67" s="41" t="str">
        <f t="shared" si="34"/>
        <v/>
      </c>
      <c r="O67" s="41" t="str">
        <f t="shared" si="35"/>
        <v/>
      </c>
      <c r="P67" s="41" t="str">
        <f t="shared" si="36"/>
        <v/>
      </c>
      <c r="Q67" s="41" t="str">
        <f t="shared" si="37"/>
        <v/>
      </c>
      <c r="R67" s="41" t="str">
        <f t="shared" si="38"/>
        <v/>
      </c>
      <c r="S67" s="41"/>
      <c r="T67" s="48"/>
      <c r="U67" s="41" t="str">
        <f t="shared" si="39"/>
        <v/>
      </c>
      <c r="V67" s="41"/>
      <c r="W67" s="42" t="str">
        <f t="shared" si="40"/>
        <v/>
      </c>
      <c r="Y67" t="str">
        <f>IFERROR(MATCH(63,$AH$5:$AH$323,0),"")</f>
        <v/>
      </c>
      <c r="Z67" t="str">
        <f t="shared" si="41"/>
        <v/>
      </c>
      <c r="AA67" t="str">
        <f t="shared" si="19"/>
        <v/>
      </c>
      <c r="AB67" t="str">
        <f>IF(Asistencia!A70="","",Asistencia!A70)</f>
        <v/>
      </c>
      <c r="AC67" t="str">
        <f>IF(Asistencia!A70="","",SUBSTITUTE(SUBSTITUTE(SUBSTITUTE(SUBSTITUTE(SUBSTITUTE(SUBSTITUTE(SUBSTITUTE(UPPER(TRIM(Asistencia!A70)),"Á","A"),"É","E"),"Í","I"),"Ó","O"),"Ú","U"),"Ñ","N"),"  "," "))</f>
        <v/>
      </c>
      <c r="AD67" t="str">
        <f>IF(Asistencia!E70="","",Asistencia!E70)</f>
        <v/>
      </c>
      <c r="AE67" t="str">
        <f>IF(Asistencia!D70="","",UPPER(TRIM(Asistencia!D70)))</f>
        <v/>
      </c>
      <c r="AF67" t="s">
        <v>188</v>
      </c>
      <c r="AG67">
        <f>IF(AND(AA67&lt;&gt;"",COUNTIF($AA$5:AA67,AA67)=1),1,0)</f>
        <v>0</v>
      </c>
      <c r="AH67" t="str">
        <f>IF(AG67=1,SUM($AG$5:AG67),"")</f>
        <v/>
      </c>
      <c r="AI67">
        <f>IF(OR(EXACT(Asistencia!F70,"A"),EXACT(Asistencia!F70,"R"),EXACT(Asistencia!F70,"DL"),EXACT(Asistencia!F70,"FL"),EXACT(Asistencia!F70,"FE"),EXACT(Asistencia!F70,"PCS"),EXACT(Asistencia!F70,"V")),1,0)</f>
        <v>0</v>
      </c>
      <c r="AJ67">
        <f>IF(OR(EXACT(Asistencia!G70,"A"),EXACT(Asistencia!G70,"R"),EXACT(Asistencia!G70,"DL"),EXACT(Asistencia!G70,"FL"),EXACT(Asistencia!G70,"FE"),EXACT(Asistencia!G70,"PCS"),EXACT(Asistencia!G70,"V")),1,0)</f>
        <v>0</v>
      </c>
      <c r="AK67">
        <f>IF(OR(EXACT(Asistencia!H70,"A"),EXACT(Asistencia!H70,"R"),EXACT(Asistencia!H70,"DL"),EXACT(Asistencia!H70,"FL"),EXACT(Asistencia!H70,"FE"),EXACT(Asistencia!H70,"PCS"),EXACT(Asistencia!H70,"V")),1,0)</f>
        <v>0</v>
      </c>
      <c r="AL67">
        <f>IF(OR(EXACT(Asistencia!I70,"A"),EXACT(Asistencia!I70,"R"),EXACT(Asistencia!I70,"DL"),EXACT(Asistencia!I70,"FL"),EXACT(Asistencia!I70,"FE"),EXACT(Asistencia!I70,"PCS"),EXACT(Asistencia!I70,"V")),1,0)</f>
        <v>0</v>
      </c>
      <c r="AM67">
        <f>IF(OR(EXACT(Asistencia!J70,"A"),EXACT(Asistencia!J70,"R"),EXACT(Asistencia!J70,"DL"),EXACT(Asistencia!J70,"FL"),EXACT(Asistencia!J70,"FE"),EXACT(Asistencia!J70,"PCS"),EXACT(Asistencia!J70,"V")),1,0)</f>
        <v>0</v>
      </c>
      <c r="AN67">
        <f>IF(OR(EXACT(Asistencia!K70,"A"),EXACT(Asistencia!K70,"R"),EXACT(Asistencia!K70,"DL"),EXACT(Asistencia!K70,"FL"),EXACT(Asistencia!K70,"FE"),EXACT(Asistencia!K70,"PCS"),EXACT(Asistencia!K70,"V")),1,0)</f>
        <v>0</v>
      </c>
      <c r="AO67">
        <f>IF(OR(EXACT(Asistencia!L70,"A"),EXACT(Asistencia!L70,"R"),EXACT(Asistencia!L70,"DL"),EXACT(Asistencia!L70,"FL"),EXACT(Asistencia!L70,"FE"),EXACT(Asistencia!L70,"PCS"),EXACT(Asistencia!L70,"V")),1,0)</f>
        <v>0</v>
      </c>
      <c r="AP67">
        <f t="shared" si="20"/>
        <v>0</v>
      </c>
      <c r="AQ67">
        <f>IF(EXACT(Asistencia!F70,"FL"),1,0)</f>
        <v>0</v>
      </c>
      <c r="AR67">
        <f>IF(EXACT(Asistencia!G70,"FL"),1,0)</f>
        <v>0</v>
      </c>
      <c r="AS67">
        <f>IF(EXACT(Asistencia!H70,"FL"),1,0)</f>
        <v>0</v>
      </c>
      <c r="AT67">
        <f>IF(EXACT(Asistencia!I70,"FL"),1,0)</f>
        <v>0</v>
      </c>
      <c r="AU67">
        <f>IF(EXACT(Asistencia!J70,"FL"),1,0)</f>
        <v>0</v>
      </c>
      <c r="AV67">
        <f>IF(EXACT(Asistencia!K70,"FL"),1,0)</f>
        <v>0</v>
      </c>
      <c r="AW67">
        <f>IF(EXACT(Asistencia!L70,"FL"),1,0)</f>
        <v>0</v>
      </c>
      <c r="AX67">
        <f t="shared" si="21"/>
        <v>0</v>
      </c>
      <c r="AY67">
        <f>IF(EXACT(Asistencia!F70,"DL"),1,0)</f>
        <v>0</v>
      </c>
      <c r="AZ67">
        <f>IF(EXACT(Asistencia!G70,"DL"),1,0)</f>
        <v>0</v>
      </c>
      <c r="BA67">
        <f>IF(EXACT(Asistencia!H70,"DL"),1,0)</f>
        <v>0</v>
      </c>
      <c r="BB67">
        <f>IF(EXACT(Asistencia!I70,"DL"),1,0)</f>
        <v>0</v>
      </c>
      <c r="BC67">
        <f>IF(EXACT(Asistencia!J70,"DL"),1,0)</f>
        <v>0</v>
      </c>
      <c r="BD67">
        <f>IF(EXACT(Asistencia!K70,"DL"),1,0)</f>
        <v>0</v>
      </c>
      <c r="BE67">
        <f>IF(EXACT(Asistencia!L70,"DL"),1,0)</f>
        <v>0</v>
      </c>
      <c r="BF67">
        <f t="shared" si="22"/>
        <v>0</v>
      </c>
      <c r="BG67">
        <f>IF(ISNUMBER(Asistencia!M70),Asistencia!M70,0)</f>
        <v>0</v>
      </c>
      <c r="BH67">
        <f>IF(ISNUMBER(Asistencia!N70),Asistencia!N70,0)</f>
        <v>0</v>
      </c>
      <c r="BI67">
        <f>IF(ISNUMBER(Asistencia!O70),Asistencia!O70,0)</f>
        <v>0</v>
      </c>
      <c r="BJ67">
        <f>IF(ISNUMBER(Asistencia!P70),Asistencia!P70,0)</f>
        <v>0</v>
      </c>
      <c r="BK67" t="str">
        <f>IF(Asistencia!F70="","",Asistencia!F70)</f>
        <v/>
      </c>
      <c r="BL67" t="str">
        <f>IF(Asistencia!G70="","",Asistencia!G70)</f>
        <v/>
      </c>
      <c r="BM67" t="str">
        <f>IF(Asistencia!H70="","",Asistencia!H70)</f>
        <v/>
      </c>
      <c r="BN67" t="str">
        <f>IF(Asistencia!I70="","",Asistencia!I70)</f>
        <v/>
      </c>
      <c r="BO67" t="str">
        <f>IF(Asistencia!J70="","",Asistencia!J70)</f>
        <v/>
      </c>
      <c r="BP67" t="str">
        <f>IF(Asistencia!K70="","",Asistencia!K70)</f>
        <v/>
      </c>
      <c r="BQ67" t="str">
        <f>IF(Asistencia!L70="","",Asistencia!L70)</f>
        <v/>
      </c>
    </row>
    <row r="68" spans="1:69" ht="15.75" customHeight="1" x14ac:dyDescent="0.25">
      <c r="A68" s="46" t="str">
        <f t="shared" si="23"/>
        <v/>
      </c>
      <c r="B68" s="47" t="str">
        <f t="shared" si="24"/>
        <v/>
      </c>
      <c r="C68" s="47"/>
      <c r="D68" s="47"/>
      <c r="E68" s="46" t="str">
        <f t="shared" si="25"/>
        <v/>
      </c>
      <c r="F68" s="45" t="str">
        <f t="shared" si="26"/>
        <v/>
      </c>
      <c r="G68" s="44" t="str">
        <f t="shared" si="27"/>
        <v/>
      </c>
      <c r="H68" s="44" t="str">
        <f t="shared" si="28"/>
        <v/>
      </c>
      <c r="I68" s="44" t="str">
        <f t="shared" si="29"/>
        <v/>
      </c>
      <c r="J68" s="44" t="str">
        <f t="shared" si="30"/>
        <v/>
      </c>
      <c r="K68" s="44" t="str">
        <f t="shared" si="31"/>
        <v/>
      </c>
      <c r="L68" s="44" t="str">
        <f t="shared" si="32"/>
        <v/>
      </c>
      <c r="M68" s="43" t="str">
        <f t="shared" si="33"/>
        <v/>
      </c>
      <c r="N68" s="41" t="str">
        <f t="shared" si="34"/>
        <v/>
      </c>
      <c r="O68" s="41" t="str">
        <f t="shared" si="35"/>
        <v/>
      </c>
      <c r="P68" s="41" t="str">
        <f t="shared" si="36"/>
        <v/>
      </c>
      <c r="Q68" s="41" t="str">
        <f t="shared" si="37"/>
        <v/>
      </c>
      <c r="R68" s="41" t="str">
        <f t="shared" si="38"/>
        <v/>
      </c>
      <c r="S68" s="41"/>
      <c r="T68" s="48"/>
      <c r="U68" s="41" t="str">
        <f t="shared" si="39"/>
        <v/>
      </c>
      <c r="V68" s="41"/>
      <c r="W68" s="42" t="str">
        <f t="shared" si="40"/>
        <v/>
      </c>
      <c r="Y68" t="str">
        <f>IFERROR(MATCH(64,$AH$5:$AH$323,0),"")</f>
        <v/>
      </c>
      <c r="Z68" t="str">
        <f t="shared" si="41"/>
        <v/>
      </c>
      <c r="AA68" t="str">
        <f t="shared" si="19"/>
        <v/>
      </c>
      <c r="AB68" t="str">
        <f>IF(Asistencia!A71="","",Asistencia!A71)</f>
        <v/>
      </c>
      <c r="AC68" t="str">
        <f>IF(Asistencia!A71="","",SUBSTITUTE(SUBSTITUTE(SUBSTITUTE(SUBSTITUTE(SUBSTITUTE(SUBSTITUTE(SUBSTITUTE(UPPER(TRIM(Asistencia!A71)),"Á","A"),"É","E"),"Í","I"),"Ó","O"),"Ú","U"),"Ñ","N"),"  "," "))</f>
        <v/>
      </c>
      <c r="AD68" t="str">
        <f>IF(Asistencia!E71="","",Asistencia!E71)</f>
        <v/>
      </c>
      <c r="AE68" t="str">
        <f>IF(Asistencia!D71="","",UPPER(TRIM(Asistencia!D71)))</f>
        <v/>
      </c>
      <c r="AF68" t="s">
        <v>188</v>
      </c>
      <c r="AG68">
        <f>IF(AND(AA68&lt;&gt;"",COUNTIF($AA$5:AA68,AA68)=1),1,0)</f>
        <v>0</v>
      </c>
      <c r="AH68" t="str">
        <f>IF(AG68=1,SUM($AG$5:AG68),"")</f>
        <v/>
      </c>
      <c r="AI68">
        <f>IF(OR(EXACT(Asistencia!F71,"A"),EXACT(Asistencia!F71,"R"),EXACT(Asistencia!F71,"DL"),EXACT(Asistencia!F71,"FL"),EXACT(Asistencia!F71,"FE"),EXACT(Asistencia!F71,"PCS"),EXACT(Asistencia!F71,"V")),1,0)</f>
        <v>0</v>
      </c>
      <c r="AJ68">
        <f>IF(OR(EXACT(Asistencia!G71,"A"),EXACT(Asistencia!G71,"R"),EXACT(Asistencia!G71,"DL"),EXACT(Asistencia!G71,"FL"),EXACT(Asistencia!G71,"FE"),EXACT(Asistencia!G71,"PCS"),EXACT(Asistencia!G71,"V")),1,0)</f>
        <v>0</v>
      </c>
      <c r="AK68">
        <f>IF(OR(EXACT(Asistencia!H71,"A"),EXACT(Asistencia!H71,"R"),EXACT(Asistencia!H71,"DL"),EXACT(Asistencia!H71,"FL"),EXACT(Asistencia!H71,"FE"),EXACT(Asistencia!H71,"PCS"),EXACT(Asistencia!H71,"V")),1,0)</f>
        <v>0</v>
      </c>
      <c r="AL68">
        <f>IF(OR(EXACT(Asistencia!I71,"A"),EXACT(Asistencia!I71,"R"),EXACT(Asistencia!I71,"DL"),EXACT(Asistencia!I71,"FL"),EXACT(Asistencia!I71,"FE"),EXACT(Asistencia!I71,"PCS"),EXACT(Asistencia!I71,"V")),1,0)</f>
        <v>0</v>
      </c>
      <c r="AM68">
        <f>IF(OR(EXACT(Asistencia!J71,"A"),EXACT(Asistencia!J71,"R"),EXACT(Asistencia!J71,"DL"),EXACT(Asistencia!J71,"FL"),EXACT(Asistencia!J71,"FE"),EXACT(Asistencia!J71,"PCS"),EXACT(Asistencia!J71,"V")),1,0)</f>
        <v>0</v>
      </c>
      <c r="AN68">
        <f>IF(OR(EXACT(Asistencia!K71,"A"),EXACT(Asistencia!K71,"R"),EXACT(Asistencia!K71,"DL"),EXACT(Asistencia!K71,"FL"),EXACT(Asistencia!K71,"FE"),EXACT(Asistencia!K71,"PCS"),EXACT(Asistencia!K71,"V")),1,0)</f>
        <v>0</v>
      </c>
      <c r="AO68">
        <f>IF(OR(EXACT(Asistencia!L71,"A"),EXACT(Asistencia!L71,"R"),EXACT(Asistencia!L71,"DL"),EXACT(Asistencia!L71,"FL"),EXACT(Asistencia!L71,"FE"),EXACT(Asistencia!L71,"PCS"),EXACT(Asistencia!L71,"V")),1,0)</f>
        <v>0</v>
      </c>
      <c r="AP68">
        <f t="shared" si="20"/>
        <v>0</v>
      </c>
      <c r="AQ68">
        <f>IF(EXACT(Asistencia!F71,"FL"),1,0)</f>
        <v>0</v>
      </c>
      <c r="AR68">
        <f>IF(EXACT(Asistencia!G71,"FL"),1,0)</f>
        <v>0</v>
      </c>
      <c r="AS68">
        <f>IF(EXACT(Asistencia!H71,"FL"),1,0)</f>
        <v>0</v>
      </c>
      <c r="AT68">
        <f>IF(EXACT(Asistencia!I71,"FL"),1,0)</f>
        <v>0</v>
      </c>
      <c r="AU68">
        <f>IF(EXACT(Asistencia!J71,"FL"),1,0)</f>
        <v>0</v>
      </c>
      <c r="AV68">
        <f>IF(EXACT(Asistencia!K71,"FL"),1,0)</f>
        <v>0</v>
      </c>
      <c r="AW68">
        <f>IF(EXACT(Asistencia!L71,"FL"),1,0)</f>
        <v>0</v>
      </c>
      <c r="AX68">
        <f t="shared" si="21"/>
        <v>0</v>
      </c>
      <c r="AY68">
        <f>IF(EXACT(Asistencia!F71,"DL"),1,0)</f>
        <v>0</v>
      </c>
      <c r="AZ68">
        <f>IF(EXACT(Asistencia!G71,"DL"),1,0)</f>
        <v>0</v>
      </c>
      <c r="BA68">
        <f>IF(EXACT(Asistencia!H71,"DL"),1,0)</f>
        <v>0</v>
      </c>
      <c r="BB68">
        <f>IF(EXACT(Asistencia!I71,"DL"),1,0)</f>
        <v>0</v>
      </c>
      <c r="BC68">
        <f>IF(EXACT(Asistencia!J71,"DL"),1,0)</f>
        <v>0</v>
      </c>
      <c r="BD68">
        <f>IF(EXACT(Asistencia!K71,"DL"),1,0)</f>
        <v>0</v>
      </c>
      <c r="BE68">
        <f>IF(EXACT(Asistencia!L71,"DL"),1,0)</f>
        <v>0</v>
      </c>
      <c r="BF68">
        <f t="shared" si="22"/>
        <v>0</v>
      </c>
      <c r="BG68">
        <f>IF(ISNUMBER(Asistencia!M71),Asistencia!M71,0)</f>
        <v>0</v>
      </c>
      <c r="BH68">
        <f>IF(ISNUMBER(Asistencia!N71),Asistencia!N71,0)</f>
        <v>0</v>
      </c>
      <c r="BI68">
        <f>IF(ISNUMBER(Asistencia!O71),Asistencia!O71,0)</f>
        <v>0</v>
      </c>
      <c r="BJ68">
        <f>IF(ISNUMBER(Asistencia!P71),Asistencia!P71,0)</f>
        <v>0</v>
      </c>
      <c r="BK68" t="str">
        <f>IF(Asistencia!F71="","",Asistencia!F71)</f>
        <v/>
      </c>
      <c r="BL68" t="str">
        <f>IF(Asistencia!G71="","",Asistencia!G71)</f>
        <v/>
      </c>
      <c r="BM68" t="str">
        <f>IF(Asistencia!H71="","",Asistencia!H71)</f>
        <v/>
      </c>
      <c r="BN68" t="str">
        <f>IF(Asistencia!I71="","",Asistencia!I71)</f>
        <v/>
      </c>
      <c r="BO68" t="str">
        <f>IF(Asistencia!J71="","",Asistencia!J71)</f>
        <v/>
      </c>
      <c r="BP68" t="str">
        <f>IF(Asistencia!K71="","",Asistencia!K71)</f>
        <v/>
      </c>
      <c r="BQ68" t="str">
        <f>IF(Asistencia!L71="","",Asistencia!L71)</f>
        <v/>
      </c>
    </row>
    <row r="69" spans="1:69" ht="15.75" customHeight="1" x14ac:dyDescent="0.25">
      <c r="A69" s="46" t="str">
        <f t="shared" ref="A69:A100" si="42">IF(Y69="","",INDEX($AB$5:$AB$323,Y69))</f>
        <v/>
      </c>
      <c r="B69" s="47" t="str">
        <f t="shared" ref="B69:B100" si="43">IF(Y69="","",INDEX($AD$5:$AD$323,Y69))</f>
        <v/>
      </c>
      <c r="C69" s="47"/>
      <c r="D69" s="47"/>
      <c r="E69" s="46" t="str">
        <f t="shared" ref="E69:E100" si="44">IF($A69="","",_xlfn.TEXTJOIN(" / ",TRUE(),IF(SUMIFS($AP$5:$AP$323,$AA$5:$AA$323,$Z69,$AF$5:$AF$323,"ARMIDA")&gt;0,IFERROR("ARMIDA-"&amp;INDEX($AE$5:$AE$323,MATCH($Z69&amp;"ARMIDA",$AA$5:$AA$323&amp;$AF$5:$AF$323,0)),"ARMIDA"),""),IF(SUMIFS($AP$5:$AP$323,$AA$5:$AA$323,$Z69,$AF$5:$AF$323,"AURIGA")&gt;0,IFERROR("AURIGA-"&amp;INDEX($AE$5:$AE$323,MATCH($Z69&amp;"AURIGA",$AA$5:$AA$323&amp;$AF$5:$AF$323,0)),"AURIGA"),""),IF(SUMIFS($AP$5:$AP$323,$AA$5:$AA$323,$Z69,$AF$5:$AF$323,"AURORA")&gt;0,IFERROR("AURORA-"&amp;INDEX($AE$5:$AE$323,MATCH($Z69&amp;"AURORA",$AA$5:$AA$323&amp;$AF$5:$AF$323,0)),"AURORA"),""),IF(SUMIFS($AP$5:$AP$323,$AA$5:$AA$323,$Z69,$AF$5:$AF$323,"CITICA")&gt;0,IFERROR("CITICA-"&amp;INDEX($AE$5:$AE$323,MATCH($Z69&amp;"CITICA",$AA$5:$AA$323&amp;$AF$5:$AF$323,0)),"CITICA"),""),IF(SUMIFS($AP$5:$AP$323,$AA$5:$AA$323,$Z69,$AF$5:$AF$323,"GM")&gt;0,IFERROR("GM-"&amp;INDEX($AE$5:$AE$323,MATCH($Z69&amp;"GM",$AA$5:$AA$323&amp;$AF$5:$AF$323,0)),"GM"),""),IF(SUMIFS($AP$5:$AP$323,$AA$5:$AA$323,$Z69,$AF$5:$AF$323,"TORRE BALZAK")&gt;0,IFERROR("TORRE BALZAK-"&amp;INDEX($AE$5:$AE$323,MATCH($Z69&amp;"TORRE BALZAK",$AA$5:$AA$323&amp;$AF$5:$AF$323,0)),"TORRE BALZAK"),""),IF(SUMIFS($AP$5:$AP$323,$AA$5:$AA$323,$Z69,$AF$5:$AF$323,"TORRE OLMA")&gt;0,IFERROR("TORRE OLMA-"&amp;INDEX($AE$5:$AE$323,MATCH($Z69&amp;"TORRE OLMA",$AA$5:$AA$323&amp;$AF$5:$AF$323,0)),"TORRE OLMA"),""),IF(SUMIFS($AP$5:$AP$323,$AA$5:$AA$323,$Z69,$AF$5:$AF$323,"OTROS")&gt;0,IFERROR("OTROS-"&amp;INDEX($AE$5:$AE$323,MATCH($Z69&amp;"OTROS",$AA$5:$AA$323&amp;$AF$5:$AF$323,0)),"OTROS"),"")))</f>
        <v/>
      </c>
      <c r="F69" s="45" t="str">
        <f t="shared" ref="F69:F100" si="45">IF($A69="","",IFERROR(INDEX($BK$5:$BK$323,MATCH($Z69,$AA$5:$AA$323,0)),"-"))</f>
        <v/>
      </c>
      <c r="G69" s="44" t="str">
        <f t="shared" ref="G69:G100" si="46">IF($A69="","",IFERROR(INDEX($BL$5:$BL$323,MATCH($Z69,$AA$5:$AA$323,0)),"-"))</f>
        <v/>
      </c>
      <c r="H69" s="44" t="str">
        <f t="shared" ref="H69:H100" si="47">IF($A69="","",IFERROR(INDEX($BM$5:$BM$323,MATCH($Z69,$AA$5:$AA$323,0)),"-"))</f>
        <v/>
      </c>
      <c r="I69" s="44" t="str">
        <f t="shared" ref="I69:I100" si="48">IF($A69="","",IFERROR(INDEX($BN$5:$BN$323,MATCH($Z69,$AA$5:$AA$323,0)),"-"))</f>
        <v/>
      </c>
      <c r="J69" s="44" t="str">
        <f t="shared" ref="J69:J100" si="49">IF($A69="","",IFERROR(INDEX($BO$5:$BO$323,MATCH($Z69,$AA$5:$AA$323,0)),"-"))</f>
        <v/>
      </c>
      <c r="K69" s="44" t="str">
        <f t="shared" ref="K69:K100" si="50">IF($A69="","",IFERROR(INDEX($BP$5:$BP$323,MATCH($Z69,$AA$5:$AA$323,0)),"-"))</f>
        <v/>
      </c>
      <c r="L69" s="44" t="str">
        <f t="shared" ref="L69:L100" si="51">IF($A69="","",IFERROR(INDEX($BQ$5:$BQ$323,MATCH($Z69,$AA$5:$AA$323,0)),"-"))</f>
        <v/>
      </c>
      <c r="M69" s="43" t="str">
        <f t="shared" ref="M69:M100" si="52">IF($A69="","",(--(SUMIF($AA$5:$AA$323,$Z69,$AI$5:$AI$323)&gt;0))+(--(SUMIF($AA$5:$AA$323,$Z69,$AJ$5:$AJ$323)&gt;0))+(--(SUMIF($AA$5:$AA$323,$Z69,$AK$5:$AK$323)&gt;0))+(--(SUMIF($AA$5:$AA$323,$Z69,$AL$5:$AL$323)&gt;0))+(--(SUMIF($AA$5:$AA$323,$Z69,$AM$5:$AM$323)&gt;0))+(--(SUMIF($AA$5:$AA$323,$Z69,$AN$5:$AN$323)&gt;0))+(--(SUMIF($AA$5:$AA$323,$Z69,$AO$5:$AO$323)&gt;0)))</f>
        <v/>
      </c>
      <c r="N69" s="41" t="str">
        <f t="shared" ref="N69:N100" si="53">IF($A69="","",MAX(0,M69-6))</f>
        <v/>
      </c>
      <c r="O69" s="41" t="str">
        <f t="shared" ref="O69:O100" si="54">IF($A69="","",SUMIF($AA$5:$AA$323,$Z69,$AP$5:$AP$323)-M69)</f>
        <v/>
      </c>
      <c r="P69" s="41" t="str">
        <f t="shared" ref="P69:P100" si="55">IF($A69="","",SUMIF($AA$5:$AA$323,$Z69,$BG$5:$BG$323))</f>
        <v/>
      </c>
      <c r="Q69" s="41" t="str">
        <f t="shared" ref="Q69:Q100" si="56">IF($A69="","",SUMIF($AA$5:$AA$323,$Z69,$BH$5:$BH$323))</f>
        <v/>
      </c>
      <c r="R69" s="41" t="str">
        <f t="shared" ref="R69:R100" si="57">IF($A69="","",SUMIF($AA$5:$AA$323,$Z69,$BI$5:$BI$323))</f>
        <v/>
      </c>
      <c r="S69" s="41"/>
      <c r="T69" s="48"/>
      <c r="U69" s="41" t="str">
        <f t="shared" ref="U69:U100" si="58">IF($A69="","",SUMIF($AA$5:$AA$323,$Z69,$BJ$5:$BJ$323))</f>
        <v/>
      </c>
      <c r="V69" s="41"/>
      <c r="W69" s="42" t="str">
        <f t="shared" ref="W69:W100" si="59">IF($A69="","",_xlfn.TEXTJOIN(" | ",TRUE(),IF(N69&gt;0,"+ de 6 días: revisar adicionales",""),IF(O69&gt;0,"Doble evento mismo día: revisar turno/pago",""),IF(SUMIF($AA$5:$AA$323,$Z69,$AX$5:$AX$323)&gt;((--(SUMIF($AA$5:$AA$323,$Z69,$AQ$5:$AQ$323)&gt;0))+(--(SUMIF($AA$5:$AA$323,$Z69,$AR$5:$AR$323)&gt;0))+(--(SUMIF($AA$5:$AA$323,$Z69,$AS$5:$AS$323)&gt;0))+(--(SUMIF($AA$5:$AA$323,$Z69,$AT$5:$AT$323)&gt;0))+(--(SUMIF($AA$5:$AA$323,$Z69,$AU$5:$AU$323)&gt;0))+(--(SUMIF($AA$5:$AA$323,$Z69,$AV$5:$AV$323)&gt;0))+(--(SUMIF($AA$5:$AA$323,$Z69,$AW$5:$AW$323)&gt;0))),"FL múltiple mismo día: revisar pago festivo",""),IF(SUMIF($AA$5:$AA$323,$Z69,$BF$5:$BF$323)&gt;((--(SUMIF($AA$5:$AA$323,$Z69,$AY$5:$AY$323)&gt;0))+(--(SUMIF($AA$5:$AA$323,$Z69,$AZ$5:$AZ$323)&gt;0))+(--(SUMIF($AA$5:$AA$323,$Z69,$BA$5:$BA$323)&gt;0))+(--(SUMIF($AA$5:$AA$323,$Z69,$BB$5:$BB$323)&gt;0))+(--(SUMIF($AA$5:$AA$323,$Z69,$BC$5:$BC$323)&gt;0))+(--(SUMIF($AA$5:$AA$323,$Z69,$BD$5:$BD$323)&gt;0))+(--(SUMIF($AA$5:$AA$323,$Z69,$BE$5:$BE$323)&gt;0))),"DL múltiple mismo día: revisar pago descanso","")))</f>
        <v/>
      </c>
      <c r="Y69" t="str">
        <f>IFERROR(MATCH(65,$AH$5:$AH$323,0),"")</f>
        <v/>
      </c>
      <c r="Z69" t="str">
        <f t="shared" ref="Z69:Z100" si="60">IF(Y69="","",INDEX($AA$5:$AA$323,Y69))</f>
        <v/>
      </c>
      <c r="AA69" t="str">
        <f t="shared" ref="AA69:AA132" si="61">IF(AC69="","","M:"&amp;AC69)</f>
        <v/>
      </c>
      <c r="AB69" t="str">
        <f>IF(Asistencia!A72="","",Asistencia!A72)</f>
        <v/>
      </c>
      <c r="AC69" t="str">
        <f>IF(Asistencia!A72="","",SUBSTITUTE(SUBSTITUTE(SUBSTITUTE(SUBSTITUTE(SUBSTITUTE(SUBSTITUTE(SUBSTITUTE(UPPER(TRIM(Asistencia!A72)),"Á","A"),"É","E"),"Í","I"),"Ó","O"),"Ú","U"),"Ñ","N"),"  "," "))</f>
        <v/>
      </c>
      <c r="AD69" t="str">
        <f>IF(Asistencia!E72="","",Asistencia!E72)</f>
        <v/>
      </c>
      <c r="AE69" t="str">
        <f>IF(Asistencia!D72="","",UPPER(TRIM(Asistencia!D72)))</f>
        <v/>
      </c>
      <c r="AF69" t="s">
        <v>188</v>
      </c>
      <c r="AG69">
        <f>IF(AND(AA69&lt;&gt;"",COUNTIF($AA$5:AA69,AA69)=1),1,0)</f>
        <v>0</v>
      </c>
      <c r="AH69" t="str">
        <f>IF(AG69=1,SUM($AG$5:AG69),"")</f>
        <v/>
      </c>
      <c r="AI69">
        <f>IF(OR(EXACT(Asistencia!F72,"A"),EXACT(Asistencia!F72,"R"),EXACT(Asistencia!F72,"DL"),EXACT(Asistencia!F72,"FL"),EXACT(Asistencia!F72,"FE"),EXACT(Asistencia!F72,"PCS"),EXACT(Asistencia!F72,"V")),1,0)</f>
        <v>0</v>
      </c>
      <c r="AJ69">
        <f>IF(OR(EXACT(Asistencia!G72,"A"),EXACT(Asistencia!G72,"R"),EXACT(Asistencia!G72,"DL"),EXACT(Asistencia!G72,"FL"),EXACT(Asistencia!G72,"FE"),EXACT(Asistencia!G72,"PCS"),EXACT(Asistencia!G72,"V")),1,0)</f>
        <v>0</v>
      </c>
      <c r="AK69">
        <f>IF(OR(EXACT(Asistencia!H72,"A"),EXACT(Asistencia!H72,"R"),EXACT(Asistencia!H72,"DL"),EXACT(Asistencia!H72,"FL"),EXACT(Asistencia!H72,"FE"),EXACT(Asistencia!H72,"PCS"),EXACT(Asistencia!H72,"V")),1,0)</f>
        <v>0</v>
      </c>
      <c r="AL69">
        <f>IF(OR(EXACT(Asistencia!I72,"A"),EXACT(Asistencia!I72,"R"),EXACT(Asistencia!I72,"DL"),EXACT(Asistencia!I72,"FL"),EXACT(Asistencia!I72,"FE"),EXACT(Asistencia!I72,"PCS"),EXACT(Asistencia!I72,"V")),1,0)</f>
        <v>0</v>
      </c>
      <c r="AM69">
        <f>IF(OR(EXACT(Asistencia!J72,"A"),EXACT(Asistencia!J72,"R"),EXACT(Asistencia!J72,"DL"),EXACT(Asistencia!J72,"FL"),EXACT(Asistencia!J72,"FE"),EXACT(Asistencia!J72,"PCS"),EXACT(Asistencia!J72,"V")),1,0)</f>
        <v>0</v>
      </c>
      <c r="AN69">
        <f>IF(OR(EXACT(Asistencia!K72,"A"),EXACT(Asistencia!K72,"R"),EXACT(Asistencia!K72,"DL"),EXACT(Asistencia!K72,"FL"),EXACT(Asistencia!K72,"FE"),EXACT(Asistencia!K72,"PCS"),EXACT(Asistencia!K72,"V")),1,0)</f>
        <v>0</v>
      </c>
      <c r="AO69">
        <f>IF(OR(EXACT(Asistencia!L72,"A"),EXACT(Asistencia!L72,"R"),EXACT(Asistencia!L72,"DL"),EXACT(Asistencia!L72,"FL"),EXACT(Asistencia!L72,"FE"),EXACT(Asistencia!L72,"PCS"),EXACT(Asistencia!L72,"V")),1,0)</f>
        <v>0</v>
      </c>
      <c r="AP69">
        <f t="shared" ref="AP69:AP132" si="62">SUM(AI69:AO69)</f>
        <v>0</v>
      </c>
      <c r="AQ69">
        <f>IF(EXACT(Asistencia!F72,"FL"),1,0)</f>
        <v>0</v>
      </c>
      <c r="AR69">
        <f>IF(EXACT(Asistencia!G72,"FL"),1,0)</f>
        <v>0</v>
      </c>
      <c r="AS69">
        <f>IF(EXACT(Asistencia!H72,"FL"),1,0)</f>
        <v>0</v>
      </c>
      <c r="AT69">
        <f>IF(EXACT(Asistencia!I72,"FL"),1,0)</f>
        <v>0</v>
      </c>
      <c r="AU69">
        <f>IF(EXACT(Asistencia!J72,"FL"),1,0)</f>
        <v>0</v>
      </c>
      <c r="AV69">
        <f>IF(EXACT(Asistencia!K72,"FL"),1,0)</f>
        <v>0</v>
      </c>
      <c r="AW69">
        <f>IF(EXACT(Asistencia!L72,"FL"),1,0)</f>
        <v>0</v>
      </c>
      <c r="AX69">
        <f t="shared" ref="AX69:AX132" si="63">SUM(AQ69:AW69)</f>
        <v>0</v>
      </c>
      <c r="AY69">
        <f>IF(EXACT(Asistencia!F72,"DL"),1,0)</f>
        <v>0</v>
      </c>
      <c r="AZ69">
        <f>IF(EXACT(Asistencia!G72,"DL"),1,0)</f>
        <v>0</v>
      </c>
      <c r="BA69">
        <f>IF(EXACT(Asistencia!H72,"DL"),1,0)</f>
        <v>0</v>
      </c>
      <c r="BB69">
        <f>IF(EXACT(Asistencia!I72,"DL"),1,0)</f>
        <v>0</v>
      </c>
      <c r="BC69">
        <f>IF(EXACT(Asistencia!J72,"DL"),1,0)</f>
        <v>0</v>
      </c>
      <c r="BD69">
        <f>IF(EXACT(Asistencia!K72,"DL"),1,0)</f>
        <v>0</v>
      </c>
      <c r="BE69">
        <f>IF(EXACT(Asistencia!L72,"DL"),1,0)</f>
        <v>0</v>
      </c>
      <c r="BF69">
        <f t="shared" ref="BF69:BF132" si="64">SUM(AY69:BE69)</f>
        <v>0</v>
      </c>
      <c r="BG69">
        <f>IF(ISNUMBER(Asistencia!M72),Asistencia!M72,0)</f>
        <v>0</v>
      </c>
      <c r="BH69">
        <f>IF(ISNUMBER(Asistencia!N72),Asistencia!N72,0)</f>
        <v>0</v>
      </c>
      <c r="BI69">
        <f>IF(ISNUMBER(Asistencia!O72),Asistencia!O72,0)</f>
        <v>0</v>
      </c>
      <c r="BJ69">
        <f>IF(ISNUMBER(Asistencia!P72),Asistencia!P72,0)</f>
        <v>0</v>
      </c>
      <c r="BK69" t="str">
        <f>IF(Asistencia!F72="","",Asistencia!F72)</f>
        <v/>
      </c>
      <c r="BL69" t="str">
        <f>IF(Asistencia!G72="","",Asistencia!G72)</f>
        <v/>
      </c>
      <c r="BM69" t="str">
        <f>IF(Asistencia!H72="","",Asistencia!H72)</f>
        <v/>
      </c>
      <c r="BN69" t="str">
        <f>IF(Asistencia!I72="","",Asistencia!I72)</f>
        <v/>
      </c>
      <c r="BO69" t="str">
        <f>IF(Asistencia!J72="","",Asistencia!J72)</f>
        <v/>
      </c>
      <c r="BP69" t="str">
        <f>IF(Asistencia!K72="","",Asistencia!K72)</f>
        <v/>
      </c>
      <c r="BQ69" t="str">
        <f>IF(Asistencia!L72="","",Asistencia!L72)</f>
        <v/>
      </c>
    </row>
    <row r="70" spans="1:69" ht="15.75" customHeight="1" x14ac:dyDescent="0.25">
      <c r="A70" s="46" t="str">
        <f t="shared" si="42"/>
        <v/>
      </c>
      <c r="B70" s="47" t="str">
        <f t="shared" si="43"/>
        <v/>
      </c>
      <c r="C70" s="47"/>
      <c r="D70" s="47"/>
      <c r="E70" s="46" t="str">
        <f t="shared" si="44"/>
        <v/>
      </c>
      <c r="F70" s="45" t="str">
        <f t="shared" si="45"/>
        <v/>
      </c>
      <c r="G70" s="44" t="str">
        <f t="shared" si="46"/>
        <v/>
      </c>
      <c r="H70" s="44" t="str">
        <f t="shared" si="47"/>
        <v/>
      </c>
      <c r="I70" s="44" t="str">
        <f t="shared" si="48"/>
        <v/>
      </c>
      <c r="J70" s="44" t="str">
        <f t="shared" si="49"/>
        <v/>
      </c>
      <c r="K70" s="44" t="str">
        <f t="shared" si="50"/>
        <v/>
      </c>
      <c r="L70" s="44" t="str">
        <f t="shared" si="51"/>
        <v/>
      </c>
      <c r="M70" s="43" t="str">
        <f t="shared" si="52"/>
        <v/>
      </c>
      <c r="N70" s="41" t="str">
        <f t="shared" si="53"/>
        <v/>
      </c>
      <c r="O70" s="41" t="str">
        <f t="shared" si="54"/>
        <v/>
      </c>
      <c r="P70" s="41" t="str">
        <f t="shared" si="55"/>
        <v/>
      </c>
      <c r="Q70" s="41" t="str">
        <f t="shared" si="56"/>
        <v/>
      </c>
      <c r="R70" s="41" t="str">
        <f t="shared" si="57"/>
        <v/>
      </c>
      <c r="S70" s="41"/>
      <c r="T70" s="48"/>
      <c r="U70" s="41" t="str">
        <f t="shared" si="58"/>
        <v/>
      </c>
      <c r="V70" s="41"/>
      <c r="W70" s="42" t="str">
        <f t="shared" si="59"/>
        <v/>
      </c>
      <c r="Y70" t="str">
        <f>IFERROR(MATCH(66,$AH$5:$AH$323,0),"")</f>
        <v/>
      </c>
      <c r="Z70" t="str">
        <f t="shared" si="60"/>
        <v/>
      </c>
      <c r="AA70" t="str">
        <f t="shared" si="61"/>
        <v/>
      </c>
      <c r="AB70" t="str">
        <f>IF(Asistencia!A73="","",Asistencia!A73)</f>
        <v/>
      </c>
      <c r="AC70" t="str">
        <f>IF(Asistencia!A73="","",SUBSTITUTE(SUBSTITUTE(SUBSTITUTE(SUBSTITUTE(SUBSTITUTE(SUBSTITUTE(SUBSTITUTE(UPPER(TRIM(Asistencia!A73)),"Á","A"),"É","E"),"Í","I"),"Ó","O"),"Ú","U"),"Ñ","N"),"  "," "))</f>
        <v/>
      </c>
      <c r="AD70" t="str">
        <f>IF(Asistencia!E73="","",Asistencia!E73)</f>
        <v/>
      </c>
      <c r="AE70" t="str">
        <f>IF(Asistencia!D73="","",UPPER(TRIM(Asistencia!D73)))</f>
        <v/>
      </c>
      <c r="AF70" t="s">
        <v>188</v>
      </c>
      <c r="AG70">
        <f>IF(AND(AA70&lt;&gt;"",COUNTIF($AA$5:AA70,AA70)=1),1,0)</f>
        <v>0</v>
      </c>
      <c r="AH70" t="str">
        <f>IF(AG70=1,SUM($AG$5:AG70),"")</f>
        <v/>
      </c>
      <c r="AI70">
        <f>IF(OR(EXACT(Asistencia!F73,"A"),EXACT(Asistencia!F73,"R"),EXACT(Asistencia!F73,"DL"),EXACT(Asistencia!F73,"FL"),EXACT(Asistencia!F73,"FE"),EXACT(Asistencia!F73,"PCS"),EXACT(Asistencia!F73,"V")),1,0)</f>
        <v>0</v>
      </c>
      <c r="AJ70">
        <f>IF(OR(EXACT(Asistencia!G73,"A"),EXACT(Asistencia!G73,"R"),EXACT(Asistencia!G73,"DL"),EXACT(Asistencia!G73,"FL"),EXACT(Asistencia!G73,"FE"),EXACT(Asistencia!G73,"PCS"),EXACT(Asistencia!G73,"V")),1,0)</f>
        <v>0</v>
      </c>
      <c r="AK70">
        <f>IF(OR(EXACT(Asistencia!H73,"A"),EXACT(Asistencia!H73,"R"),EXACT(Asistencia!H73,"DL"),EXACT(Asistencia!H73,"FL"),EXACT(Asistencia!H73,"FE"),EXACT(Asistencia!H73,"PCS"),EXACT(Asistencia!H73,"V")),1,0)</f>
        <v>0</v>
      </c>
      <c r="AL70">
        <f>IF(OR(EXACT(Asistencia!I73,"A"),EXACT(Asistencia!I73,"R"),EXACT(Asistencia!I73,"DL"),EXACT(Asistencia!I73,"FL"),EXACT(Asistencia!I73,"FE"),EXACT(Asistencia!I73,"PCS"),EXACT(Asistencia!I73,"V")),1,0)</f>
        <v>0</v>
      </c>
      <c r="AM70">
        <f>IF(OR(EXACT(Asistencia!J73,"A"),EXACT(Asistencia!J73,"R"),EXACT(Asistencia!J73,"DL"),EXACT(Asistencia!J73,"FL"),EXACT(Asistencia!J73,"FE"),EXACT(Asistencia!J73,"PCS"),EXACT(Asistencia!J73,"V")),1,0)</f>
        <v>0</v>
      </c>
      <c r="AN70">
        <f>IF(OR(EXACT(Asistencia!K73,"A"),EXACT(Asistencia!K73,"R"),EXACT(Asistencia!K73,"DL"),EXACT(Asistencia!K73,"FL"),EXACT(Asistencia!K73,"FE"),EXACT(Asistencia!K73,"PCS"),EXACT(Asistencia!K73,"V")),1,0)</f>
        <v>0</v>
      </c>
      <c r="AO70">
        <f>IF(OR(EXACT(Asistencia!L73,"A"),EXACT(Asistencia!L73,"R"),EXACT(Asistencia!L73,"DL"),EXACT(Asistencia!L73,"FL"),EXACT(Asistencia!L73,"FE"),EXACT(Asistencia!L73,"PCS"),EXACT(Asistencia!L73,"V")),1,0)</f>
        <v>0</v>
      </c>
      <c r="AP70">
        <f t="shared" si="62"/>
        <v>0</v>
      </c>
      <c r="AQ70">
        <f>IF(EXACT(Asistencia!F73,"FL"),1,0)</f>
        <v>0</v>
      </c>
      <c r="AR70">
        <f>IF(EXACT(Asistencia!G73,"FL"),1,0)</f>
        <v>0</v>
      </c>
      <c r="AS70">
        <f>IF(EXACT(Asistencia!H73,"FL"),1,0)</f>
        <v>0</v>
      </c>
      <c r="AT70">
        <f>IF(EXACT(Asistencia!I73,"FL"),1,0)</f>
        <v>0</v>
      </c>
      <c r="AU70">
        <f>IF(EXACT(Asistencia!J73,"FL"),1,0)</f>
        <v>0</v>
      </c>
      <c r="AV70">
        <f>IF(EXACT(Asistencia!K73,"FL"),1,0)</f>
        <v>0</v>
      </c>
      <c r="AW70">
        <f>IF(EXACT(Asistencia!L73,"FL"),1,0)</f>
        <v>0</v>
      </c>
      <c r="AX70">
        <f t="shared" si="63"/>
        <v>0</v>
      </c>
      <c r="AY70">
        <f>IF(EXACT(Asistencia!F73,"DL"),1,0)</f>
        <v>0</v>
      </c>
      <c r="AZ70">
        <f>IF(EXACT(Asistencia!G73,"DL"),1,0)</f>
        <v>0</v>
      </c>
      <c r="BA70">
        <f>IF(EXACT(Asistencia!H73,"DL"),1,0)</f>
        <v>0</v>
      </c>
      <c r="BB70">
        <f>IF(EXACT(Asistencia!I73,"DL"),1,0)</f>
        <v>0</v>
      </c>
      <c r="BC70">
        <f>IF(EXACT(Asistencia!J73,"DL"),1,0)</f>
        <v>0</v>
      </c>
      <c r="BD70">
        <f>IF(EXACT(Asistencia!K73,"DL"),1,0)</f>
        <v>0</v>
      </c>
      <c r="BE70">
        <f>IF(EXACT(Asistencia!L73,"DL"),1,0)</f>
        <v>0</v>
      </c>
      <c r="BF70">
        <f t="shared" si="64"/>
        <v>0</v>
      </c>
      <c r="BG70">
        <f>IF(ISNUMBER(Asistencia!M73),Asistencia!M73,0)</f>
        <v>0</v>
      </c>
      <c r="BH70">
        <f>IF(ISNUMBER(Asistencia!N73),Asistencia!N73,0)</f>
        <v>0</v>
      </c>
      <c r="BI70">
        <f>IF(ISNUMBER(Asistencia!O73),Asistencia!O73,0)</f>
        <v>0</v>
      </c>
      <c r="BJ70">
        <f>IF(ISNUMBER(Asistencia!P73),Asistencia!P73,0)</f>
        <v>0</v>
      </c>
      <c r="BK70" t="str">
        <f>IF(Asistencia!F73="","",Asistencia!F73)</f>
        <v/>
      </c>
      <c r="BL70" t="str">
        <f>IF(Asistencia!G73="","",Asistencia!G73)</f>
        <v/>
      </c>
      <c r="BM70" t="str">
        <f>IF(Asistencia!H73="","",Asistencia!H73)</f>
        <v/>
      </c>
      <c r="BN70" t="str">
        <f>IF(Asistencia!I73="","",Asistencia!I73)</f>
        <v/>
      </c>
      <c r="BO70" t="str">
        <f>IF(Asistencia!J73="","",Asistencia!J73)</f>
        <v/>
      </c>
      <c r="BP70" t="str">
        <f>IF(Asistencia!K73="","",Asistencia!K73)</f>
        <v/>
      </c>
      <c r="BQ70" t="str">
        <f>IF(Asistencia!L73="","",Asistencia!L73)</f>
        <v/>
      </c>
    </row>
    <row r="71" spans="1:69" ht="15.75" customHeight="1" x14ac:dyDescent="0.25">
      <c r="A71" s="46" t="str">
        <f t="shared" si="42"/>
        <v/>
      </c>
      <c r="B71" s="47" t="str">
        <f t="shared" si="43"/>
        <v/>
      </c>
      <c r="C71" s="47"/>
      <c r="D71" s="47"/>
      <c r="E71" s="46" t="str">
        <f t="shared" si="44"/>
        <v/>
      </c>
      <c r="F71" s="45" t="str">
        <f t="shared" si="45"/>
        <v/>
      </c>
      <c r="G71" s="44" t="str">
        <f t="shared" si="46"/>
        <v/>
      </c>
      <c r="H71" s="44" t="str">
        <f t="shared" si="47"/>
        <v/>
      </c>
      <c r="I71" s="44" t="str">
        <f t="shared" si="48"/>
        <v/>
      </c>
      <c r="J71" s="44" t="str">
        <f t="shared" si="49"/>
        <v/>
      </c>
      <c r="K71" s="44" t="str">
        <f t="shared" si="50"/>
        <v/>
      </c>
      <c r="L71" s="44" t="str">
        <f t="shared" si="51"/>
        <v/>
      </c>
      <c r="M71" s="43" t="str">
        <f t="shared" si="52"/>
        <v/>
      </c>
      <c r="N71" s="41" t="str">
        <f t="shared" si="53"/>
        <v/>
      </c>
      <c r="O71" s="41" t="str">
        <f t="shared" si="54"/>
        <v/>
      </c>
      <c r="P71" s="41" t="str">
        <f t="shared" si="55"/>
        <v/>
      </c>
      <c r="Q71" s="41" t="str">
        <f t="shared" si="56"/>
        <v/>
      </c>
      <c r="R71" s="41" t="str">
        <f t="shared" si="57"/>
        <v/>
      </c>
      <c r="S71" s="41"/>
      <c r="T71" s="48"/>
      <c r="U71" s="41" t="str">
        <f t="shared" si="58"/>
        <v/>
      </c>
      <c r="V71" s="41"/>
      <c r="W71" s="42" t="str">
        <f t="shared" si="59"/>
        <v/>
      </c>
      <c r="Y71" t="str">
        <f>IFERROR(MATCH(67,$AH$5:$AH$323,0),"")</f>
        <v/>
      </c>
      <c r="Z71" t="str">
        <f t="shared" si="60"/>
        <v/>
      </c>
      <c r="AA71" t="str">
        <f t="shared" si="61"/>
        <v/>
      </c>
      <c r="AB71" t="str">
        <f>IF(Asistencia!A74="","",Asistencia!A74)</f>
        <v/>
      </c>
      <c r="AC71" t="str">
        <f>IF(Asistencia!A74="","",SUBSTITUTE(SUBSTITUTE(SUBSTITUTE(SUBSTITUTE(SUBSTITUTE(SUBSTITUTE(SUBSTITUTE(UPPER(TRIM(Asistencia!A74)),"Á","A"),"É","E"),"Í","I"),"Ó","O"),"Ú","U"),"Ñ","N"),"  "," "))</f>
        <v/>
      </c>
      <c r="AD71" t="str">
        <f>IF(Asistencia!E74="","",Asistencia!E74)</f>
        <v/>
      </c>
      <c r="AE71" t="str">
        <f>IF(Asistencia!D74="","",UPPER(TRIM(Asistencia!D74)))</f>
        <v/>
      </c>
      <c r="AF71" t="s">
        <v>188</v>
      </c>
      <c r="AG71">
        <f>IF(AND(AA71&lt;&gt;"",COUNTIF($AA$5:AA71,AA71)=1),1,0)</f>
        <v>0</v>
      </c>
      <c r="AH71" t="str">
        <f>IF(AG71=1,SUM($AG$5:AG71),"")</f>
        <v/>
      </c>
      <c r="AI71">
        <f>IF(OR(EXACT(Asistencia!F74,"A"),EXACT(Asistencia!F74,"R"),EXACT(Asistencia!F74,"DL"),EXACT(Asistencia!F74,"FL"),EXACT(Asistencia!F74,"FE"),EXACT(Asistencia!F74,"PCS"),EXACT(Asistencia!F74,"V")),1,0)</f>
        <v>0</v>
      </c>
      <c r="AJ71">
        <f>IF(OR(EXACT(Asistencia!G74,"A"),EXACT(Asistencia!G74,"R"),EXACT(Asistencia!G74,"DL"),EXACT(Asistencia!G74,"FL"),EXACT(Asistencia!G74,"FE"),EXACT(Asistencia!G74,"PCS"),EXACT(Asistencia!G74,"V")),1,0)</f>
        <v>0</v>
      </c>
      <c r="AK71">
        <f>IF(OR(EXACT(Asistencia!H74,"A"),EXACT(Asistencia!H74,"R"),EXACT(Asistencia!H74,"DL"),EXACT(Asistencia!H74,"FL"),EXACT(Asistencia!H74,"FE"),EXACT(Asistencia!H74,"PCS"),EXACT(Asistencia!H74,"V")),1,0)</f>
        <v>0</v>
      </c>
      <c r="AL71">
        <f>IF(OR(EXACT(Asistencia!I74,"A"),EXACT(Asistencia!I74,"R"),EXACT(Asistencia!I74,"DL"),EXACT(Asistencia!I74,"FL"),EXACT(Asistencia!I74,"FE"),EXACT(Asistencia!I74,"PCS"),EXACT(Asistencia!I74,"V")),1,0)</f>
        <v>0</v>
      </c>
      <c r="AM71">
        <f>IF(OR(EXACT(Asistencia!J74,"A"),EXACT(Asistencia!J74,"R"),EXACT(Asistencia!J74,"DL"),EXACT(Asistencia!J74,"FL"),EXACT(Asistencia!J74,"FE"),EXACT(Asistencia!J74,"PCS"),EXACT(Asistencia!J74,"V")),1,0)</f>
        <v>0</v>
      </c>
      <c r="AN71">
        <f>IF(OR(EXACT(Asistencia!K74,"A"),EXACT(Asistencia!K74,"R"),EXACT(Asistencia!K74,"DL"),EXACT(Asistencia!K74,"FL"),EXACT(Asistencia!K74,"FE"),EXACT(Asistencia!K74,"PCS"),EXACT(Asistencia!K74,"V")),1,0)</f>
        <v>0</v>
      </c>
      <c r="AO71">
        <f>IF(OR(EXACT(Asistencia!L74,"A"),EXACT(Asistencia!L74,"R"),EXACT(Asistencia!L74,"DL"),EXACT(Asistencia!L74,"FL"),EXACT(Asistencia!L74,"FE"),EXACT(Asistencia!L74,"PCS"),EXACT(Asistencia!L74,"V")),1,0)</f>
        <v>0</v>
      </c>
      <c r="AP71">
        <f t="shared" si="62"/>
        <v>0</v>
      </c>
      <c r="AQ71">
        <f>IF(EXACT(Asistencia!F74,"FL"),1,0)</f>
        <v>0</v>
      </c>
      <c r="AR71">
        <f>IF(EXACT(Asistencia!G74,"FL"),1,0)</f>
        <v>0</v>
      </c>
      <c r="AS71">
        <f>IF(EXACT(Asistencia!H74,"FL"),1,0)</f>
        <v>0</v>
      </c>
      <c r="AT71">
        <f>IF(EXACT(Asistencia!I74,"FL"),1,0)</f>
        <v>0</v>
      </c>
      <c r="AU71">
        <f>IF(EXACT(Asistencia!J74,"FL"),1,0)</f>
        <v>0</v>
      </c>
      <c r="AV71">
        <f>IF(EXACT(Asistencia!K74,"FL"),1,0)</f>
        <v>0</v>
      </c>
      <c r="AW71">
        <f>IF(EXACT(Asistencia!L74,"FL"),1,0)</f>
        <v>0</v>
      </c>
      <c r="AX71">
        <f t="shared" si="63"/>
        <v>0</v>
      </c>
      <c r="AY71">
        <f>IF(EXACT(Asistencia!F74,"DL"),1,0)</f>
        <v>0</v>
      </c>
      <c r="AZ71">
        <f>IF(EXACT(Asistencia!G74,"DL"),1,0)</f>
        <v>0</v>
      </c>
      <c r="BA71">
        <f>IF(EXACT(Asistencia!H74,"DL"),1,0)</f>
        <v>0</v>
      </c>
      <c r="BB71">
        <f>IF(EXACT(Asistencia!I74,"DL"),1,0)</f>
        <v>0</v>
      </c>
      <c r="BC71">
        <f>IF(EXACT(Asistencia!J74,"DL"),1,0)</f>
        <v>0</v>
      </c>
      <c r="BD71">
        <f>IF(EXACT(Asistencia!K74,"DL"),1,0)</f>
        <v>0</v>
      </c>
      <c r="BE71">
        <f>IF(EXACT(Asistencia!L74,"DL"),1,0)</f>
        <v>0</v>
      </c>
      <c r="BF71">
        <f t="shared" si="64"/>
        <v>0</v>
      </c>
      <c r="BG71">
        <f>IF(ISNUMBER(Asistencia!M74),Asistencia!M74,0)</f>
        <v>0</v>
      </c>
      <c r="BH71">
        <f>IF(ISNUMBER(Asistencia!N74),Asistencia!N74,0)</f>
        <v>0</v>
      </c>
      <c r="BI71">
        <f>IF(ISNUMBER(Asistencia!O74),Asistencia!O74,0)</f>
        <v>0</v>
      </c>
      <c r="BJ71">
        <f>IF(ISNUMBER(Asistencia!P74),Asistencia!P74,0)</f>
        <v>0</v>
      </c>
      <c r="BK71" t="str">
        <f>IF(Asistencia!F74="","",Asistencia!F74)</f>
        <v/>
      </c>
      <c r="BL71" t="str">
        <f>IF(Asistencia!G74="","",Asistencia!G74)</f>
        <v/>
      </c>
      <c r="BM71" t="str">
        <f>IF(Asistencia!H74="","",Asistencia!H74)</f>
        <v/>
      </c>
      <c r="BN71" t="str">
        <f>IF(Asistencia!I74="","",Asistencia!I74)</f>
        <v/>
      </c>
      <c r="BO71" t="str">
        <f>IF(Asistencia!J74="","",Asistencia!J74)</f>
        <v/>
      </c>
      <c r="BP71" t="str">
        <f>IF(Asistencia!K74="","",Asistencia!K74)</f>
        <v/>
      </c>
      <c r="BQ71" t="str">
        <f>IF(Asistencia!L74="","",Asistencia!L74)</f>
        <v/>
      </c>
    </row>
    <row r="72" spans="1:69" ht="15.75" customHeight="1" x14ac:dyDescent="0.25">
      <c r="A72" s="46" t="str">
        <f t="shared" si="42"/>
        <v/>
      </c>
      <c r="B72" s="47" t="str">
        <f t="shared" si="43"/>
        <v/>
      </c>
      <c r="C72" s="47"/>
      <c r="D72" s="47"/>
      <c r="E72" s="46" t="str">
        <f t="shared" si="44"/>
        <v/>
      </c>
      <c r="F72" s="45" t="str">
        <f t="shared" si="45"/>
        <v/>
      </c>
      <c r="G72" s="44" t="str">
        <f t="shared" si="46"/>
        <v/>
      </c>
      <c r="H72" s="44" t="str">
        <f t="shared" si="47"/>
        <v/>
      </c>
      <c r="I72" s="44" t="str">
        <f t="shared" si="48"/>
        <v/>
      </c>
      <c r="J72" s="44" t="str">
        <f t="shared" si="49"/>
        <v/>
      </c>
      <c r="K72" s="44" t="str">
        <f t="shared" si="50"/>
        <v/>
      </c>
      <c r="L72" s="44" t="str">
        <f t="shared" si="51"/>
        <v/>
      </c>
      <c r="M72" s="43" t="str">
        <f t="shared" si="52"/>
        <v/>
      </c>
      <c r="N72" s="41" t="str">
        <f t="shared" si="53"/>
        <v/>
      </c>
      <c r="O72" s="41" t="str">
        <f t="shared" si="54"/>
        <v/>
      </c>
      <c r="P72" s="41" t="str">
        <f t="shared" si="55"/>
        <v/>
      </c>
      <c r="Q72" s="41" t="str">
        <f t="shared" si="56"/>
        <v/>
      </c>
      <c r="R72" s="41" t="str">
        <f t="shared" si="57"/>
        <v/>
      </c>
      <c r="S72" s="41"/>
      <c r="T72" s="48"/>
      <c r="U72" s="41" t="str">
        <f t="shared" si="58"/>
        <v/>
      </c>
      <c r="V72" s="41"/>
      <c r="W72" s="42" t="str">
        <f t="shared" si="59"/>
        <v/>
      </c>
      <c r="Y72" t="str">
        <f>IFERROR(MATCH(68,$AH$5:$AH$323,0),"")</f>
        <v/>
      </c>
      <c r="Z72" t="str">
        <f t="shared" si="60"/>
        <v/>
      </c>
      <c r="AA72" t="str">
        <f t="shared" si="61"/>
        <v/>
      </c>
      <c r="AB72" t="str">
        <f>IF(Asistencia!A75="","",Asistencia!A75)</f>
        <v/>
      </c>
      <c r="AC72" t="str">
        <f>IF(Asistencia!A75="","",SUBSTITUTE(SUBSTITUTE(SUBSTITUTE(SUBSTITUTE(SUBSTITUTE(SUBSTITUTE(SUBSTITUTE(UPPER(TRIM(Asistencia!A75)),"Á","A"),"É","E"),"Í","I"),"Ó","O"),"Ú","U"),"Ñ","N"),"  "," "))</f>
        <v/>
      </c>
      <c r="AD72" t="str">
        <f>IF(Asistencia!E75="","",Asistencia!E75)</f>
        <v/>
      </c>
      <c r="AE72" t="str">
        <f>IF(Asistencia!D75="","",UPPER(TRIM(Asistencia!D75)))</f>
        <v/>
      </c>
      <c r="AF72" t="s">
        <v>188</v>
      </c>
      <c r="AG72">
        <f>IF(AND(AA72&lt;&gt;"",COUNTIF($AA$5:AA72,AA72)=1),1,0)</f>
        <v>0</v>
      </c>
      <c r="AH72" t="str">
        <f>IF(AG72=1,SUM($AG$5:AG72),"")</f>
        <v/>
      </c>
      <c r="AI72">
        <f>IF(OR(EXACT(Asistencia!F75,"A"),EXACT(Asistencia!F75,"R"),EXACT(Asistencia!F75,"DL"),EXACT(Asistencia!F75,"FL"),EXACT(Asistencia!F75,"FE"),EXACT(Asistencia!F75,"PCS"),EXACT(Asistencia!F75,"V")),1,0)</f>
        <v>0</v>
      </c>
      <c r="AJ72">
        <f>IF(OR(EXACT(Asistencia!G75,"A"),EXACT(Asistencia!G75,"R"),EXACT(Asistencia!G75,"DL"),EXACT(Asistencia!G75,"FL"),EXACT(Asistencia!G75,"FE"),EXACT(Asistencia!G75,"PCS"),EXACT(Asistencia!G75,"V")),1,0)</f>
        <v>0</v>
      </c>
      <c r="AK72">
        <f>IF(OR(EXACT(Asistencia!H75,"A"),EXACT(Asistencia!H75,"R"),EXACT(Asistencia!H75,"DL"),EXACT(Asistencia!H75,"FL"),EXACT(Asistencia!H75,"FE"),EXACT(Asistencia!H75,"PCS"),EXACT(Asistencia!H75,"V")),1,0)</f>
        <v>0</v>
      </c>
      <c r="AL72">
        <f>IF(OR(EXACT(Asistencia!I75,"A"),EXACT(Asistencia!I75,"R"),EXACT(Asistencia!I75,"DL"),EXACT(Asistencia!I75,"FL"),EXACT(Asistencia!I75,"FE"),EXACT(Asistencia!I75,"PCS"),EXACT(Asistencia!I75,"V")),1,0)</f>
        <v>0</v>
      </c>
      <c r="AM72">
        <f>IF(OR(EXACT(Asistencia!J75,"A"),EXACT(Asistencia!J75,"R"),EXACT(Asistencia!J75,"DL"),EXACT(Asistencia!J75,"FL"),EXACT(Asistencia!J75,"FE"),EXACT(Asistencia!J75,"PCS"),EXACT(Asistencia!J75,"V")),1,0)</f>
        <v>0</v>
      </c>
      <c r="AN72">
        <f>IF(OR(EXACT(Asistencia!K75,"A"),EXACT(Asistencia!K75,"R"),EXACT(Asistencia!K75,"DL"),EXACT(Asistencia!K75,"FL"),EXACT(Asistencia!K75,"FE"),EXACT(Asistencia!K75,"PCS"),EXACT(Asistencia!K75,"V")),1,0)</f>
        <v>0</v>
      </c>
      <c r="AO72">
        <f>IF(OR(EXACT(Asistencia!L75,"A"),EXACT(Asistencia!L75,"R"),EXACT(Asistencia!L75,"DL"),EXACT(Asistencia!L75,"FL"),EXACT(Asistencia!L75,"FE"),EXACT(Asistencia!L75,"PCS"),EXACT(Asistencia!L75,"V")),1,0)</f>
        <v>0</v>
      </c>
      <c r="AP72">
        <f t="shared" si="62"/>
        <v>0</v>
      </c>
      <c r="AQ72">
        <f>IF(EXACT(Asistencia!F75,"FL"),1,0)</f>
        <v>0</v>
      </c>
      <c r="AR72">
        <f>IF(EXACT(Asistencia!G75,"FL"),1,0)</f>
        <v>0</v>
      </c>
      <c r="AS72">
        <f>IF(EXACT(Asistencia!H75,"FL"),1,0)</f>
        <v>0</v>
      </c>
      <c r="AT72">
        <f>IF(EXACT(Asistencia!I75,"FL"),1,0)</f>
        <v>0</v>
      </c>
      <c r="AU72">
        <f>IF(EXACT(Asistencia!J75,"FL"),1,0)</f>
        <v>0</v>
      </c>
      <c r="AV72">
        <f>IF(EXACT(Asistencia!K75,"FL"),1,0)</f>
        <v>0</v>
      </c>
      <c r="AW72">
        <f>IF(EXACT(Asistencia!L75,"FL"),1,0)</f>
        <v>0</v>
      </c>
      <c r="AX72">
        <f t="shared" si="63"/>
        <v>0</v>
      </c>
      <c r="AY72">
        <f>IF(EXACT(Asistencia!F75,"DL"),1,0)</f>
        <v>0</v>
      </c>
      <c r="AZ72">
        <f>IF(EXACT(Asistencia!G75,"DL"),1,0)</f>
        <v>0</v>
      </c>
      <c r="BA72">
        <f>IF(EXACT(Asistencia!H75,"DL"),1,0)</f>
        <v>0</v>
      </c>
      <c r="BB72">
        <f>IF(EXACT(Asistencia!I75,"DL"),1,0)</f>
        <v>0</v>
      </c>
      <c r="BC72">
        <f>IF(EXACT(Asistencia!J75,"DL"),1,0)</f>
        <v>0</v>
      </c>
      <c r="BD72">
        <f>IF(EXACT(Asistencia!K75,"DL"),1,0)</f>
        <v>0</v>
      </c>
      <c r="BE72">
        <f>IF(EXACT(Asistencia!L75,"DL"),1,0)</f>
        <v>0</v>
      </c>
      <c r="BF72">
        <f t="shared" si="64"/>
        <v>0</v>
      </c>
      <c r="BG72">
        <f>IF(ISNUMBER(Asistencia!M75),Asistencia!M75,0)</f>
        <v>0</v>
      </c>
      <c r="BH72">
        <f>IF(ISNUMBER(Asistencia!N75),Asistencia!N75,0)</f>
        <v>0</v>
      </c>
      <c r="BI72">
        <f>IF(ISNUMBER(Asistencia!O75),Asistencia!O75,0)</f>
        <v>0</v>
      </c>
      <c r="BJ72">
        <f>IF(ISNUMBER(Asistencia!P75),Asistencia!P75,0)</f>
        <v>0</v>
      </c>
      <c r="BK72" t="str">
        <f>IF(Asistencia!F75="","",Asistencia!F75)</f>
        <v/>
      </c>
      <c r="BL72" t="str">
        <f>IF(Asistencia!G75="","",Asistencia!G75)</f>
        <v/>
      </c>
      <c r="BM72" t="str">
        <f>IF(Asistencia!H75="","",Asistencia!H75)</f>
        <v/>
      </c>
      <c r="BN72" t="str">
        <f>IF(Asistencia!I75="","",Asistencia!I75)</f>
        <v/>
      </c>
      <c r="BO72" t="str">
        <f>IF(Asistencia!J75="","",Asistencia!J75)</f>
        <v/>
      </c>
      <c r="BP72" t="str">
        <f>IF(Asistencia!K75="","",Asistencia!K75)</f>
        <v/>
      </c>
      <c r="BQ72" t="str">
        <f>IF(Asistencia!L75="","",Asistencia!L75)</f>
        <v/>
      </c>
    </row>
    <row r="73" spans="1:69" ht="15.75" customHeight="1" x14ac:dyDescent="0.25">
      <c r="A73" s="46" t="str">
        <f t="shared" si="42"/>
        <v/>
      </c>
      <c r="B73" s="47" t="str">
        <f t="shared" si="43"/>
        <v/>
      </c>
      <c r="C73" s="47"/>
      <c r="D73" s="47"/>
      <c r="E73" s="46" t="str">
        <f t="shared" si="44"/>
        <v/>
      </c>
      <c r="F73" s="45" t="str">
        <f t="shared" si="45"/>
        <v/>
      </c>
      <c r="G73" s="44" t="str">
        <f t="shared" si="46"/>
        <v/>
      </c>
      <c r="H73" s="44" t="str">
        <f t="shared" si="47"/>
        <v/>
      </c>
      <c r="I73" s="44" t="str">
        <f t="shared" si="48"/>
        <v/>
      </c>
      <c r="J73" s="44" t="str">
        <f t="shared" si="49"/>
        <v/>
      </c>
      <c r="K73" s="44" t="str">
        <f t="shared" si="50"/>
        <v/>
      </c>
      <c r="L73" s="44" t="str">
        <f t="shared" si="51"/>
        <v/>
      </c>
      <c r="M73" s="43" t="str">
        <f t="shared" si="52"/>
        <v/>
      </c>
      <c r="N73" s="41" t="str">
        <f t="shared" si="53"/>
        <v/>
      </c>
      <c r="O73" s="41" t="str">
        <f t="shared" si="54"/>
        <v/>
      </c>
      <c r="P73" s="41" t="str">
        <f t="shared" si="55"/>
        <v/>
      </c>
      <c r="Q73" s="41" t="str">
        <f t="shared" si="56"/>
        <v/>
      </c>
      <c r="R73" s="41" t="str">
        <f t="shared" si="57"/>
        <v/>
      </c>
      <c r="S73" s="41"/>
      <c r="T73" s="48"/>
      <c r="U73" s="41" t="str">
        <f t="shared" si="58"/>
        <v/>
      </c>
      <c r="V73" s="41"/>
      <c r="W73" s="42" t="str">
        <f t="shared" si="59"/>
        <v/>
      </c>
      <c r="Y73" t="str">
        <f>IFERROR(MATCH(69,$AH$5:$AH$323,0),"")</f>
        <v/>
      </c>
      <c r="Z73" t="str">
        <f t="shared" si="60"/>
        <v/>
      </c>
      <c r="AA73" t="str">
        <f t="shared" si="61"/>
        <v/>
      </c>
      <c r="AB73" t="str">
        <f>IF(Asistencia!A76="","",Asistencia!A76)</f>
        <v/>
      </c>
      <c r="AC73" t="str">
        <f>IF(Asistencia!A76="","",SUBSTITUTE(SUBSTITUTE(SUBSTITUTE(SUBSTITUTE(SUBSTITUTE(SUBSTITUTE(SUBSTITUTE(UPPER(TRIM(Asistencia!A76)),"Á","A"),"É","E"),"Í","I"),"Ó","O"),"Ú","U"),"Ñ","N"),"  "," "))</f>
        <v/>
      </c>
      <c r="AD73" t="str">
        <f>IF(Asistencia!E76="","",Asistencia!E76)</f>
        <v/>
      </c>
      <c r="AE73" t="str">
        <f>IF(Asistencia!D76="","",UPPER(TRIM(Asistencia!D76)))</f>
        <v/>
      </c>
      <c r="AF73" t="s">
        <v>188</v>
      </c>
      <c r="AG73">
        <f>IF(AND(AA73&lt;&gt;"",COUNTIF($AA$5:AA73,AA73)=1),1,0)</f>
        <v>0</v>
      </c>
      <c r="AH73" t="str">
        <f>IF(AG73=1,SUM($AG$5:AG73),"")</f>
        <v/>
      </c>
      <c r="AI73">
        <f>IF(OR(EXACT(Asistencia!F76,"A"),EXACT(Asistencia!F76,"R"),EXACT(Asistencia!F76,"DL"),EXACT(Asistencia!F76,"FL"),EXACT(Asistencia!F76,"FE"),EXACT(Asistencia!F76,"PCS"),EXACT(Asistencia!F76,"V")),1,0)</f>
        <v>0</v>
      </c>
      <c r="AJ73">
        <f>IF(OR(EXACT(Asistencia!G76,"A"),EXACT(Asistencia!G76,"R"),EXACT(Asistencia!G76,"DL"),EXACT(Asistencia!G76,"FL"),EXACT(Asistencia!G76,"FE"),EXACT(Asistencia!G76,"PCS"),EXACT(Asistencia!G76,"V")),1,0)</f>
        <v>0</v>
      </c>
      <c r="AK73">
        <f>IF(OR(EXACT(Asistencia!H76,"A"),EXACT(Asistencia!H76,"R"),EXACT(Asistencia!H76,"DL"),EXACT(Asistencia!H76,"FL"),EXACT(Asistencia!H76,"FE"),EXACT(Asistencia!H76,"PCS"),EXACT(Asistencia!H76,"V")),1,0)</f>
        <v>0</v>
      </c>
      <c r="AL73">
        <f>IF(OR(EXACT(Asistencia!I76,"A"),EXACT(Asistencia!I76,"R"),EXACT(Asistencia!I76,"DL"),EXACT(Asistencia!I76,"FL"),EXACT(Asistencia!I76,"FE"),EXACT(Asistencia!I76,"PCS"),EXACT(Asistencia!I76,"V")),1,0)</f>
        <v>0</v>
      </c>
      <c r="AM73">
        <f>IF(OR(EXACT(Asistencia!J76,"A"),EXACT(Asistencia!J76,"R"),EXACT(Asistencia!J76,"DL"),EXACT(Asistencia!J76,"FL"),EXACT(Asistencia!J76,"FE"),EXACT(Asistencia!J76,"PCS"),EXACT(Asistencia!J76,"V")),1,0)</f>
        <v>0</v>
      </c>
      <c r="AN73">
        <f>IF(OR(EXACT(Asistencia!K76,"A"),EXACT(Asistencia!K76,"R"),EXACT(Asistencia!K76,"DL"),EXACT(Asistencia!K76,"FL"),EXACT(Asistencia!K76,"FE"),EXACT(Asistencia!K76,"PCS"),EXACT(Asistencia!K76,"V")),1,0)</f>
        <v>0</v>
      </c>
      <c r="AO73">
        <f>IF(OR(EXACT(Asistencia!L76,"A"),EXACT(Asistencia!L76,"R"),EXACT(Asistencia!L76,"DL"),EXACT(Asistencia!L76,"FL"),EXACT(Asistencia!L76,"FE"),EXACT(Asistencia!L76,"PCS"),EXACT(Asistencia!L76,"V")),1,0)</f>
        <v>0</v>
      </c>
      <c r="AP73">
        <f t="shared" si="62"/>
        <v>0</v>
      </c>
      <c r="AQ73">
        <f>IF(EXACT(Asistencia!F76,"FL"),1,0)</f>
        <v>0</v>
      </c>
      <c r="AR73">
        <f>IF(EXACT(Asistencia!G76,"FL"),1,0)</f>
        <v>0</v>
      </c>
      <c r="AS73">
        <f>IF(EXACT(Asistencia!H76,"FL"),1,0)</f>
        <v>0</v>
      </c>
      <c r="AT73">
        <f>IF(EXACT(Asistencia!I76,"FL"),1,0)</f>
        <v>0</v>
      </c>
      <c r="AU73">
        <f>IF(EXACT(Asistencia!J76,"FL"),1,0)</f>
        <v>0</v>
      </c>
      <c r="AV73">
        <f>IF(EXACT(Asistencia!K76,"FL"),1,0)</f>
        <v>0</v>
      </c>
      <c r="AW73">
        <f>IF(EXACT(Asistencia!L76,"FL"),1,0)</f>
        <v>0</v>
      </c>
      <c r="AX73">
        <f t="shared" si="63"/>
        <v>0</v>
      </c>
      <c r="AY73">
        <f>IF(EXACT(Asistencia!F76,"DL"),1,0)</f>
        <v>0</v>
      </c>
      <c r="AZ73">
        <f>IF(EXACT(Asistencia!G76,"DL"),1,0)</f>
        <v>0</v>
      </c>
      <c r="BA73">
        <f>IF(EXACT(Asistencia!H76,"DL"),1,0)</f>
        <v>0</v>
      </c>
      <c r="BB73">
        <f>IF(EXACT(Asistencia!I76,"DL"),1,0)</f>
        <v>0</v>
      </c>
      <c r="BC73">
        <f>IF(EXACT(Asistencia!J76,"DL"),1,0)</f>
        <v>0</v>
      </c>
      <c r="BD73">
        <f>IF(EXACT(Asistencia!K76,"DL"),1,0)</f>
        <v>0</v>
      </c>
      <c r="BE73">
        <f>IF(EXACT(Asistencia!L76,"DL"),1,0)</f>
        <v>0</v>
      </c>
      <c r="BF73">
        <f t="shared" si="64"/>
        <v>0</v>
      </c>
      <c r="BG73">
        <f>IF(ISNUMBER(Asistencia!M76),Asistencia!M76,0)</f>
        <v>0</v>
      </c>
      <c r="BH73">
        <f>IF(ISNUMBER(Asistencia!N76),Asistencia!N76,0)</f>
        <v>0</v>
      </c>
      <c r="BI73">
        <f>IF(ISNUMBER(Asistencia!O76),Asistencia!O76,0)</f>
        <v>0</v>
      </c>
      <c r="BJ73">
        <f>IF(ISNUMBER(Asistencia!P76),Asistencia!P76,0)</f>
        <v>0</v>
      </c>
      <c r="BK73" t="str">
        <f>IF(Asistencia!F76="","",Asistencia!F76)</f>
        <v/>
      </c>
      <c r="BL73" t="str">
        <f>IF(Asistencia!G76="","",Asistencia!G76)</f>
        <v/>
      </c>
      <c r="BM73" t="str">
        <f>IF(Asistencia!H76="","",Asistencia!H76)</f>
        <v/>
      </c>
      <c r="BN73" t="str">
        <f>IF(Asistencia!I76="","",Asistencia!I76)</f>
        <v/>
      </c>
      <c r="BO73" t="str">
        <f>IF(Asistencia!J76="","",Asistencia!J76)</f>
        <v/>
      </c>
      <c r="BP73" t="str">
        <f>IF(Asistencia!K76="","",Asistencia!K76)</f>
        <v/>
      </c>
      <c r="BQ73" t="str">
        <f>IF(Asistencia!L76="","",Asistencia!L76)</f>
        <v/>
      </c>
    </row>
    <row r="74" spans="1:69" ht="15.75" customHeight="1" x14ac:dyDescent="0.25">
      <c r="A74" s="46" t="str">
        <f t="shared" si="42"/>
        <v/>
      </c>
      <c r="B74" s="47" t="str">
        <f t="shared" si="43"/>
        <v/>
      </c>
      <c r="C74" s="47"/>
      <c r="D74" s="47"/>
      <c r="E74" s="46" t="str">
        <f t="shared" si="44"/>
        <v/>
      </c>
      <c r="F74" s="45" t="str">
        <f t="shared" si="45"/>
        <v/>
      </c>
      <c r="G74" s="44" t="str">
        <f t="shared" si="46"/>
        <v/>
      </c>
      <c r="H74" s="44" t="str">
        <f t="shared" si="47"/>
        <v/>
      </c>
      <c r="I74" s="44" t="str">
        <f t="shared" si="48"/>
        <v/>
      </c>
      <c r="J74" s="44" t="str">
        <f t="shared" si="49"/>
        <v/>
      </c>
      <c r="K74" s="44" t="str">
        <f t="shared" si="50"/>
        <v/>
      </c>
      <c r="L74" s="44" t="str">
        <f t="shared" si="51"/>
        <v/>
      </c>
      <c r="M74" s="43" t="str">
        <f t="shared" si="52"/>
        <v/>
      </c>
      <c r="N74" s="41" t="str">
        <f t="shared" si="53"/>
        <v/>
      </c>
      <c r="O74" s="41" t="str">
        <f t="shared" si="54"/>
        <v/>
      </c>
      <c r="P74" s="41" t="str">
        <f t="shared" si="55"/>
        <v/>
      </c>
      <c r="Q74" s="41" t="str">
        <f t="shared" si="56"/>
        <v/>
      </c>
      <c r="R74" s="41" t="str">
        <f t="shared" si="57"/>
        <v/>
      </c>
      <c r="S74" s="41"/>
      <c r="T74" s="48"/>
      <c r="U74" s="41" t="str">
        <f t="shared" si="58"/>
        <v/>
      </c>
      <c r="V74" s="41"/>
      <c r="W74" s="42" t="str">
        <f t="shared" si="59"/>
        <v/>
      </c>
      <c r="Y74" t="str">
        <f>IFERROR(MATCH(70,$AH$5:$AH$323,0),"")</f>
        <v/>
      </c>
      <c r="Z74" t="str">
        <f t="shared" si="60"/>
        <v/>
      </c>
      <c r="AA74" t="str">
        <f t="shared" si="61"/>
        <v/>
      </c>
      <c r="AB74" t="str">
        <f>IF(Asistencia!A77="","",Asistencia!A77)</f>
        <v/>
      </c>
      <c r="AC74" t="str">
        <f>IF(Asistencia!A77="","",SUBSTITUTE(SUBSTITUTE(SUBSTITUTE(SUBSTITUTE(SUBSTITUTE(SUBSTITUTE(SUBSTITUTE(UPPER(TRIM(Asistencia!A77)),"Á","A"),"É","E"),"Í","I"),"Ó","O"),"Ú","U"),"Ñ","N"),"  "," "))</f>
        <v/>
      </c>
      <c r="AD74" t="str">
        <f>IF(Asistencia!E77="","",Asistencia!E77)</f>
        <v/>
      </c>
      <c r="AE74" t="str">
        <f>IF(Asistencia!D77="","",UPPER(TRIM(Asistencia!D77)))</f>
        <v/>
      </c>
      <c r="AF74" t="s">
        <v>188</v>
      </c>
      <c r="AG74">
        <f>IF(AND(AA74&lt;&gt;"",COUNTIF($AA$5:AA74,AA74)=1),1,0)</f>
        <v>0</v>
      </c>
      <c r="AH74" t="str">
        <f>IF(AG74=1,SUM($AG$5:AG74),"")</f>
        <v/>
      </c>
      <c r="AI74">
        <f>IF(OR(EXACT(Asistencia!F77,"A"),EXACT(Asistencia!F77,"R"),EXACT(Asistencia!F77,"DL"),EXACT(Asistencia!F77,"FL"),EXACT(Asistencia!F77,"FE"),EXACT(Asistencia!F77,"PCS"),EXACT(Asistencia!F77,"V")),1,0)</f>
        <v>0</v>
      </c>
      <c r="AJ74">
        <f>IF(OR(EXACT(Asistencia!G77,"A"),EXACT(Asistencia!G77,"R"),EXACT(Asistencia!G77,"DL"),EXACT(Asistencia!G77,"FL"),EXACT(Asistencia!G77,"FE"),EXACT(Asistencia!G77,"PCS"),EXACT(Asistencia!G77,"V")),1,0)</f>
        <v>0</v>
      </c>
      <c r="AK74">
        <f>IF(OR(EXACT(Asistencia!H77,"A"),EXACT(Asistencia!H77,"R"),EXACT(Asistencia!H77,"DL"),EXACT(Asistencia!H77,"FL"),EXACT(Asistencia!H77,"FE"),EXACT(Asistencia!H77,"PCS"),EXACT(Asistencia!H77,"V")),1,0)</f>
        <v>0</v>
      </c>
      <c r="AL74">
        <f>IF(OR(EXACT(Asistencia!I77,"A"),EXACT(Asistencia!I77,"R"),EXACT(Asistencia!I77,"DL"),EXACT(Asistencia!I77,"FL"),EXACT(Asistencia!I77,"FE"),EXACT(Asistencia!I77,"PCS"),EXACT(Asistencia!I77,"V")),1,0)</f>
        <v>0</v>
      </c>
      <c r="AM74">
        <f>IF(OR(EXACT(Asistencia!J77,"A"),EXACT(Asistencia!J77,"R"),EXACT(Asistencia!J77,"DL"),EXACT(Asistencia!J77,"FL"),EXACT(Asistencia!J77,"FE"),EXACT(Asistencia!J77,"PCS"),EXACT(Asistencia!J77,"V")),1,0)</f>
        <v>0</v>
      </c>
      <c r="AN74">
        <f>IF(OR(EXACT(Asistencia!K77,"A"),EXACT(Asistencia!K77,"R"),EXACT(Asistencia!K77,"DL"),EXACT(Asistencia!K77,"FL"),EXACT(Asistencia!K77,"FE"),EXACT(Asistencia!K77,"PCS"),EXACT(Asistencia!K77,"V")),1,0)</f>
        <v>0</v>
      </c>
      <c r="AO74">
        <f>IF(OR(EXACT(Asistencia!L77,"A"),EXACT(Asistencia!L77,"R"),EXACT(Asistencia!L77,"DL"),EXACT(Asistencia!L77,"FL"),EXACT(Asistencia!L77,"FE"),EXACT(Asistencia!L77,"PCS"),EXACT(Asistencia!L77,"V")),1,0)</f>
        <v>0</v>
      </c>
      <c r="AP74">
        <f t="shared" si="62"/>
        <v>0</v>
      </c>
      <c r="AQ74">
        <f>IF(EXACT(Asistencia!F77,"FL"),1,0)</f>
        <v>0</v>
      </c>
      <c r="AR74">
        <f>IF(EXACT(Asistencia!G77,"FL"),1,0)</f>
        <v>0</v>
      </c>
      <c r="AS74">
        <f>IF(EXACT(Asistencia!H77,"FL"),1,0)</f>
        <v>0</v>
      </c>
      <c r="AT74">
        <f>IF(EXACT(Asistencia!I77,"FL"),1,0)</f>
        <v>0</v>
      </c>
      <c r="AU74">
        <f>IF(EXACT(Asistencia!J77,"FL"),1,0)</f>
        <v>0</v>
      </c>
      <c r="AV74">
        <f>IF(EXACT(Asistencia!K77,"FL"),1,0)</f>
        <v>0</v>
      </c>
      <c r="AW74">
        <f>IF(EXACT(Asistencia!L77,"FL"),1,0)</f>
        <v>0</v>
      </c>
      <c r="AX74">
        <f t="shared" si="63"/>
        <v>0</v>
      </c>
      <c r="AY74">
        <f>IF(EXACT(Asistencia!F77,"DL"),1,0)</f>
        <v>0</v>
      </c>
      <c r="AZ74">
        <f>IF(EXACT(Asistencia!G77,"DL"),1,0)</f>
        <v>0</v>
      </c>
      <c r="BA74">
        <f>IF(EXACT(Asistencia!H77,"DL"),1,0)</f>
        <v>0</v>
      </c>
      <c r="BB74">
        <f>IF(EXACT(Asistencia!I77,"DL"),1,0)</f>
        <v>0</v>
      </c>
      <c r="BC74">
        <f>IF(EXACT(Asistencia!J77,"DL"),1,0)</f>
        <v>0</v>
      </c>
      <c r="BD74">
        <f>IF(EXACT(Asistencia!K77,"DL"),1,0)</f>
        <v>0</v>
      </c>
      <c r="BE74">
        <f>IF(EXACT(Asistencia!L77,"DL"),1,0)</f>
        <v>0</v>
      </c>
      <c r="BF74">
        <f t="shared" si="64"/>
        <v>0</v>
      </c>
      <c r="BG74">
        <f>IF(ISNUMBER(Asistencia!M77),Asistencia!M77,0)</f>
        <v>0</v>
      </c>
      <c r="BH74">
        <f>IF(ISNUMBER(Asistencia!N77),Asistencia!N77,0)</f>
        <v>0</v>
      </c>
      <c r="BI74">
        <f>IF(ISNUMBER(Asistencia!O77),Asistencia!O77,0)</f>
        <v>0</v>
      </c>
      <c r="BJ74">
        <f>IF(ISNUMBER(Asistencia!P77),Asistencia!P77,0)</f>
        <v>0</v>
      </c>
      <c r="BK74" t="str">
        <f>IF(Asistencia!F77="","",Asistencia!F77)</f>
        <v/>
      </c>
      <c r="BL74" t="str">
        <f>IF(Asistencia!G77="","",Asistencia!G77)</f>
        <v/>
      </c>
      <c r="BM74" t="str">
        <f>IF(Asistencia!H77="","",Asistencia!H77)</f>
        <v/>
      </c>
      <c r="BN74" t="str">
        <f>IF(Asistencia!I77="","",Asistencia!I77)</f>
        <v/>
      </c>
      <c r="BO74" t="str">
        <f>IF(Asistencia!J77="","",Asistencia!J77)</f>
        <v/>
      </c>
      <c r="BP74" t="str">
        <f>IF(Asistencia!K77="","",Asistencia!K77)</f>
        <v/>
      </c>
      <c r="BQ74" t="str">
        <f>IF(Asistencia!L77="","",Asistencia!L77)</f>
        <v/>
      </c>
    </row>
    <row r="75" spans="1:69" ht="15.75" customHeight="1" x14ac:dyDescent="0.25">
      <c r="A75" s="46" t="str">
        <f t="shared" si="42"/>
        <v/>
      </c>
      <c r="B75" s="47" t="str">
        <f t="shared" si="43"/>
        <v/>
      </c>
      <c r="C75" s="47"/>
      <c r="D75" s="47"/>
      <c r="E75" s="46" t="str">
        <f t="shared" si="44"/>
        <v/>
      </c>
      <c r="F75" s="45" t="str">
        <f t="shared" si="45"/>
        <v/>
      </c>
      <c r="G75" s="44" t="str">
        <f t="shared" si="46"/>
        <v/>
      </c>
      <c r="H75" s="44" t="str">
        <f t="shared" si="47"/>
        <v/>
      </c>
      <c r="I75" s="44" t="str">
        <f t="shared" si="48"/>
        <v/>
      </c>
      <c r="J75" s="44" t="str">
        <f t="shared" si="49"/>
        <v/>
      </c>
      <c r="K75" s="44" t="str">
        <f t="shared" si="50"/>
        <v/>
      </c>
      <c r="L75" s="44" t="str">
        <f t="shared" si="51"/>
        <v/>
      </c>
      <c r="M75" s="43" t="str">
        <f t="shared" si="52"/>
        <v/>
      </c>
      <c r="N75" s="41" t="str">
        <f t="shared" si="53"/>
        <v/>
      </c>
      <c r="O75" s="41" t="str">
        <f t="shared" si="54"/>
        <v/>
      </c>
      <c r="P75" s="41" t="str">
        <f t="shared" si="55"/>
        <v/>
      </c>
      <c r="Q75" s="41" t="str">
        <f t="shared" si="56"/>
        <v/>
      </c>
      <c r="R75" s="41" t="str">
        <f t="shared" si="57"/>
        <v/>
      </c>
      <c r="S75" s="41"/>
      <c r="T75" s="48"/>
      <c r="U75" s="41" t="str">
        <f t="shared" si="58"/>
        <v/>
      </c>
      <c r="V75" s="41"/>
      <c r="W75" s="42" t="str">
        <f t="shared" si="59"/>
        <v/>
      </c>
      <c r="Y75" t="str">
        <f>IFERROR(MATCH(71,$AH$5:$AH$323,0),"")</f>
        <v/>
      </c>
      <c r="Z75" t="str">
        <f t="shared" si="60"/>
        <v/>
      </c>
      <c r="AA75" t="str">
        <f t="shared" si="61"/>
        <v/>
      </c>
      <c r="AB75" t="str">
        <f>IF(Asistencia!A78="","",Asistencia!A78)</f>
        <v/>
      </c>
      <c r="AC75" t="str">
        <f>IF(Asistencia!A78="","",SUBSTITUTE(SUBSTITUTE(SUBSTITUTE(SUBSTITUTE(SUBSTITUTE(SUBSTITUTE(SUBSTITUTE(UPPER(TRIM(Asistencia!A78)),"Á","A"),"É","E"),"Í","I"),"Ó","O"),"Ú","U"),"Ñ","N"),"  "," "))</f>
        <v/>
      </c>
      <c r="AD75" t="str">
        <f>IF(Asistencia!E78="","",Asistencia!E78)</f>
        <v/>
      </c>
      <c r="AE75" t="str">
        <f>IF(Asistencia!D78="","",UPPER(TRIM(Asistencia!D78)))</f>
        <v/>
      </c>
      <c r="AF75" t="s">
        <v>188</v>
      </c>
      <c r="AG75">
        <f>IF(AND(AA75&lt;&gt;"",COUNTIF($AA$5:AA75,AA75)=1),1,0)</f>
        <v>0</v>
      </c>
      <c r="AH75" t="str">
        <f>IF(AG75=1,SUM($AG$5:AG75),"")</f>
        <v/>
      </c>
      <c r="AI75">
        <f>IF(OR(EXACT(Asistencia!F78,"A"),EXACT(Asistencia!F78,"R"),EXACT(Asistencia!F78,"DL"),EXACT(Asistencia!F78,"FL"),EXACT(Asistencia!F78,"FE"),EXACT(Asistencia!F78,"PCS"),EXACT(Asistencia!F78,"V")),1,0)</f>
        <v>0</v>
      </c>
      <c r="AJ75">
        <f>IF(OR(EXACT(Asistencia!G78,"A"),EXACT(Asistencia!G78,"R"),EXACT(Asistencia!G78,"DL"),EXACT(Asistencia!G78,"FL"),EXACT(Asistencia!G78,"FE"),EXACT(Asistencia!G78,"PCS"),EXACT(Asistencia!G78,"V")),1,0)</f>
        <v>0</v>
      </c>
      <c r="AK75">
        <f>IF(OR(EXACT(Asistencia!H78,"A"),EXACT(Asistencia!H78,"R"),EXACT(Asistencia!H78,"DL"),EXACT(Asistencia!H78,"FL"),EXACT(Asistencia!H78,"FE"),EXACT(Asistencia!H78,"PCS"),EXACT(Asistencia!H78,"V")),1,0)</f>
        <v>0</v>
      </c>
      <c r="AL75">
        <f>IF(OR(EXACT(Asistencia!I78,"A"),EXACT(Asistencia!I78,"R"),EXACT(Asistencia!I78,"DL"),EXACT(Asistencia!I78,"FL"),EXACT(Asistencia!I78,"FE"),EXACT(Asistencia!I78,"PCS"),EXACT(Asistencia!I78,"V")),1,0)</f>
        <v>0</v>
      </c>
      <c r="AM75">
        <f>IF(OR(EXACT(Asistencia!J78,"A"),EXACT(Asistencia!J78,"R"),EXACT(Asistencia!J78,"DL"),EXACT(Asistencia!J78,"FL"),EXACT(Asistencia!J78,"FE"),EXACT(Asistencia!J78,"PCS"),EXACT(Asistencia!J78,"V")),1,0)</f>
        <v>0</v>
      </c>
      <c r="AN75">
        <f>IF(OR(EXACT(Asistencia!K78,"A"),EXACT(Asistencia!K78,"R"),EXACT(Asistencia!K78,"DL"),EXACT(Asistencia!K78,"FL"),EXACT(Asistencia!K78,"FE"),EXACT(Asistencia!K78,"PCS"),EXACT(Asistencia!K78,"V")),1,0)</f>
        <v>0</v>
      </c>
      <c r="AO75">
        <f>IF(OR(EXACT(Asistencia!L78,"A"),EXACT(Asistencia!L78,"R"),EXACT(Asistencia!L78,"DL"),EXACT(Asistencia!L78,"FL"),EXACT(Asistencia!L78,"FE"),EXACT(Asistencia!L78,"PCS"),EXACT(Asistencia!L78,"V")),1,0)</f>
        <v>0</v>
      </c>
      <c r="AP75">
        <f t="shared" si="62"/>
        <v>0</v>
      </c>
      <c r="AQ75">
        <f>IF(EXACT(Asistencia!F78,"FL"),1,0)</f>
        <v>0</v>
      </c>
      <c r="AR75">
        <f>IF(EXACT(Asistencia!G78,"FL"),1,0)</f>
        <v>0</v>
      </c>
      <c r="AS75">
        <f>IF(EXACT(Asistencia!H78,"FL"),1,0)</f>
        <v>0</v>
      </c>
      <c r="AT75">
        <f>IF(EXACT(Asistencia!I78,"FL"),1,0)</f>
        <v>0</v>
      </c>
      <c r="AU75">
        <f>IF(EXACT(Asistencia!J78,"FL"),1,0)</f>
        <v>0</v>
      </c>
      <c r="AV75">
        <f>IF(EXACT(Asistencia!K78,"FL"),1,0)</f>
        <v>0</v>
      </c>
      <c r="AW75">
        <f>IF(EXACT(Asistencia!L78,"FL"),1,0)</f>
        <v>0</v>
      </c>
      <c r="AX75">
        <f t="shared" si="63"/>
        <v>0</v>
      </c>
      <c r="AY75">
        <f>IF(EXACT(Asistencia!F78,"DL"),1,0)</f>
        <v>0</v>
      </c>
      <c r="AZ75">
        <f>IF(EXACT(Asistencia!G78,"DL"),1,0)</f>
        <v>0</v>
      </c>
      <c r="BA75">
        <f>IF(EXACT(Asistencia!H78,"DL"),1,0)</f>
        <v>0</v>
      </c>
      <c r="BB75">
        <f>IF(EXACT(Asistencia!I78,"DL"),1,0)</f>
        <v>0</v>
      </c>
      <c r="BC75">
        <f>IF(EXACT(Asistencia!J78,"DL"),1,0)</f>
        <v>0</v>
      </c>
      <c r="BD75">
        <f>IF(EXACT(Asistencia!K78,"DL"),1,0)</f>
        <v>0</v>
      </c>
      <c r="BE75">
        <f>IF(EXACT(Asistencia!L78,"DL"),1,0)</f>
        <v>0</v>
      </c>
      <c r="BF75">
        <f t="shared" si="64"/>
        <v>0</v>
      </c>
      <c r="BG75">
        <f>IF(ISNUMBER(Asistencia!M78),Asistencia!M78,0)</f>
        <v>0</v>
      </c>
      <c r="BH75">
        <f>IF(ISNUMBER(Asistencia!N78),Asistencia!N78,0)</f>
        <v>0</v>
      </c>
      <c r="BI75">
        <f>IF(ISNUMBER(Asistencia!O78),Asistencia!O78,0)</f>
        <v>0</v>
      </c>
      <c r="BJ75">
        <f>IF(ISNUMBER(Asistencia!P78),Asistencia!P78,0)</f>
        <v>0</v>
      </c>
      <c r="BK75" t="str">
        <f>IF(Asistencia!F78="","",Asistencia!F78)</f>
        <v/>
      </c>
      <c r="BL75" t="str">
        <f>IF(Asistencia!G78="","",Asistencia!G78)</f>
        <v/>
      </c>
      <c r="BM75" t="str">
        <f>IF(Asistencia!H78="","",Asistencia!H78)</f>
        <v/>
      </c>
      <c r="BN75" t="str">
        <f>IF(Asistencia!I78="","",Asistencia!I78)</f>
        <v/>
      </c>
      <c r="BO75" t="str">
        <f>IF(Asistencia!J78="","",Asistencia!J78)</f>
        <v/>
      </c>
      <c r="BP75" t="str">
        <f>IF(Asistencia!K78="","",Asistencia!K78)</f>
        <v/>
      </c>
      <c r="BQ75" t="str">
        <f>IF(Asistencia!L78="","",Asistencia!L78)</f>
        <v/>
      </c>
    </row>
    <row r="76" spans="1:69" ht="15.75" customHeight="1" x14ac:dyDescent="0.25">
      <c r="A76" s="46" t="str">
        <f t="shared" si="42"/>
        <v/>
      </c>
      <c r="B76" s="47" t="str">
        <f t="shared" si="43"/>
        <v/>
      </c>
      <c r="C76" s="47"/>
      <c r="D76" s="47"/>
      <c r="E76" s="46" t="str">
        <f t="shared" si="44"/>
        <v/>
      </c>
      <c r="F76" s="45" t="str">
        <f t="shared" si="45"/>
        <v/>
      </c>
      <c r="G76" s="44" t="str">
        <f t="shared" si="46"/>
        <v/>
      </c>
      <c r="H76" s="44" t="str">
        <f t="shared" si="47"/>
        <v/>
      </c>
      <c r="I76" s="44" t="str">
        <f t="shared" si="48"/>
        <v/>
      </c>
      <c r="J76" s="44" t="str">
        <f t="shared" si="49"/>
        <v/>
      </c>
      <c r="K76" s="44" t="str">
        <f t="shared" si="50"/>
        <v/>
      </c>
      <c r="L76" s="44" t="str">
        <f t="shared" si="51"/>
        <v/>
      </c>
      <c r="M76" s="43" t="str">
        <f t="shared" si="52"/>
        <v/>
      </c>
      <c r="N76" s="41" t="str">
        <f t="shared" si="53"/>
        <v/>
      </c>
      <c r="O76" s="41" t="str">
        <f t="shared" si="54"/>
        <v/>
      </c>
      <c r="P76" s="41" t="str">
        <f t="shared" si="55"/>
        <v/>
      </c>
      <c r="Q76" s="41" t="str">
        <f t="shared" si="56"/>
        <v/>
      </c>
      <c r="R76" s="41" t="str">
        <f t="shared" si="57"/>
        <v/>
      </c>
      <c r="S76" s="41"/>
      <c r="T76" s="48"/>
      <c r="U76" s="41" t="str">
        <f t="shared" si="58"/>
        <v/>
      </c>
      <c r="V76" s="41"/>
      <c r="W76" s="42" t="str">
        <f t="shared" si="59"/>
        <v/>
      </c>
      <c r="Y76" t="str">
        <f>IFERROR(MATCH(72,$AH$5:$AH$323,0),"")</f>
        <v/>
      </c>
      <c r="Z76" t="str">
        <f t="shared" si="60"/>
        <v/>
      </c>
      <c r="AA76" t="str">
        <f t="shared" si="61"/>
        <v/>
      </c>
      <c r="AB76" t="str">
        <f>IF(Asistencia!A79="","",Asistencia!A79)</f>
        <v/>
      </c>
      <c r="AC76" t="str">
        <f>IF(Asistencia!A79="","",SUBSTITUTE(SUBSTITUTE(SUBSTITUTE(SUBSTITUTE(SUBSTITUTE(SUBSTITUTE(SUBSTITUTE(UPPER(TRIM(Asistencia!A79)),"Á","A"),"É","E"),"Í","I"),"Ó","O"),"Ú","U"),"Ñ","N"),"  "," "))</f>
        <v/>
      </c>
      <c r="AD76" t="str">
        <f>IF(Asistencia!E79="","",Asistencia!E79)</f>
        <v/>
      </c>
      <c r="AE76" t="str">
        <f>IF(Asistencia!D79="","",UPPER(TRIM(Asistencia!D79)))</f>
        <v/>
      </c>
      <c r="AF76" t="s">
        <v>188</v>
      </c>
      <c r="AG76">
        <f>IF(AND(AA76&lt;&gt;"",COUNTIF($AA$5:AA76,AA76)=1),1,0)</f>
        <v>0</v>
      </c>
      <c r="AH76" t="str">
        <f>IF(AG76=1,SUM($AG$5:AG76),"")</f>
        <v/>
      </c>
      <c r="AI76">
        <f>IF(OR(EXACT(Asistencia!F79,"A"),EXACT(Asistencia!F79,"R"),EXACT(Asistencia!F79,"DL"),EXACT(Asistencia!F79,"FL"),EXACT(Asistencia!F79,"FE"),EXACT(Asistencia!F79,"PCS"),EXACT(Asistencia!F79,"V")),1,0)</f>
        <v>0</v>
      </c>
      <c r="AJ76">
        <f>IF(OR(EXACT(Asistencia!G79,"A"),EXACT(Asistencia!G79,"R"),EXACT(Asistencia!G79,"DL"),EXACT(Asistencia!G79,"FL"),EXACT(Asistencia!G79,"FE"),EXACT(Asistencia!G79,"PCS"),EXACT(Asistencia!G79,"V")),1,0)</f>
        <v>0</v>
      </c>
      <c r="AK76">
        <f>IF(OR(EXACT(Asistencia!H79,"A"),EXACT(Asistencia!H79,"R"),EXACT(Asistencia!H79,"DL"),EXACT(Asistencia!H79,"FL"),EXACT(Asistencia!H79,"FE"),EXACT(Asistencia!H79,"PCS"),EXACT(Asistencia!H79,"V")),1,0)</f>
        <v>0</v>
      </c>
      <c r="AL76">
        <f>IF(OR(EXACT(Asistencia!I79,"A"),EXACT(Asistencia!I79,"R"),EXACT(Asistencia!I79,"DL"),EXACT(Asistencia!I79,"FL"),EXACT(Asistencia!I79,"FE"),EXACT(Asistencia!I79,"PCS"),EXACT(Asistencia!I79,"V")),1,0)</f>
        <v>0</v>
      </c>
      <c r="AM76">
        <f>IF(OR(EXACT(Asistencia!J79,"A"),EXACT(Asistencia!J79,"R"),EXACT(Asistencia!J79,"DL"),EXACT(Asistencia!J79,"FL"),EXACT(Asistencia!J79,"FE"),EXACT(Asistencia!J79,"PCS"),EXACT(Asistencia!J79,"V")),1,0)</f>
        <v>0</v>
      </c>
      <c r="AN76">
        <f>IF(OR(EXACT(Asistencia!K79,"A"),EXACT(Asistencia!K79,"R"),EXACT(Asistencia!K79,"DL"),EXACT(Asistencia!K79,"FL"),EXACT(Asistencia!K79,"FE"),EXACT(Asistencia!K79,"PCS"),EXACT(Asistencia!K79,"V")),1,0)</f>
        <v>0</v>
      </c>
      <c r="AO76">
        <f>IF(OR(EXACT(Asistencia!L79,"A"),EXACT(Asistencia!L79,"R"),EXACT(Asistencia!L79,"DL"),EXACT(Asistencia!L79,"FL"),EXACT(Asistencia!L79,"FE"),EXACT(Asistencia!L79,"PCS"),EXACT(Asistencia!L79,"V")),1,0)</f>
        <v>0</v>
      </c>
      <c r="AP76">
        <f t="shared" si="62"/>
        <v>0</v>
      </c>
      <c r="AQ76">
        <f>IF(EXACT(Asistencia!F79,"FL"),1,0)</f>
        <v>0</v>
      </c>
      <c r="AR76">
        <f>IF(EXACT(Asistencia!G79,"FL"),1,0)</f>
        <v>0</v>
      </c>
      <c r="AS76">
        <f>IF(EXACT(Asistencia!H79,"FL"),1,0)</f>
        <v>0</v>
      </c>
      <c r="AT76">
        <f>IF(EXACT(Asistencia!I79,"FL"),1,0)</f>
        <v>0</v>
      </c>
      <c r="AU76">
        <f>IF(EXACT(Asistencia!J79,"FL"),1,0)</f>
        <v>0</v>
      </c>
      <c r="AV76">
        <f>IF(EXACT(Asistencia!K79,"FL"),1,0)</f>
        <v>0</v>
      </c>
      <c r="AW76">
        <f>IF(EXACT(Asistencia!L79,"FL"),1,0)</f>
        <v>0</v>
      </c>
      <c r="AX76">
        <f t="shared" si="63"/>
        <v>0</v>
      </c>
      <c r="AY76">
        <f>IF(EXACT(Asistencia!F79,"DL"),1,0)</f>
        <v>0</v>
      </c>
      <c r="AZ76">
        <f>IF(EXACT(Asistencia!G79,"DL"),1,0)</f>
        <v>0</v>
      </c>
      <c r="BA76">
        <f>IF(EXACT(Asistencia!H79,"DL"),1,0)</f>
        <v>0</v>
      </c>
      <c r="BB76">
        <f>IF(EXACT(Asistencia!I79,"DL"),1,0)</f>
        <v>0</v>
      </c>
      <c r="BC76">
        <f>IF(EXACT(Asistencia!J79,"DL"),1,0)</f>
        <v>0</v>
      </c>
      <c r="BD76">
        <f>IF(EXACT(Asistencia!K79,"DL"),1,0)</f>
        <v>0</v>
      </c>
      <c r="BE76">
        <f>IF(EXACT(Asistencia!L79,"DL"),1,0)</f>
        <v>0</v>
      </c>
      <c r="BF76">
        <f t="shared" si="64"/>
        <v>0</v>
      </c>
      <c r="BG76">
        <f>IF(ISNUMBER(Asistencia!M79),Asistencia!M79,0)</f>
        <v>0</v>
      </c>
      <c r="BH76">
        <f>IF(ISNUMBER(Asistencia!N79),Asistencia!N79,0)</f>
        <v>0</v>
      </c>
      <c r="BI76">
        <f>IF(ISNUMBER(Asistencia!O79),Asistencia!O79,0)</f>
        <v>0</v>
      </c>
      <c r="BJ76">
        <f>IF(ISNUMBER(Asistencia!P79),Asistencia!P79,0)</f>
        <v>0</v>
      </c>
      <c r="BK76" t="str">
        <f>IF(Asistencia!F79="","",Asistencia!F79)</f>
        <v/>
      </c>
      <c r="BL76" t="str">
        <f>IF(Asistencia!G79="","",Asistencia!G79)</f>
        <v/>
      </c>
      <c r="BM76" t="str">
        <f>IF(Asistencia!H79="","",Asistencia!H79)</f>
        <v/>
      </c>
      <c r="BN76" t="str">
        <f>IF(Asistencia!I79="","",Asistencia!I79)</f>
        <v/>
      </c>
      <c r="BO76" t="str">
        <f>IF(Asistencia!J79="","",Asistencia!J79)</f>
        <v/>
      </c>
      <c r="BP76" t="str">
        <f>IF(Asistencia!K79="","",Asistencia!K79)</f>
        <v/>
      </c>
      <c r="BQ76" t="str">
        <f>IF(Asistencia!L79="","",Asistencia!L79)</f>
        <v/>
      </c>
    </row>
    <row r="77" spans="1:69" ht="15.75" customHeight="1" x14ac:dyDescent="0.25">
      <c r="A77" s="46" t="str">
        <f t="shared" si="42"/>
        <v/>
      </c>
      <c r="B77" s="47" t="str">
        <f t="shared" si="43"/>
        <v/>
      </c>
      <c r="C77" s="47"/>
      <c r="D77" s="47"/>
      <c r="E77" s="46" t="str">
        <f t="shared" si="44"/>
        <v/>
      </c>
      <c r="F77" s="45" t="str">
        <f t="shared" si="45"/>
        <v/>
      </c>
      <c r="G77" s="44" t="str">
        <f t="shared" si="46"/>
        <v/>
      </c>
      <c r="H77" s="44" t="str">
        <f t="shared" si="47"/>
        <v/>
      </c>
      <c r="I77" s="44" t="str">
        <f t="shared" si="48"/>
        <v/>
      </c>
      <c r="J77" s="44" t="str">
        <f t="shared" si="49"/>
        <v/>
      </c>
      <c r="K77" s="44" t="str">
        <f t="shared" si="50"/>
        <v/>
      </c>
      <c r="L77" s="44" t="str">
        <f t="shared" si="51"/>
        <v/>
      </c>
      <c r="M77" s="43" t="str">
        <f t="shared" si="52"/>
        <v/>
      </c>
      <c r="N77" s="41" t="str">
        <f t="shared" si="53"/>
        <v/>
      </c>
      <c r="O77" s="41" t="str">
        <f t="shared" si="54"/>
        <v/>
      </c>
      <c r="P77" s="41" t="str">
        <f t="shared" si="55"/>
        <v/>
      </c>
      <c r="Q77" s="41" t="str">
        <f t="shared" si="56"/>
        <v/>
      </c>
      <c r="R77" s="41" t="str">
        <f t="shared" si="57"/>
        <v/>
      </c>
      <c r="S77" s="41"/>
      <c r="T77" s="48"/>
      <c r="U77" s="41" t="str">
        <f t="shared" si="58"/>
        <v/>
      </c>
      <c r="V77" s="41"/>
      <c r="W77" s="42" t="str">
        <f t="shared" si="59"/>
        <v/>
      </c>
      <c r="Y77" t="str">
        <f>IFERROR(MATCH(73,$AH$5:$AH$323,0),"")</f>
        <v/>
      </c>
      <c r="Z77" t="str">
        <f t="shared" si="60"/>
        <v/>
      </c>
      <c r="AA77" t="str">
        <f t="shared" si="61"/>
        <v/>
      </c>
      <c r="AB77" t="str">
        <f>IF(Asistencia!A80="","",Asistencia!A80)</f>
        <v/>
      </c>
      <c r="AC77" t="str">
        <f>IF(Asistencia!A80="","",SUBSTITUTE(SUBSTITUTE(SUBSTITUTE(SUBSTITUTE(SUBSTITUTE(SUBSTITUTE(SUBSTITUTE(UPPER(TRIM(Asistencia!A80)),"Á","A"),"É","E"),"Í","I"),"Ó","O"),"Ú","U"),"Ñ","N"),"  "," "))</f>
        <v/>
      </c>
      <c r="AD77" t="str">
        <f>IF(Asistencia!E80="","",Asistencia!E80)</f>
        <v/>
      </c>
      <c r="AE77" t="str">
        <f>IF(Asistencia!D80="","",UPPER(TRIM(Asistencia!D80)))</f>
        <v/>
      </c>
      <c r="AF77" t="s">
        <v>188</v>
      </c>
      <c r="AG77">
        <f>IF(AND(AA77&lt;&gt;"",COUNTIF($AA$5:AA77,AA77)=1),1,0)</f>
        <v>0</v>
      </c>
      <c r="AH77" t="str">
        <f>IF(AG77=1,SUM($AG$5:AG77),"")</f>
        <v/>
      </c>
      <c r="AI77">
        <f>IF(OR(EXACT(Asistencia!F80,"A"),EXACT(Asistencia!F80,"R"),EXACT(Asistencia!F80,"DL"),EXACT(Asistencia!F80,"FL"),EXACT(Asistencia!F80,"FE"),EXACT(Asistencia!F80,"PCS"),EXACT(Asistencia!F80,"V")),1,0)</f>
        <v>0</v>
      </c>
      <c r="AJ77">
        <f>IF(OR(EXACT(Asistencia!G80,"A"),EXACT(Asistencia!G80,"R"),EXACT(Asistencia!G80,"DL"),EXACT(Asistencia!G80,"FL"),EXACT(Asistencia!G80,"FE"),EXACT(Asistencia!G80,"PCS"),EXACT(Asistencia!G80,"V")),1,0)</f>
        <v>0</v>
      </c>
      <c r="AK77">
        <f>IF(OR(EXACT(Asistencia!H80,"A"),EXACT(Asistencia!H80,"R"),EXACT(Asistencia!H80,"DL"),EXACT(Asistencia!H80,"FL"),EXACT(Asistencia!H80,"FE"),EXACT(Asistencia!H80,"PCS"),EXACT(Asistencia!H80,"V")),1,0)</f>
        <v>0</v>
      </c>
      <c r="AL77">
        <f>IF(OR(EXACT(Asistencia!I80,"A"),EXACT(Asistencia!I80,"R"),EXACT(Asistencia!I80,"DL"),EXACT(Asistencia!I80,"FL"),EXACT(Asistencia!I80,"FE"),EXACT(Asistencia!I80,"PCS"),EXACT(Asistencia!I80,"V")),1,0)</f>
        <v>0</v>
      </c>
      <c r="AM77">
        <f>IF(OR(EXACT(Asistencia!J80,"A"),EXACT(Asistencia!J80,"R"),EXACT(Asistencia!J80,"DL"),EXACT(Asistencia!J80,"FL"),EXACT(Asistencia!J80,"FE"),EXACT(Asistencia!J80,"PCS"),EXACT(Asistencia!J80,"V")),1,0)</f>
        <v>0</v>
      </c>
      <c r="AN77">
        <f>IF(OR(EXACT(Asistencia!K80,"A"),EXACT(Asistencia!K80,"R"),EXACT(Asistencia!K80,"DL"),EXACT(Asistencia!K80,"FL"),EXACT(Asistencia!K80,"FE"),EXACT(Asistencia!K80,"PCS"),EXACT(Asistencia!K80,"V")),1,0)</f>
        <v>0</v>
      </c>
      <c r="AO77">
        <f>IF(OR(EXACT(Asistencia!L80,"A"),EXACT(Asistencia!L80,"R"),EXACT(Asistencia!L80,"DL"),EXACT(Asistencia!L80,"FL"),EXACT(Asistencia!L80,"FE"),EXACT(Asistencia!L80,"PCS"),EXACT(Asistencia!L80,"V")),1,0)</f>
        <v>0</v>
      </c>
      <c r="AP77">
        <f t="shared" si="62"/>
        <v>0</v>
      </c>
      <c r="AQ77">
        <f>IF(EXACT(Asistencia!F80,"FL"),1,0)</f>
        <v>0</v>
      </c>
      <c r="AR77">
        <f>IF(EXACT(Asistencia!G80,"FL"),1,0)</f>
        <v>0</v>
      </c>
      <c r="AS77">
        <f>IF(EXACT(Asistencia!H80,"FL"),1,0)</f>
        <v>0</v>
      </c>
      <c r="AT77">
        <f>IF(EXACT(Asistencia!I80,"FL"),1,0)</f>
        <v>0</v>
      </c>
      <c r="AU77">
        <f>IF(EXACT(Asistencia!J80,"FL"),1,0)</f>
        <v>0</v>
      </c>
      <c r="AV77">
        <f>IF(EXACT(Asistencia!K80,"FL"),1,0)</f>
        <v>0</v>
      </c>
      <c r="AW77">
        <f>IF(EXACT(Asistencia!L80,"FL"),1,0)</f>
        <v>0</v>
      </c>
      <c r="AX77">
        <f t="shared" si="63"/>
        <v>0</v>
      </c>
      <c r="AY77">
        <f>IF(EXACT(Asistencia!F80,"DL"),1,0)</f>
        <v>0</v>
      </c>
      <c r="AZ77">
        <f>IF(EXACT(Asistencia!G80,"DL"),1,0)</f>
        <v>0</v>
      </c>
      <c r="BA77">
        <f>IF(EXACT(Asistencia!H80,"DL"),1,0)</f>
        <v>0</v>
      </c>
      <c r="BB77">
        <f>IF(EXACT(Asistencia!I80,"DL"),1,0)</f>
        <v>0</v>
      </c>
      <c r="BC77">
        <f>IF(EXACT(Asistencia!J80,"DL"),1,0)</f>
        <v>0</v>
      </c>
      <c r="BD77">
        <f>IF(EXACT(Asistencia!K80,"DL"),1,0)</f>
        <v>0</v>
      </c>
      <c r="BE77">
        <f>IF(EXACT(Asistencia!L80,"DL"),1,0)</f>
        <v>0</v>
      </c>
      <c r="BF77">
        <f t="shared" si="64"/>
        <v>0</v>
      </c>
      <c r="BG77">
        <f>IF(ISNUMBER(Asistencia!M80),Asistencia!M80,0)</f>
        <v>0</v>
      </c>
      <c r="BH77">
        <f>IF(ISNUMBER(Asistencia!N80),Asistencia!N80,0)</f>
        <v>0</v>
      </c>
      <c r="BI77">
        <f>IF(ISNUMBER(Asistencia!O80),Asistencia!O80,0)</f>
        <v>0</v>
      </c>
      <c r="BJ77">
        <f>IF(ISNUMBER(Asistencia!P80),Asistencia!P80,0)</f>
        <v>0</v>
      </c>
      <c r="BK77" t="str">
        <f>IF(Asistencia!F80="","",Asistencia!F80)</f>
        <v/>
      </c>
      <c r="BL77" t="str">
        <f>IF(Asistencia!G80="","",Asistencia!G80)</f>
        <v/>
      </c>
      <c r="BM77" t="str">
        <f>IF(Asistencia!H80="","",Asistencia!H80)</f>
        <v/>
      </c>
      <c r="BN77" t="str">
        <f>IF(Asistencia!I80="","",Asistencia!I80)</f>
        <v/>
      </c>
      <c r="BO77" t="str">
        <f>IF(Asistencia!J80="","",Asistencia!J80)</f>
        <v/>
      </c>
      <c r="BP77" t="str">
        <f>IF(Asistencia!K80="","",Asistencia!K80)</f>
        <v/>
      </c>
      <c r="BQ77" t="str">
        <f>IF(Asistencia!L80="","",Asistencia!L80)</f>
        <v/>
      </c>
    </row>
    <row r="78" spans="1:69" ht="15.75" customHeight="1" x14ac:dyDescent="0.25">
      <c r="A78" s="46" t="str">
        <f t="shared" si="42"/>
        <v/>
      </c>
      <c r="B78" s="47" t="str">
        <f t="shared" si="43"/>
        <v/>
      </c>
      <c r="C78" s="47"/>
      <c r="D78" s="47"/>
      <c r="E78" s="46" t="str">
        <f t="shared" si="44"/>
        <v/>
      </c>
      <c r="F78" s="45" t="str">
        <f t="shared" si="45"/>
        <v/>
      </c>
      <c r="G78" s="44" t="str">
        <f t="shared" si="46"/>
        <v/>
      </c>
      <c r="H78" s="44" t="str">
        <f t="shared" si="47"/>
        <v/>
      </c>
      <c r="I78" s="44" t="str">
        <f t="shared" si="48"/>
        <v/>
      </c>
      <c r="J78" s="44" t="str">
        <f t="shared" si="49"/>
        <v/>
      </c>
      <c r="K78" s="44" t="str">
        <f t="shared" si="50"/>
        <v/>
      </c>
      <c r="L78" s="44" t="str">
        <f t="shared" si="51"/>
        <v/>
      </c>
      <c r="M78" s="43" t="str">
        <f t="shared" si="52"/>
        <v/>
      </c>
      <c r="N78" s="41" t="str">
        <f t="shared" si="53"/>
        <v/>
      </c>
      <c r="O78" s="41" t="str">
        <f t="shared" si="54"/>
        <v/>
      </c>
      <c r="P78" s="41" t="str">
        <f t="shared" si="55"/>
        <v/>
      </c>
      <c r="Q78" s="41" t="str">
        <f t="shared" si="56"/>
        <v/>
      </c>
      <c r="R78" s="41" t="str">
        <f t="shared" si="57"/>
        <v/>
      </c>
      <c r="S78" s="41"/>
      <c r="T78" s="48"/>
      <c r="U78" s="41" t="str">
        <f t="shared" si="58"/>
        <v/>
      </c>
      <c r="V78" s="41"/>
      <c r="W78" s="42" t="str">
        <f t="shared" si="59"/>
        <v/>
      </c>
      <c r="Y78" t="str">
        <f>IFERROR(MATCH(74,$AH$5:$AH$323,0),"")</f>
        <v/>
      </c>
      <c r="Z78" t="str">
        <f t="shared" si="60"/>
        <v/>
      </c>
      <c r="AA78" t="str">
        <f t="shared" si="61"/>
        <v/>
      </c>
      <c r="AB78" t="str">
        <f>IF(Asistencia!A81="","",Asistencia!A81)</f>
        <v/>
      </c>
      <c r="AC78" t="str">
        <f>IF(Asistencia!A81="","",SUBSTITUTE(SUBSTITUTE(SUBSTITUTE(SUBSTITUTE(SUBSTITUTE(SUBSTITUTE(SUBSTITUTE(UPPER(TRIM(Asistencia!A81)),"Á","A"),"É","E"),"Í","I"),"Ó","O"),"Ú","U"),"Ñ","N"),"  "," "))</f>
        <v/>
      </c>
      <c r="AD78" t="str">
        <f>IF(Asistencia!E81="","",Asistencia!E81)</f>
        <v/>
      </c>
      <c r="AE78" t="str">
        <f>IF(Asistencia!D81="","",UPPER(TRIM(Asistencia!D81)))</f>
        <v/>
      </c>
      <c r="AF78" t="s">
        <v>188</v>
      </c>
      <c r="AG78">
        <f>IF(AND(AA78&lt;&gt;"",COUNTIF($AA$5:AA78,AA78)=1),1,0)</f>
        <v>0</v>
      </c>
      <c r="AH78" t="str">
        <f>IF(AG78=1,SUM($AG$5:AG78),"")</f>
        <v/>
      </c>
      <c r="AI78">
        <f>IF(OR(EXACT(Asistencia!F81,"A"),EXACT(Asistencia!F81,"R"),EXACT(Asistencia!F81,"DL"),EXACT(Asistencia!F81,"FL"),EXACT(Asistencia!F81,"FE"),EXACT(Asistencia!F81,"PCS"),EXACT(Asistencia!F81,"V")),1,0)</f>
        <v>0</v>
      </c>
      <c r="AJ78">
        <f>IF(OR(EXACT(Asistencia!G81,"A"),EXACT(Asistencia!G81,"R"),EXACT(Asistencia!G81,"DL"),EXACT(Asistencia!G81,"FL"),EXACT(Asistencia!G81,"FE"),EXACT(Asistencia!G81,"PCS"),EXACT(Asistencia!G81,"V")),1,0)</f>
        <v>0</v>
      </c>
      <c r="AK78">
        <f>IF(OR(EXACT(Asistencia!H81,"A"),EXACT(Asistencia!H81,"R"),EXACT(Asistencia!H81,"DL"),EXACT(Asistencia!H81,"FL"),EXACT(Asistencia!H81,"FE"),EXACT(Asistencia!H81,"PCS"),EXACT(Asistencia!H81,"V")),1,0)</f>
        <v>0</v>
      </c>
      <c r="AL78">
        <f>IF(OR(EXACT(Asistencia!I81,"A"),EXACT(Asistencia!I81,"R"),EXACT(Asistencia!I81,"DL"),EXACT(Asistencia!I81,"FL"),EXACT(Asistencia!I81,"FE"),EXACT(Asistencia!I81,"PCS"),EXACT(Asistencia!I81,"V")),1,0)</f>
        <v>0</v>
      </c>
      <c r="AM78">
        <f>IF(OR(EXACT(Asistencia!J81,"A"),EXACT(Asistencia!J81,"R"),EXACT(Asistencia!J81,"DL"),EXACT(Asistencia!J81,"FL"),EXACT(Asistencia!J81,"FE"),EXACT(Asistencia!J81,"PCS"),EXACT(Asistencia!J81,"V")),1,0)</f>
        <v>0</v>
      </c>
      <c r="AN78">
        <f>IF(OR(EXACT(Asistencia!K81,"A"),EXACT(Asistencia!K81,"R"),EXACT(Asistencia!K81,"DL"),EXACT(Asistencia!K81,"FL"),EXACT(Asistencia!K81,"FE"),EXACT(Asistencia!K81,"PCS"),EXACT(Asistencia!K81,"V")),1,0)</f>
        <v>0</v>
      </c>
      <c r="AO78">
        <f>IF(OR(EXACT(Asistencia!L81,"A"),EXACT(Asistencia!L81,"R"),EXACT(Asistencia!L81,"DL"),EXACT(Asistencia!L81,"FL"),EXACT(Asistencia!L81,"FE"),EXACT(Asistencia!L81,"PCS"),EXACT(Asistencia!L81,"V")),1,0)</f>
        <v>0</v>
      </c>
      <c r="AP78">
        <f t="shared" si="62"/>
        <v>0</v>
      </c>
      <c r="AQ78">
        <f>IF(EXACT(Asistencia!F81,"FL"),1,0)</f>
        <v>0</v>
      </c>
      <c r="AR78">
        <f>IF(EXACT(Asistencia!G81,"FL"),1,0)</f>
        <v>0</v>
      </c>
      <c r="AS78">
        <f>IF(EXACT(Asistencia!H81,"FL"),1,0)</f>
        <v>0</v>
      </c>
      <c r="AT78">
        <f>IF(EXACT(Asistencia!I81,"FL"),1,0)</f>
        <v>0</v>
      </c>
      <c r="AU78">
        <f>IF(EXACT(Asistencia!J81,"FL"),1,0)</f>
        <v>0</v>
      </c>
      <c r="AV78">
        <f>IF(EXACT(Asistencia!K81,"FL"),1,0)</f>
        <v>0</v>
      </c>
      <c r="AW78">
        <f>IF(EXACT(Asistencia!L81,"FL"),1,0)</f>
        <v>0</v>
      </c>
      <c r="AX78">
        <f t="shared" si="63"/>
        <v>0</v>
      </c>
      <c r="AY78">
        <f>IF(EXACT(Asistencia!F81,"DL"),1,0)</f>
        <v>0</v>
      </c>
      <c r="AZ78">
        <f>IF(EXACT(Asistencia!G81,"DL"),1,0)</f>
        <v>0</v>
      </c>
      <c r="BA78">
        <f>IF(EXACT(Asistencia!H81,"DL"),1,0)</f>
        <v>0</v>
      </c>
      <c r="BB78">
        <f>IF(EXACT(Asistencia!I81,"DL"),1,0)</f>
        <v>0</v>
      </c>
      <c r="BC78">
        <f>IF(EXACT(Asistencia!J81,"DL"),1,0)</f>
        <v>0</v>
      </c>
      <c r="BD78">
        <f>IF(EXACT(Asistencia!K81,"DL"),1,0)</f>
        <v>0</v>
      </c>
      <c r="BE78">
        <f>IF(EXACT(Asistencia!L81,"DL"),1,0)</f>
        <v>0</v>
      </c>
      <c r="BF78">
        <f t="shared" si="64"/>
        <v>0</v>
      </c>
      <c r="BG78">
        <f>IF(ISNUMBER(Asistencia!M81),Asistencia!M81,0)</f>
        <v>0</v>
      </c>
      <c r="BH78">
        <f>IF(ISNUMBER(Asistencia!N81),Asistencia!N81,0)</f>
        <v>0</v>
      </c>
      <c r="BI78">
        <f>IF(ISNUMBER(Asistencia!O81),Asistencia!O81,0)</f>
        <v>0</v>
      </c>
      <c r="BJ78">
        <f>IF(ISNUMBER(Asistencia!P81),Asistencia!P81,0)</f>
        <v>0</v>
      </c>
      <c r="BK78" t="str">
        <f>IF(Asistencia!F81="","",Asistencia!F81)</f>
        <v/>
      </c>
      <c r="BL78" t="str">
        <f>IF(Asistencia!G81="","",Asistencia!G81)</f>
        <v/>
      </c>
      <c r="BM78" t="str">
        <f>IF(Asistencia!H81="","",Asistencia!H81)</f>
        <v/>
      </c>
      <c r="BN78" t="str">
        <f>IF(Asistencia!I81="","",Asistencia!I81)</f>
        <v/>
      </c>
      <c r="BO78" t="str">
        <f>IF(Asistencia!J81="","",Asistencia!J81)</f>
        <v/>
      </c>
      <c r="BP78" t="str">
        <f>IF(Asistencia!K81="","",Asistencia!K81)</f>
        <v/>
      </c>
      <c r="BQ78" t="str">
        <f>IF(Asistencia!L81="","",Asistencia!L81)</f>
        <v/>
      </c>
    </row>
    <row r="79" spans="1:69" ht="15.75" customHeight="1" x14ac:dyDescent="0.25">
      <c r="A79" s="46" t="str">
        <f t="shared" si="42"/>
        <v/>
      </c>
      <c r="B79" s="47" t="str">
        <f t="shared" si="43"/>
        <v/>
      </c>
      <c r="C79" s="47"/>
      <c r="D79" s="47"/>
      <c r="E79" s="46" t="str">
        <f t="shared" si="44"/>
        <v/>
      </c>
      <c r="F79" s="45" t="str">
        <f t="shared" si="45"/>
        <v/>
      </c>
      <c r="G79" s="44" t="str">
        <f t="shared" si="46"/>
        <v/>
      </c>
      <c r="H79" s="44" t="str">
        <f t="shared" si="47"/>
        <v/>
      </c>
      <c r="I79" s="44" t="str">
        <f t="shared" si="48"/>
        <v/>
      </c>
      <c r="J79" s="44" t="str">
        <f t="shared" si="49"/>
        <v/>
      </c>
      <c r="K79" s="44" t="str">
        <f t="shared" si="50"/>
        <v/>
      </c>
      <c r="L79" s="44" t="str">
        <f t="shared" si="51"/>
        <v/>
      </c>
      <c r="M79" s="43" t="str">
        <f t="shared" si="52"/>
        <v/>
      </c>
      <c r="N79" s="41" t="str">
        <f t="shared" si="53"/>
        <v/>
      </c>
      <c r="O79" s="41" t="str">
        <f t="shared" si="54"/>
        <v/>
      </c>
      <c r="P79" s="41" t="str">
        <f t="shared" si="55"/>
        <v/>
      </c>
      <c r="Q79" s="41" t="str">
        <f t="shared" si="56"/>
        <v/>
      </c>
      <c r="R79" s="41" t="str">
        <f t="shared" si="57"/>
        <v/>
      </c>
      <c r="S79" s="41"/>
      <c r="T79" s="48"/>
      <c r="U79" s="41" t="str">
        <f t="shared" si="58"/>
        <v/>
      </c>
      <c r="V79" s="41"/>
      <c r="W79" s="42" t="str">
        <f t="shared" si="59"/>
        <v/>
      </c>
      <c r="Y79" t="str">
        <f>IFERROR(MATCH(75,$AH$5:$AH$323,0),"")</f>
        <v/>
      </c>
      <c r="Z79" t="str">
        <f t="shared" si="60"/>
        <v/>
      </c>
      <c r="AA79" t="str">
        <f t="shared" si="61"/>
        <v/>
      </c>
      <c r="AB79" t="str">
        <f>IF(Asistencia!A82="","",Asistencia!A82)</f>
        <v/>
      </c>
      <c r="AC79" t="str">
        <f>IF(Asistencia!A82="","",SUBSTITUTE(SUBSTITUTE(SUBSTITUTE(SUBSTITUTE(SUBSTITUTE(SUBSTITUTE(SUBSTITUTE(UPPER(TRIM(Asistencia!A82)),"Á","A"),"É","E"),"Í","I"),"Ó","O"),"Ú","U"),"Ñ","N"),"  "," "))</f>
        <v/>
      </c>
      <c r="AD79" t="str">
        <f>IF(Asistencia!E82="","",Asistencia!E82)</f>
        <v/>
      </c>
      <c r="AE79" t="str">
        <f>IF(Asistencia!D82="","",UPPER(TRIM(Asistencia!D82)))</f>
        <v/>
      </c>
      <c r="AF79" t="s">
        <v>188</v>
      </c>
      <c r="AG79">
        <f>IF(AND(AA79&lt;&gt;"",COUNTIF($AA$5:AA79,AA79)=1),1,0)</f>
        <v>0</v>
      </c>
      <c r="AH79" t="str">
        <f>IF(AG79=1,SUM($AG$5:AG79),"")</f>
        <v/>
      </c>
      <c r="AI79">
        <f>IF(OR(EXACT(Asistencia!F82,"A"),EXACT(Asistencia!F82,"R"),EXACT(Asistencia!F82,"DL"),EXACT(Asistencia!F82,"FL"),EXACT(Asistencia!F82,"FE"),EXACT(Asistencia!F82,"PCS"),EXACT(Asistencia!F82,"V")),1,0)</f>
        <v>0</v>
      </c>
      <c r="AJ79">
        <f>IF(OR(EXACT(Asistencia!G82,"A"),EXACT(Asistencia!G82,"R"),EXACT(Asistencia!G82,"DL"),EXACT(Asistencia!G82,"FL"),EXACT(Asistencia!G82,"FE"),EXACT(Asistencia!G82,"PCS"),EXACT(Asistencia!G82,"V")),1,0)</f>
        <v>0</v>
      </c>
      <c r="AK79">
        <f>IF(OR(EXACT(Asistencia!H82,"A"),EXACT(Asistencia!H82,"R"),EXACT(Asistencia!H82,"DL"),EXACT(Asistencia!H82,"FL"),EXACT(Asistencia!H82,"FE"),EXACT(Asistencia!H82,"PCS"),EXACT(Asistencia!H82,"V")),1,0)</f>
        <v>0</v>
      </c>
      <c r="AL79">
        <f>IF(OR(EXACT(Asistencia!I82,"A"),EXACT(Asistencia!I82,"R"),EXACT(Asistencia!I82,"DL"),EXACT(Asistencia!I82,"FL"),EXACT(Asistencia!I82,"FE"),EXACT(Asistencia!I82,"PCS"),EXACT(Asistencia!I82,"V")),1,0)</f>
        <v>0</v>
      </c>
      <c r="AM79">
        <f>IF(OR(EXACT(Asistencia!J82,"A"),EXACT(Asistencia!J82,"R"),EXACT(Asistencia!J82,"DL"),EXACT(Asistencia!J82,"FL"),EXACT(Asistencia!J82,"FE"),EXACT(Asistencia!J82,"PCS"),EXACT(Asistencia!J82,"V")),1,0)</f>
        <v>0</v>
      </c>
      <c r="AN79">
        <f>IF(OR(EXACT(Asistencia!K82,"A"),EXACT(Asistencia!K82,"R"),EXACT(Asistencia!K82,"DL"),EXACT(Asistencia!K82,"FL"),EXACT(Asistencia!K82,"FE"),EXACT(Asistencia!K82,"PCS"),EXACT(Asistencia!K82,"V")),1,0)</f>
        <v>0</v>
      </c>
      <c r="AO79">
        <f>IF(OR(EXACT(Asistencia!L82,"A"),EXACT(Asistencia!L82,"R"),EXACT(Asistencia!L82,"DL"),EXACT(Asistencia!L82,"FL"),EXACT(Asistencia!L82,"FE"),EXACT(Asistencia!L82,"PCS"),EXACT(Asistencia!L82,"V")),1,0)</f>
        <v>0</v>
      </c>
      <c r="AP79">
        <f t="shared" si="62"/>
        <v>0</v>
      </c>
      <c r="AQ79">
        <f>IF(EXACT(Asistencia!F82,"FL"),1,0)</f>
        <v>0</v>
      </c>
      <c r="AR79">
        <f>IF(EXACT(Asistencia!G82,"FL"),1,0)</f>
        <v>0</v>
      </c>
      <c r="AS79">
        <f>IF(EXACT(Asistencia!H82,"FL"),1,0)</f>
        <v>0</v>
      </c>
      <c r="AT79">
        <f>IF(EXACT(Asistencia!I82,"FL"),1,0)</f>
        <v>0</v>
      </c>
      <c r="AU79">
        <f>IF(EXACT(Asistencia!J82,"FL"),1,0)</f>
        <v>0</v>
      </c>
      <c r="AV79">
        <f>IF(EXACT(Asistencia!K82,"FL"),1,0)</f>
        <v>0</v>
      </c>
      <c r="AW79">
        <f>IF(EXACT(Asistencia!L82,"FL"),1,0)</f>
        <v>0</v>
      </c>
      <c r="AX79">
        <f t="shared" si="63"/>
        <v>0</v>
      </c>
      <c r="AY79">
        <f>IF(EXACT(Asistencia!F82,"DL"),1,0)</f>
        <v>0</v>
      </c>
      <c r="AZ79">
        <f>IF(EXACT(Asistencia!G82,"DL"),1,0)</f>
        <v>0</v>
      </c>
      <c r="BA79">
        <f>IF(EXACT(Asistencia!H82,"DL"),1,0)</f>
        <v>0</v>
      </c>
      <c r="BB79">
        <f>IF(EXACT(Asistencia!I82,"DL"),1,0)</f>
        <v>0</v>
      </c>
      <c r="BC79">
        <f>IF(EXACT(Asistencia!J82,"DL"),1,0)</f>
        <v>0</v>
      </c>
      <c r="BD79">
        <f>IF(EXACT(Asistencia!K82,"DL"),1,0)</f>
        <v>0</v>
      </c>
      <c r="BE79">
        <f>IF(EXACT(Asistencia!L82,"DL"),1,0)</f>
        <v>0</v>
      </c>
      <c r="BF79">
        <f t="shared" si="64"/>
        <v>0</v>
      </c>
      <c r="BG79">
        <f>IF(ISNUMBER(Asistencia!M82),Asistencia!M82,0)</f>
        <v>0</v>
      </c>
      <c r="BH79">
        <f>IF(ISNUMBER(Asistencia!N82),Asistencia!N82,0)</f>
        <v>0</v>
      </c>
      <c r="BI79">
        <f>IF(ISNUMBER(Asistencia!O82),Asistencia!O82,0)</f>
        <v>0</v>
      </c>
      <c r="BJ79">
        <f>IF(ISNUMBER(Asistencia!P82),Asistencia!P82,0)</f>
        <v>0</v>
      </c>
      <c r="BK79" t="str">
        <f>IF(Asistencia!F82="","",Asistencia!F82)</f>
        <v/>
      </c>
      <c r="BL79" t="str">
        <f>IF(Asistencia!G82="","",Asistencia!G82)</f>
        <v/>
      </c>
      <c r="BM79" t="str">
        <f>IF(Asistencia!H82="","",Asistencia!H82)</f>
        <v/>
      </c>
      <c r="BN79" t="str">
        <f>IF(Asistencia!I82="","",Asistencia!I82)</f>
        <v/>
      </c>
      <c r="BO79" t="str">
        <f>IF(Asistencia!J82="","",Asistencia!J82)</f>
        <v/>
      </c>
      <c r="BP79" t="str">
        <f>IF(Asistencia!K82="","",Asistencia!K82)</f>
        <v/>
      </c>
      <c r="BQ79" t="str">
        <f>IF(Asistencia!L82="","",Asistencia!L82)</f>
        <v/>
      </c>
    </row>
    <row r="80" spans="1:69" ht="15.75" customHeight="1" x14ac:dyDescent="0.25">
      <c r="A80" s="46" t="str">
        <f t="shared" si="42"/>
        <v/>
      </c>
      <c r="B80" s="47" t="str">
        <f t="shared" si="43"/>
        <v/>
      </c>
      <c r="C80" s="47"/>
      <c r="D80" s="47"/>
      <c r="E80" s="46" t="str">
        <f t="shared" si="44"/>
        <v/>
      </c>
      <c r="F80" s="45" t="str">
        <f t="shared" si="45"/>
        <v/>
      </c>
      <c r="G80" s="44" t="str">
        <f t="shared" si="46"/>
        <v/>
      </c>
      <c r="H80" s="44" t="str">
        <f t="shared" si="47"/>
        <v/>
      </c>
      <c r="I80" s="44" t="str">
        <f t="shared" si="48"/>
        <v/>
      </c>
      <c r="J80" s="44" t="str">
        <f t="shared" si="49"/>
        <v/>
      </c>
      <c r="K80" s="44" t="str">
        <f t="shared" si="50"/>
        <v/>
      </c>
      <c r="L80" s="44" t="str">
        <f t="shared" si="51"/>
        <v/>
      </c>
      <c r="M80" s="43" t="str">
        <f t="shared" si="52"/>
        <v/>
      </c>
      <c r="N80" s="41" t="str">
        <f t="shared" si="53"/>
        <v/>
      </c>
      <c r="O80" s="41" t="str">
        <f t="shared" si="54"/>
        <v/>
      </c>
      <c r="P80" s="41" t="str">
        <f t="shared" si="55"/>
        <v/>
      </c>
      <c r="Q80" s="41" t="str">
        <f t="shared" si="56"/>
        <v/>
      </c>
      <c r="R80" s="41" t="str">
        <f t="shared" si="57"/>
        <v/>
      </c>
      <c r="S80" s="41"/>
      <c r="T80" s="48"/>
      <c r="U80" s="41" t="str">
        <f t="shared" si="58"/>
        <v/>
      </c>
      <c r="V80" s="41"/>
      <c r="W80" s="42" t="str">
        <f t="shared" si="59"/>
        <v/>
      </c>
      <c r="Y80" t="str">
        <f>IFERROR(MATCH(76,$AH$5:$AH$323,0),"")</f>
        <v/>
      </c>
      <c r="Z80" t="str">
        <f t="shared" si="60"/>
        <v/>
      </c>
      <c r="AA80" t="str">
        <f t="shared" si="61"/>
        <v/>
      </c>
      <c r="AB80" t="str">
        <f>IF(Asistencia!A83="","",Asistencia!A83)</f>
        <v/>
      </c>
      <c r="AC80" t="str">
        <f>IF(Asistencia!A83="","",SUBSTITUTE(SUBSTITUTE(SUBSTITUTE(SUBSTITUTE(SUBSTITUTE(SUBSTITUTE(SUBSTITUTE(UPPER(TRIM(Asistencia!A83)),"Á","A"),"É","E"),"Í","I"),"Ó","O"),"Ú","U"),"Ñ","N"),"  "," "))</f>
        <v/>
      </c>
      <c r="AD80" t="str">
        <f>IF(Asistencia!E83="","",Asistencia!E83)</f>
        <v/>
      </c>
      <c r="AE80" t="str">
        <f>IF(Asistencia!D83="","",UPPER(TRIM(Asistencia!D83)))</f>
        <v/>
      </c>
      <c r="AF80" t="s">
        <v>188</v>
      </c>
      <c r="AG80">
        <f>IF(AND(AA80&lt;&gt;"",COUNTIF($AA$5:AA80,AA80)=1),1,0)</f>
        <v>0</v>
      </c>
      <c r="AH80" t="str">
        <f>IF(AG80=1,SUM($AG$5:AG80),"")</f>
        <v/>
      </c>
      <c r="AI80">
        <f>IF(OR(EXACT(Asistencia!F83,"A"),EXACT(Asistencia!F83,"R"),EXACT(Asistencia!F83,"DL"),EXACT(Asistencia!F83,"FL"),EXACT(Asistencia!F83,"FE"),EXACT(Asistencia!F83,"PCS"),EXACT(Asistencia!F83,"V")),1,0)</f>
        <v>0</v>
      </c>
      <c r="AJ80">
        <f>IF(OR(EXACT(Asistencia!G83,"A"),EXACT(Asistencia!G83,"R"),EXACT(Asistencia!G83,"DL"),EXACT(Asistencia!G83,"FL"),EXACT(Asistencia!G83,"FE"),EXACT(Asistencia!G83,"PCS"),EXACT(Asistencia!G83,"V")),1,0)</f>
        <v>0</v>
      </c>
      <c r="AK80">
        <f>IF(OR(EXACT(Asistencia!H83,"A"),EXACT(Asistencia!H83,"R"),EXACT(Asistencia!H83,"DL"),EXACT(Asistencia!H83,"FL"),EXACT(Asistencia!H83,"FE"),EXACT(Asistencia!H83,"PCS"),EXACT(Asistencia!H83,"V")),1,0)</f>
        <v>0</v>
      </c>
      <c r="AL80">
        <f>IF(OR(EXACT(Asistencia!I83,"A"),EXACT(Asistencia!I83,"R"),EXACT(Asistencia!I83,"DL"),EXACT(Asistencia!I83,"FL"),EXACT(Asistencia!I83,"FE"),EXACT(Asistencia!I83,"PCS"),EXACT(Asistencia!I83,"V")),1,0)</f>
        <v>0</v>
      </c>
      <c r="AM80">
        <f>IF(OR(EXACT(Asistencia!J83,"A"),EXACT(Asistencia!J83,"R"),EXACT(Asistencia!J83,"DL"),EXACT(Asistencia!J83,"FL"),EXACT(Asistencia!J83,"FE"),EXACT(Asistencia!J83,"PCS"),EXACT(Asistencia!J83,"V")),1,0)</f>
        <v>0</v>
      </c>
      <c r="AN80">
        <f>IF(OR(EXACT(Asistencia!K83,"A"),EXACT(Asistencia!K83,"R"),EXACT(Asistencia!K83,"DL"),EXACT(Asistencia!K83,"FL"),EXACT(Asistencia!K83,"FE"),EXACT(Asistencia!K83,"PCS"),EXACT(Asistencia!K83,"V")),1,0)</f>
        <v>0</v>
      </c>
      <c r="AO80">
        <f>IF(OR(EXACT(Asistencia!L83,"A"),EXACT(Asistencia!L83,"R"),EXACT(Asistencia!L83,"DL"),EXACT(Asistencia!L83,"FL"),EXACT(Asistencia!L83,"FE"),EXACT(Asistencia!L83,"PCS"),EXACT(Asistencia!L83,"V")),1,0)</f>
        <v>0</v>
      </c>
      <c r="AP80">
        <f t="shared" si="62"/>
        <v>0</v>
      </c>
      <c r="AQ80">
        <f>IF(EXACT(Asistencia!F83,"FL"),1,0)</f>
        <v>0</v>
      </c>
      <c r="AR80">
        <f>IF(EXACT(Asistencia!G83,"FL"),1,0)</f>
        <v>0</v>
      </c>
      <c r="AS80">
        <f>IF(EXACT(Asistencia!H83,"FL"),1,0)</f>
        <v>0</v>
      </c>
      <c r="AT80">
        <f>IF(EXACT(Asistencia!I83,"FL"),1,0)</f>
        <v>0</v>
      </c>
      <c r="AU80">
        <f>IF(EXACT(Asistencia!J83,"FL"),1,0)</f>
        <v>0</v>
      </c>
      <c r="AV80">
        <f>IF(EXACT(Asistencia!K83,"FL"),1,0)</f>
        <v>0</v>
      </c>
      <c r="AW80">
        <f>IF(EXACT(Asistencia!L83,"FL"),1,0)</f>
        <v>0</v>
      </c>
      <c r="AX80">
        <f t="shared" si="63"/>
        <v>0</v>
      </c>
      <c r="AY80">
        <f>IF(EXACT(Asistencia!F83,"DL"),1,0)</f>
        <v>0</v>
      </c>
      <c r="AZ80">
        <f>IF(EXACT(Asistencia!G83,"DL"),1,0)</f>
        <v>0</v>
      </c>
      <c r="BA80">
        <f>IF(EXACT(Asistencia!H83,"DL"),1,0)</f>
        <v>0</v>
      </c>
      <c r="BB80">
        <f>IF(EXACT(Asistencia!I83,"DL"),1,0)</f>
        <v>0</v>
      </c>
      <c r="BC80">
        <f>IF(EXACT(Asistencia!J83,"DL"),1,0)</f>
        <v>0</v>
      </c>
      <c r="BD80">
        <f>IF(EXACT(Asistencia!K83,"DL"),1,0)</f>
        <v>0</v>
      </c>
      <c r="BE80">
        <f>IF(EXACT(Asistencia!L83,"DL"),1,0)</f>
        <v>0</v>
      </c>
      <c r="BF80">
        <f t="shared" si="64"/>
        <v>0</v>
      </c>
      <c r="BG80">
        <f>IF(ISNUMBER(Asistencia!M83),Asistencia!M83,0)</f>
        <v>0</v>
      </c>
      <c r="BH80">
        <f>IF(ISNUMBER(Asistencia!N83),Asistencia!N83,0)</f>
        <v>0</v>
      </c>
      <c r="BI80">
        <f>IF(ISNUMBER(Asistencia!O83),Asistencia!O83,0)</f>
        <v>0</v>
      </c>
      <c r="BJ80">
        <f>IF(ISNUMBER(Asistencia!P83),Asistencia!P83,0)</f>
        <v>0</v>
      </c>
      <c r="BK80" t="str">
        <f>IF(Asistencia!F83="","",Asistencia!F83)</f>
        <v/>
      </c>
      <c r="BL80" t="str">
        <f>IF(Asistencia!G83="","",Asistencia!G83)</f>
        <v/>
      </c>
      <c r="BM80" t="str">
        <f>IF(Asistencia!H83="","",Asistencia!H83)</f>
        <v/>
      </c>
      <c r="BN80" t="str">
        <f>IF(Asistencia!I83="","",Asistencia!I83)</f>
        <v/>
      </c>
      <c r="BO80" t="str">
        <f>IF(Asistencia!J83="","",Asistencia!J83)</f>
        <v/>
      </c>
      <c r="BP80" t="str">
        <f>IF(Asistencia!K83="","",Asistencia!K83)</f>
        <v/>
      </c>
      <c r="BQ80" t="str">
        <f>IF(Asistencia!L83="","",Asistencia!L83)</f>
        <v/>
      </c>
    </row>
    <row r="81" spans="1:69" ht="15.75" customHeight="1" x14ac:dyDescent="0.25">
      <c r="A81" s="46" t="str">
        <f t="shared" si="42"/>
        <v/>
      </c>
      <c r="B81" s="47" t="str">
        <f t="shared" si="43"/>
        <v/>
      </c>
      <c r="C81" s="47"/>
      <c r="D81" s="47"/>
      <c r="E81" s="46" t="str">
        <f t="shared" si="44"/>
        <v/>
      </c>
      <c r="F81" s="45" t="str">
        <f t="shared" si="45"/>
        <v/>
      </c>
      <c r="G81" s="44" t="str">
        <f t="shared" si="46"/>
        <v/>
      </c>
      <c r="H81" s="44" t="str">
        <f t="shared" si="47"/>
        <v/>
      </c>
      <c r="I81" s="44" t="str">
        <f t="shared" si="48"/>
        <v/>
      </c>
      <c r="J81" s="44" t="str">
        <f t="shared" si="49"/>
        <v/>
      </c>
      <c r="K81" s="44" t="str">
        <f t="shared" si="50"/>
        <v/>
      </c>
      <c r="L81" s="44" t="str">
        <f t="shared" si="51"/>
        <v/>
      </c>
      <c r="M81" s="43" t="str">
        <f t="shared" si="52"/>
        <v/>
      </c>
      <c r="N81" s="41" t="str">
        <f t="shared" si="53"/>
        <v/>
      </c>
      <c r="O81" s="41" t="str">
        <f t="shared" si="54"/>
        <v/>
      </c>
      <c r="P81" s="41" t="str">
        <f t="shared" si="55"/>
        <v/>
      </c>
      <c r="Q81" s="41" t="str">
        <f t="shared" si="56"/>
        <v/>
      </c>
      <c r="R81" s="41" t="str">
        <f t="shared" si="57"/>
        <v/>
      </c>
      <c r="S81" s="41"/>
      <c r="T81" s="48"/>
      <c r="U81" s="41" t="str">
        <f t="shared" si="58"/>
        <v/>
      </c>
      <c r="V81" s="41"/>
      <c r="W81" s="42" t="str">
        <f t="shared" si="59"/>
        <v/>
      </c>
      <c r="Y81" t="str">
        <f>IFERROR(MATCH(77,$AH$5:$AH$323,0),"")</f>
        <v/>
      </c>
      <c r="Z81" t="str">
        <f t="shared" si="60"/>
        <v/>
      </c>
      <c r="AA81" t="str">
        <f t="shared" si="61"/>
        <v/>
      </c>
      <c r="AB81" t="str">
        <f>IF(Asistencia!A84="","",Asistencia!A84)</f>
        <v/>
      </c>
      <c r="AC81" t="str">
        <f>IF(Asistencia!A84="","",SUBSTITUTE(SUBSTITUTE(SUBSTITUTE(SUBSTITUTE(SUBSTITUTE(SUBSTITUTE(SUBSTITUTE(UPPER(TRIM(Asistencia!A84)),"Á","A"),"É","E"),"Í","I"),"Ó","O"),"Ú","U"),"Ñ","N"),"  "," "))</f>
        <v/>
      </c>
      <c r="AD81" t="str">
        <f>IF(Asistencia!E84="","",Asistencia!E84)</f>
        <v/>
      </c>
      <c r="AE81" t="str">
        <f>IF(Asistencia!D84="","",UPPER(TRIM(Asistencia!D84)))</f>
        <v/>
      </c>
      <c r="AF81" t="s">
        <v>188</v>
      </c>
      <c r="AG81">
        <f>IF(AND(AA81&lt;&gt;"",COUNTIF($AA$5:AA81,AA81)=1),1,0)</f>
        <v>0</v>
      </c>
      <c r="AH81" t="str">
        <f>IF(AG81=1,SUM($AG$5:AG81),"")</f>
        <v/>
      </c>
      <c r="AI81">
        <f>IF(OR(EXACT(Asistencia!F84,"A"),EXACT(Asistencia!F84,"R"),EXACT(Asistencia!F84,"DL"),EXACT(Asistencia!F84,"FL"),EXACT(Asistencia!F84,"FE"),EXACT(Asistencia!F84,"PCS"),EXACT(Asistencia!F84,"V")),1,0)</f>
        <v>0</v>
      </c>
      <c r="AJ81">
        <f>IF(OR(EXACT(Asistencia!G84,"A"),EXACT(Asistencia!G84,"R"),EXACT(Asistencia!G84,"DL"),EXACT(Asistencia!G84,"FL"),EXACT(Asistencia!G84,"FE"),EXACT(Asistencia!G84,"PCS"),EXACT(Asistencia!G84,"V")),1,0)</f>
        <v>0</v>
      </c>
      <c r="AK81">
        <f>IF(OR(EXACT(Asistencia!H84,"A"),EXACT(Asistencia!H84,"R"),EXACT(Asistencia!H84,"DL"),EXACT(Asistencia!H84,"FL"),EXACT(Asistencia!H84,"FE"),EXACT(Asistencia!H84,"PCS"),EXACT(Asistencia!H84,"V")),1,0)</f>
        <v>0</v>
      </c>
      <c r="AL81">
        <f>IF(OR(EXACT(Asistencia!I84,"A"),EXACT(Asistencia!I84,"R"),EXACT(Asistencia!I84,"DL"),EXACT(Asistencia!I84,"FL"),EXACT(Asistencia!I84,"FE"),EXACT(Asistencia!I84,"PCS"),EXACT(Asistencia!I84,"V")),1,0)</f>
        <v>0</v>
      </c>
      <c r="AM81">
        <f>IF(OR(EXACT(Asistencia!J84,"A"),EXACT(Asistencia!J84,"R"),EXACT(Asistencia!J84,"DL"),EXACT(Asistencia!J84,"FL"),EXACT(Asistencia!J84,"FE"),EXACT(Asistencia!J84,"PCS"),EXACT(Asistencia!J84,"V")),1,0)</f>
        <v>0</v>
      </c>
      <c r="AN81">
        <f>IF(OR(EXACT(Asistencia!K84,"A"),EXACT(Asistencia!K84,"R"),EXACT(Asistencia!K84,"DL"),EXACT(Asistencia!K84,"FL"),EXACT(Asistencia!K84,"FE"),EXACT(Asistencia!K84,"PCS"),EXACT(Asistencia!K84,"V")),1,0)</f>
        <v>0</v>
      </c>
      <c r="AO81">
        <f>IF(OR(EXACT(Asistencia!L84,"A"),EXACT(Asistencia!L84,"R"),EXACT(Asistencia!L84,"DL"),EXACT(Asistencia!L84,"FL"),EXACT(Asistencia!L84,"FE"),EXACT(Asistencia!L84,"PCS"),EXACT(Asistencia!L84,"V")),1,0)</f>
        <v>0</v>
      </c>
      <c r="AP81">
        <f t="shared" si="62"/>
        <v>0</v>
      </c>
      <c r="AQ81">
        <f>IF(EXACT(Asistencia!F84,"FL"),1,0)</f>
        <v>0</v>
      </c>
      <c r="AR81">
        <f>IF(EXACT(Asistencia!G84,"FL"),1,0)</f>
        <v>0</v>
      </c>
      <c r="AS81">
        <f>IF(EXACT(Asistencia!H84,"FL"),1,0)</f>
        <v>0</v>
      </c>
      <c r="AT81">
        <f>IF(EXACT(Asistencia!I84,"FL"),1,0)</f>
        <v>0</v>
      </c>
      <c r="AU81">
        <f>IF(EXACT(Asistencia!J84,"FL"),1,0)</f>
        <v>0</v>
      </c>
      <c r="AV81">
        <f>IF(EXACT(Asistencia!K84,"FL"),1,0)</f>
        <v>0</v>
      </c>
      <c r="AW81">
        <f>IF(EXACT(Asistencia!L84,"FL"),1,0)</f>
        <v>0</v>
      </c>
      <c r="AX81">
        <f t="shared" si="63"/>
        <v>0</v>
      </c>
      <c r="AY81">
        <f>IF(EXACT(Asistencia!F84,"DL"),1,0)</f>
        <v>0</v>
      </c>
      <c r="AZ81">
        <f>IF(EXACT(Asistencia!G84,"DL"),1,0)</f>
        <v>0</v>
      </c>
      <c r="BA81">
        <f>IF(EXACT(Asistencia!H84,"DL"),1,0)</f>
        <v>0</v>
      </c>
      <c r="BB81">
        <f>IF(EXACT(Asistencia!I84,"DL"),1,0)</f>
        <v>0</v>
      </c>
      <c r="BC81">
        <f>IF(EXACT(Asistencia!J84,"DL"),1,0)</f>
        <v>0</v>
      </c>
      <c r="BD81">
        <f>IF(EXACT(Asistencia!K84,"DL"),1,0)</f>
        <v>0</v>
      </c>
      <c r="BE81">
        <f>IF(EXACT(Asistencia!L84,"DL"),1,0)</f>
        <v>0</v>
      </c>
      <c r="BF81">
        <f t="shared" si="64"/>
        <v>0</v>
      </c>
      <c r="BG81">
        <f>IF(ISNUMBER(Asistencia!M84),Asistencia!M84,0)</f>
        <v>0</v>
      </c>
      <c r="BH81">
        <f>IF(ISNUMBER(Asistencia!N84),Asistencia!N84,0)</f>
        <v>0</v>
      </c>
      <c r="BI81">
        <f>IF(ISNUMBER(Asistencia!O84),Asistencia!O84,0)</f>
        <v>0</v>
      </c>
      <c r="BJ81">
        <f>IF(ISNUMBER(Asistencia!P84),Asistencia!P84,0)</f>
        <v>0</v>
      </c>
      <c r="BK81" t="str">
        <f>IF(Asistencia!F84="","",Asistencia!F84)</f>
        <v/>
      </c>
      <c r="BL81" t="str">
        <f>IF(Asistencia!G84="","",Asistencia!G84)</f>
        <v/>
      </c>
      <c r="BM81" t="str">
        <f>IF(Asistencia!H84="","",Asistencia!H84)</f>
        <v/>
      </c>
      <c r="BN81" t="str">
        <f>IF(Asistencia!I84="","",Asistencia!I84)</f>
        <v/>
      </c>
      <c r="BO81" t="str">
        <f>IF(Asistencia!J84="","",Asistencia!J84)</f>
        <v/>
      </c>
      <c r="BP81" t="str">
        <f>IF(Asistencia!K84="","",Asistencia!K84)</f>
        <v/>
      </c>
      <c r="BQ81" t="str">
        <f>IF(Asistencia!L84="","",Asistencia!L84)</f>
        <v/>
      </c>
    </row>
    <row r="82" spans="1:69" ht="15.75" customHeight="1" x14ac:dyDescent="0.25">
      <c r="A82" s="46" t="str">
        <f t="shared" si="42"/>
        <v/>
      </c>
      <c r="B82" s="47" t="str">
        <f t="shared" si="43"/>
        <v/>
      </c>
      <c r="C82" s="47"/>
      <c r="D82" s="47"/>
      <c r="E82" s="46" t="str">
        <f t="shared" si="44"/>
        <v/>
      </c>
      <c r="F82" s="45" t="str">
        <f t="shared" si="45"/>
        <v/>
      </c>
      <c r="G82" s="44" t="str">
        <f t="shared" si="46"/>
        <v/>
      </c>
      <c r="H82" s="44" t="str">
        <f t="shared" si="47"/>
        <v/>
      </c>
      <c r="I82" s="44" t="str">
        <f t="shared" si="48"/>
        <v/>
      </c>
      <c r="J82" s="44" t="str">
        <f t="shared" si="49"/>
        <v/>
      </c>
      <c r="K82" s="44" t="str">
        <f t="shared" si="50"/>
        <v/>
      </c>
      <c r="L82" s="44" t="str">
        <f t="shared" si="51"/>
        <v/>
      </c>
      <c r="M82" s="43" t="str">
        <f t="shared" si="52"/>
        <v/>
      </c>
      <c r="N82" s="41" t="str">
        <f t="shared" si="53"/>
        <v/>
      </c>
      <c r="O82" s="41" t="str">
        <f t="shared" si="54"/>
        <v/>
      </c>
      <c r="P82" s="41" t="str">
        <f t="shared" si="55"/>
        <v/>
      </c>
      <c r="Q82" s="41" t="str">
        <f t="shared" si="56"/>
        <v/>
      </c>
      <c r="R82" s="41" t="str">
        <f t="shared" si="57"/>
        <v/>
      </c>
      <c r="S82" s="41"/>
      <c r="T82" s="48"/>
      <c r="U82" s="41" t="str">
        <f t="shared" si="58"/>
        <v/>
      </c>
      <c r="V82" s="41"/>
      <c r="W82" s="42" t="str">
        <f t="shared" si="59"/>
        <v/>
      </c>
      <c r="Y82" t="str">
        <f>IFERROR(MATCH(78,$AH$5:$AH$323,0),"")</f>
        <v/>
      </c>
      <c r="Z82" t="str">
        <f t="shared" si="60"/>
        <v/>
      </c>
      <c r="AA82" t="str">
        <f t="shared" si="61"/>
        <v/>
      </c>
      <c r="AB82" t="str">
        <f>IF(Asistencia!A85="","",Asistencia!A85)</f>
        <v/>
      </c>
      <c r="AC82" t="str">
        <f>IF(Asistencia!A85="","",SUBSTITUTE(SUBSTITUTE(SUBSTITUTE(SUBSTITUTE(SUBSTITUTE(SUBSTITUTE(SUBSTITUTE(UPPER(TRIM(Asistencia!A85)),"Á","A"),"É","E"),"Í","I"),"Ó","O"),"Ú","U"),"Ñ","N"),"  "," "))</f>
        <v/>
      </c>
      <c r="AD82" t="str">
        <f>IF(Asistencia!E85="","",Asistencia!E85)</f>
        <v/>
      </c>
      <c r="AE82" t="str">
        <f>IF(Asistencia!D85="","",UPPER(TRIM(Asistencia!D85)))</f>
        <v/>
      </c>
      <c r="AF82" t="s">
        <v>188</v>
      </c>
      <c r="AG82">
        <f>IF(AND(AA82&lt;&gt;"",COUNTIF($AA$5:AA82,AA82)=1),1,0)</f>
        <v>0</v>
      </c>
      <c r="AH82" t="str">
        <f>IF(AG82=1,SUM($AG$5:AG82),"")</f>
        <v/>
      </c>
      <c r="AI82">
        <f>IF(OR(EXACT(Asistencia!F85,"A"),EXACT(Asistencia!F85,"R"),EXACT(Asistencia!F85,"DL"),EXACT(Asistencia!F85,"FL"),EXACT(Asistencia!F85,"FE"),EXACT(Asistencia!F85,"PCS"),EXACT(Asistencia!F85,"V")),1,0)</f>
        <v>0</v>
      </c>
      <c r="AJ82">
        <f>IF(OR(EXACT(Asistencia!G85,"A"),EXACT(Asistencia!G85,"R"),EXACT(Asistencia!G85,"DL"),EXACT(Asistencia!G85,"FL"),EXACT(Asistencia!G85,"FE"),EXACT(Asistencia!G85,"PCS"),EXACT(Asistencia!G85,"V")),1,0)</f>
        <v>0</v>
      </c>
      <c r="AK82">
        <f>IF(OR(EXACT(Asistencia!H85,"A"),EXACT(Asistencia!H85,"R"),EXACT(Asistencia!H85,"DL"),EXACT(Asistencia!H85,"FL"),EXACT(Asistencia!H85,"FE"),EXACT(Asistencia!H85,"PCS"),EXACT(Asistencia!H85,"V")),1,0)</f>
        <v>0</v>
      </c>
      <c r="AL82">
        <f>IF(OR(EXACT(Asistencia!I85,"A"),EXACT(Asistencia!I85,"R"),EXACT(Asistencia!I85,"DL"),EXACT(Asistencia!I85,"FL"),EXACT(Asistencia!I85,"FE"),EXACT(Asistencia!I85,"PCS"),EXACT(Asistencia!I85,"V")),1,0)</f>
        <v>0</v>
      </c>
      <c r="AM82">
        <f>IF(OR(EXACT(Asistencia!J85,"A"),EXACT(Asistencia!J85,"R"),EXACT(Asistencia!J85,"DL"),EXACT(Asistencia!J85,"FL"),EXACT(Asistencia!J85,"FE"),EXACT(Asistencia!J85,"PCS"),EXACT(Asistencia!J85,"V")),1,0)</f>
        <v>0</v>
      </c>
      <c r="AN82">
        <f>IF(OR(EXACT(Asistencia!K85,"A"),EXACT(Asistencia!K85,"R"),EXACT(Asistencia!K85,"DL"),EXACT(Asistencia!K85,"FL"),EXACT(Asistencia!K85,"FE"),EXACT(Asistencia!K85,"PCS"),EXACT(Asistencia!K85,"V")),1,0)</f>
        <v>0</v>
      </c>
      <c r="AO82">
        <f>IF(OR(EXACT(Asistencia!L85,"A"),EXACT(Asistencia!L85,"R"),EXACT(Asistencia!L85,"DL"),EXACT(Asistencia!L85,"FL"),EXACT(Asistencia!L85,"FE"),EXACT(Asistencia!L85,"PCS"),EXACT(Asistencia!L85,"V")),1,0)</f>
        <v>0</v>
      </c>
      <c r="AP82">
        <f t="shared" si="62"/>
        <v>0</v>
      </c>
      <c r="AQ82">
        <f>IF(EXACT(Asistencia!F85,"FL"),1,0)</f>
        <v>0</v>
      </c>
      <c r="AR82">
        <f>IF(EXACT(Asistencia!G85,"FL"),1,0)</f>
        <v>0</v>
      </c>
      <c r="AS82">
        <f>IF(EXACT(Asistencia!H85,"FL"),1,0)</f>
        <v>0</v>
      </c>
      <c r="AT82">
        <f>IF(EXACT(Asistencia!I85,"FL"),1,0)</f>
        <v>0</v>
      </c>
      <c r="AU82">
        <f>IF(EXACT(Asistencia!J85,"FL"),1,0)</f>
        <v>0</v>
      </c>
      <c r="AV82">
        <f>IF(EXACT(Asistencia!K85,"FL"),1,0)</f>
        <v>0</v>
      </c>
      <c r="AW82">
        <f>IF(EXACT(Asistencia!L85,"FL"),1,0)</f>
        <v>0</v>
      </c>
      <c r="AX82">
        <f t="shared" si="63"/>
        <v>0</v>
      </c>
      <c r="AY82">
        <f>IF(EXACT(Asistencia!F85,"DL"),1,0)</f>
        <v>0</v>
      </c>
      <c r="AZ82">
        <f>IF(EXACT(Asistencia!G85,"DL"),1,0)</f>
        <v>0</v>
      </c>
      <c r="BA82">
        <f>IF(EXACT(Asistencia!H85,"DL"),1,0)</f>
        <v>0</v>
      </c>
      <c r="BB82">
        <f>IF(EXACT(Asistencia!I85,"DL"),1,0)</f>
        <v>0</v>
      </c>
      <c r="BC82">
        <f>IF(EXACT(Asistencia!J85,"DL"),1,0)</f>
        <v>0</v>
      </c>
      <c r="BD82">
        <f>IF(EXACT(Asistencia!K85,"DL"),1,0)</f>
        <v>0</v>
      </c>
      <c r="BE82">
        <f>IF(EXACT(Asistencia!L85,"DL"),1,0)</f>
        <v>0</v>
      </c>
      <c r="BF82">
        <f t="shared" si="64"/>
        <v>0</v>
      </c>
      <c r="BG82">
        <f>IF(ISNUMBER(Asistencia!M85),Asistencia!M85,0)</f>
        <v>0</v>
      </c>
      <c r="BH82">
        <f>IF(ISNUMBER(Asistencia!N85),Asistencia!N85,0)</f>
        <v>0</v>
      </c>
      <c r="BI82">
        <f>IF(ISNUMBER(Asistencia!O85),Asistencia!O85,0)</f>
        <v>0</v>
      </c>
      <c r="BJ82">
        <f>IF(ISNUMBER(Asistencia!P85),Asistencia!P85,0)</f>
        <v>0</v>
      </c>
      <c r="BK82" t="str">
        <f>IF(Asistencia!F85="","",Asistencia!F85)</f>
        <v/>
      </c>
      <c r="BL82" t="str">
        <f>IF(Asistencia!G85="","",Asistencia!G85)</f>
        <v/>
      </c>
      <c r="BM82" t="str">
        <f>IF(Asistencia!H85="","",Asistencia!H85)</f>
        <v/>
      </c>
      <c r="BN82" t="str">
        <f>IF(Asistencia!I85="","",Asistencia!I85)</f>
        <v/>
      </c>
      <c r="BO82" t="str">
        <f>IF(Asistencia!J85="","",Asistencia!J85)</f>
        <v/>
      </c>
      <c r="BP82" t="str">
        <f>IF(Asistencia!K85="","",Asistencia!K85)</f>
        <v/>
      </c>
      <c r="BQ82" t="str">
        <f>IF(Asistencia!L85="","",Asistencia!L85)</f>
        <v/>
      </c>
    </row>
    <row r="83" spans="1:69" ht="15.75" customHeight="1" x14ac:dyDescent="0.25">
      <c r="A83" s="46" t="str">
        <f t="shared" si="42"/>
        <v/>
      </c>
      <c r="B83" s="47" t="str">
        <f t="shared" si="43"/>
        <v/>
      </c>
      <c r="C83" s="47"/>
      <c r="D83" s="47"/>
      <c r="E83" s="46" t="str">
        <f t="shared" si="44"/>
        <v/>
      </c>
      <c r="F83" s="45" t="str">
        <f t="shared" si="45"/>
        <v/>
      </c>
      <c r="G83" s="44" t="str">
        <f t="shared" si="46"/>
        <v/>
      </c>
      <c r="H83" s="44" t="str">
        <f t="shared" si="47"/>
        <v/>
      </c>
      <c r="I83" s="44" t="str">
        <f t="shared" si="48"/>
        <v/>
      </c>
      <c r="J83" s="44" t="str">
        <f t="shared" si="49"/>
        <v/>
      </c>
      <c r="K83" s="44" t="str">
        <f t="shared" si="50"/>
        <v/>
      </c>
      <c r="L83" s="44" t="str">
        <f t="shared" si="51"/>
        <v/>
      </c>
      <c r="M83" s="43" t="str">
        <f t="shared" si="52"/>
        <v/>
      </c>
      <c r="N83" s="41" t="str">
        <f t="shared" si="53"/>
        <v/>
      </c>
      <c r="O83" s="41" t="str">
        <f t="shared" si="54"/>
        <v/>
      </c>
      <c r="P83" s="41" t="str">
        <f t="shared" si="55"/>
        <v/>
      </c>
      <c r="Q83" s="41" t="str">
        <f t="shared" si="56"/>
        <v/>
      </c>
      <c r="R83" s="41" t="str">
        <f t="shared" si="57"/>
        <v/>
      </c>
      <c r="S83" s="41"/>
      <c r="T83" s="48"/>
      <c r="U83" s="41" t="str">
        <f t="shared" si="58"/>
        <v/>
      </c>
      <c r="V83" s="41"/>
      <c r="W83" s="42" t="str">
        <f t="shared" si="59"/>
        <v/>
      </c>
      <c r="Y83" t="str">
        <f>IFERROR(MATCH(79,$AH$5:$AH$323,0),"")</f>
        <v/>
      </c>
      <c r="Z83" t="str">
        <f t="shared" si="60"/>
        <v/>
      </c>
      <c r="AA83" t="str">
        <f t="shared" si="61"/>
        <v/>
      </c>
      <c r="AB83" t="str">
        <f>IF(Asistencia!A86="","",Asistencia!A86)</f>
        <v/>
      </c>
      <c r="AC83" t="str">
        <f>IF(Asistencia!A86="","",SUBSTITUTE(SUBSTITUTE(SUBSTITUTE(SUBSTITUTE(SUBSTITUTE(SUBSTITUTE(SUBSTITUTE(UPPER(TRIM(Asistencia!A86)),"Á","A"),"É","E"),"Í","I"),"Ó","O"),"Ú","U"),"Ñ","N"),"  "," "))</f>
        <v/>
      </c>
      <c r="AD83" t="str">
        <f>IF(Asistencia!E86="","",Asistencia!E86)</f>
        <v/>
      </c>
      <c r="AE83" t="str">
        <f>IF(Asistencia!D86="","",UPPER(TRIM(Asistencia!D86)))</f>
        <v/>
      </c>
      <c r="AF83" t="s">
        <v>188</v>
      </c>
      <c r="AG83">
        <f>IF(AND(AA83&lt;&gt;"",COUNTIF($AA$5:AA83,AA83)=1),1,0)</f>
        <v>0</v>
      </c>
      <c r="AH83" t="str">
        <f>IF(AG83=1,SUM($AG$5:AG83),"")</f>
        <v/>
      </c>
      <c r="AI83">
        <f>IF(OR(EXACT(Asistencia!F86,"A"),EXACT(Asistencia!F86,"R"),EXACT(Asistencia!F86,"DL"),EXACT(Asistencia!F86,"FL"),EXACT(Asistencia!F86,"FE"),EXACT(Asistencia!F86,"PCS"),EXACT(Asistencia!F86,"V")),1,0)</f>
        <v>0</v>
      </c>
      <c r="AJ83">
        <f>IF(OR(EXACT(Asistencia!G86,"A"),EXACT(Asistencia!G86,"R"),EXACT(Asistencia!G86,"DL"),EXACT(Asistencia!G86,"FL"),EXACT(Asistencia!G86,"FE"),EXACT(Asistencia!G86,"PCS"),EXACT(Asistencia!G86,"V")),1,0)</f>
        <v>0</v>
      </c>
      <c r="AK83">
        <f>IF(OR(EXACT(Asistencia!H86,"A"),EXACT(Asistencia!H86,"R"),EXACT(Asistencia!H86,"DL"),EXACT(Asistencia!H86,"FL"),EXACT(Asistencia!H86,"FE"),EXACT(Asistencia!H86,"PCS"),EXACT(Asistencia!H86,"V")),1,0)</f>
        <v>0</v>
      </c>
      <c r="AL83">
        <f>IF(OR(EXACT(Asistencia!I86,"A"),EXACT(Asistencia!I86,"R"),EXACT(Asistencia!I86,"DL"),EXACT(Asistencia!I86,"FL"),EXACT(Asistencia!I86,"FE"),EXACT(Asistencia!I86,"PCS"),EXACT(Asistencia!I86,"V")),1,0)</f>
        <v>0</v>
      </c>
      <c r="AM83">
        <f>IF(OR(EXACT(Asistencia!J86,"A"),EXACT(Asistencia!J86,"R"),EXACT(Asistencia!J86,"DL"),EXACT(Asistencia!J86,"FL"),EXACT(Asistencia!J86,"FE"),EXACT(Asistencia!J86,"PCS"),EXACT(Asistencia!J86,"V")),1,0)</f>
        <v>0</v>
      </c>
      <c r="AN83">
        <f>IF(OR(EXACT(Asistencia!K86,"A"),EXACT(Asistencia!K86,"R"),EXACT(Asistencia!K86,"DL"),EXACT(Asistencia!K86,"FL"),EXACT(Asistencia!K86,"FE"),EXACT(Asistencia!K86,"PCS"),EXACT(Asistencia!K86,"V")),1,0)</f>
        <v>0</v>
      </c>
      <c r="AO83">
        <f>IF(OR(EXACT(Asistencia!L86,"A"),EXACT(Asistencia!L86,"R"),EXACT(Asistencia!L86,"DL"),EXACT(Asistencia!L86,"FL"),EXACT(Asistencia!L86,"FE"),EXACT(Asistencia!L86,"PCS"),EXACT(Asistencia!L86,"V")),1,0)</f>
        <v>0</v>
      </c>
      <c r="AP83">
        <f t="shared" si="62"/>
        <v>0</v>
      </c>
      <c r="AQ83">
        <f>IF(EXACT(Asistencia!F86,"FL"),1,0)</f>
        <v>0</v>
      </c>
      <c r="AR83">
        <f>IF(EXACT(Asistencia!G86,"FL"),1,0)</f>
        <v>0</v>
      </c>
      <c r="AS83">
        <f>IF(EXACT(Asistencia!H86,"FL"),1,0)</f>
        <v>0</v>
      </c>
      <c r="AT83">
        <f>IF(EXACT(Asistencia!I86,"FL"),1,0)</f>
        <v>0</v>
      </c>
      <c r="AU83">
        <f>IF(EXACT(Asistencia!J86,"FL"),1,0)</f>
        <v>0</v>
      </c>
      <c r="AV83">
        <f>IF(EXACT(Asistencia!K86,"FL"),1,0)</f>
        <v>0</v>
      </c>
      <c r="AW83">
        <f>IF(EXACT(Asistencia!L86,"FL"),1,0)</f>
        <v>0</v>
      </c>
      <c r="AX83">
        <f t="shared" si="63"/>
        <v>0</v>
      </c>
      <c r="AY83">
        <f>IF(EXACT(Asistencia!F86,"DL"),1,0)</f>
        <v>0</v>
      </c>
      <c r="AZ83">
        <f>IF(EXACT(Asistencia!G86,"DL"),1,0)</f>
        <v>0</v>
      </c>
      <c r="BA83">
        <f>IF(EXACT(Asistencia!H86,"DL"),1,0)</f>
        <v>0</v>
      </c>
      <c r="BB83">
        <f>IF(EXACT(Asistencia!I86,"DL"),1,0)</f>
        <v>0</v>
      </c>
      <c r="BC83">
        <f>IF(EXACT(Asistencia!J86,"DL"),1,0)</f>
        <v>0</v>
      </c>
      <c r="BD83">
        <f>IF(EXACT(Asistencia!K86,"DL"),1,0)</f>
        <v>0</v>
      </c>
      <c r="BE83">
        <f>IF(EXACT(Asistencia!L86,"DL"),1,0)</f>
        <v>0</v>
      </c>
      <c r="BF83">
        <f t="shared" si="64"/>
        <v>0</v>
      </c>
      <c r="BG83">
        <f>IF(ISNUMBER(Asistencia!M86),Asistencia!M86,0)</f>
        <v>0</v>
      </c>
      <c r="BH83">
        <f>IF(ISNUMBER(Asistencia!N86),Asistencia!N86,0)</f>
        <v>0</v>
      </c>
      <c r="BI83">
        <f>IF(ISNUMBER(Asistencia!O86),Asistencia!O86,0)</f>
        <v>0</v>
      </c>
      <c r="BJ83">
        <f>IF(ISNUMBER(Asistencia!P86),Asistencia!P86,0)</f>
        <v>0</v>
      </c>
      <c r="BK83" t="str">
        <f>IF(Asistencia!F86="","",Asistencia!F86)</f>
        <v/>
      </c>
      <c r="BL83" t="str">
        <f>IF(Asistencia!G86="","",Asistencia!G86)</f>
        <v/>
      </c>
      <c r="BM83" t="str">
        <f>IF(Asistencia!H86="","",Asistencia!H86)</f>
        <v/>
      </c>
      <c r="BN83" t="str">
        <f>IF(Asistencia!I86="","",Asistencia!I86)</f>
        <v/>
      </c>
      <c r="BO83" t="str">
        <f>IF(Asistencia!J86="","",Asistencia!J86)</f>
        <v/>
      </c>
      <c r="BP83" t="str">
        <f>IF(Asistencia!K86="","",Asistencia!K86)</f>
        <v/>
      </c>
      <c r="BQ83" t="str">
        <f>IF(Asistencia!L86="","",Asistencia!L86)</f>
        <v/>
      </c>
    </row>
    <row r="84" spans="1:69" ht="15.75" customHeight="1" x14ac:dyDescent="0.25">
      <c r="A84" s="46" t="str">
        <f t="shared" si="42"/>
        <v/>
      </c>
      <c r="B84" s="47" t="str">
        <f t="shared" si="43"/>
        <v/>
      </c>
      <c r="C84" s="47"/>
      <c r="D84" s="47"/>
      <c r="E84" s="46" t="str">
        <f t="shared" si="44"/>
        <v/>
      </c>
      <c r="F84" s="45" t="str">
        <f t="shared" si="45"/>
        <v/>
      </c>
      <c r="G84" s="44" t="str">
        <f t="shared" si="46"/>
        <v/>
      </c>
      <c r="H84" s="44" t="str">
        <f t="shared" si="47"/>
        <v/>
      </c>
      <c r="I84" s="44" t="str">
        <f t="shared" si="48"/>
        <v/>
      </c>
      <c r="J84" s="44" t="str">
        <f t="shared" si="49"/>
        <v/>
      </c>
      <c r="K84" s="44" t="str">
        <f t="shared" si="50"/>
        <v/>
      </c>
      <c r="L84" s="44" t="str">
        <f t="shared" si="51"/>
        <v/>
      </c>
      <c r="M84" s="43" t="str">
        <f t="shared" si="52"/>
        <v/>
      </c>
      <c r="N84" s="41" t="str">
        <f t="shared" si="53"/>
        <v/>
      </c>
      <c r="O84" s="41" t="str">
        <f t="shared" si="54"/>
        <v/>
      </c>
      <c r="P84" s="41" t="str">
        <f t="shared" si="55"/>
        <v/>
      </c>
      <c r="Q84" s="41" t="str">
        <f t="shared" si="56"/>
        <v/>
      </c>
      <c r="R84" s="41" t="str">
        <f t="shared" si="57"/>
        <v/>
      </c>
      <c r="S84" s="41"/>
      <c r="T84" s="48"/>
      <c r="U84" s="41" t="str">
        <f t="shared" si="58"/>
        <v/>
      </c>
      <c r="V84" s="41"/>
      <c r="W84" s="42" t="str">
        <f t="shared" si="59"/>
        <v/>
      </c>
      <c r="Y84" t="str">
        <f>IFERROR(MATCH(80,$AH$5:$AH$323,0),"")</f>
        <v/>
      </c>
      <c r="Z84" t="str">
        <f t="shared" si="60"/>
        <v/>
      </c>
      <c r="AA84" t="str">
        <f t="shared" si="61"/>
        <v/>
      </c>
      <c r="AB84" t="str">
        <f>IF(Asistencia!A87="","",Asistencia!A87)</f>
        <v/>
      </c>
      <c r="AC84" t="str">
        <f>IF(Asistencia!A87="","",SUBSTITUTE(SUBSTITUTE(SUBSTITUTE(SUBSTITUTE(SUBSTITUTE(SUBSTITUTE(SUBSTITUTE(UPPER(TRIM(Asistencia!A87)),"Á","A"),"É","E"),"Í","I"),"Ó","O"),"Ú","U"),"Ñ","N"),"  "," "))</f>
        <v/>
      </c>
      <c r="AD84" t="str">
        <f>IF(Asistencia!E87="","",Asistencia!E87)</f>
        <v/>
      </c>
      <c r="AE84" t="str">
        <f>IF(Asistencia!D87="","",UPPER(TRIM(Asistencia!D87)))</f>
        <v/>
      </c>
      <c r="AF84" t="s">
        <v>188</v>
      </c>
      <c r="AG84">
        <f>IF(AND(AA84&lt;&gt;"",COUNTIF($AA$5:AA84,AA84)=1),1,0)</f>
        <v>0</v>
      </c>
      <c r="AH84" t="str">
        <f>IF(AG84=1,SUM($AG$5:AG84),"")</f>
        <v/>
      </c>
      <c r="AI84">
        <f>IF(OR(EXACT(Asistencia!F87,"A"),EXACT(Asistencia!F87,"R"),EXACT(Asistencia!F87,"DL"),EXACT(Asistencia!F87,"FL"),EXACT(Asistencia!F87,"FE"),EXACT(Asistencia!F87,"PCS"),EXACT(Asistencia!F87,"V")),1,0)</f>
        <v>0</v>
      </c>
      <c r="AJ84">
        <f>IF(OR(EXACT(Asistencia!G87,"A"),EXACT(Asistencia!G87,"R"),EXACT(Asistencia!G87,"DL"),EXACT(Asistencia!G87,"FL"),EXACT(Asistencia!G87,"FE"),EXACT(Asistencia!G87,"PCS"),EXACT(Asistencia!G87,"V")),1,0)</f>
        <v>0</v>
      </c>
      <c r="AK84">
        <f>IF(OR(EXACT(Asistencia!H87,"A"),EXACT(Asistencia!H87,"R"),EXACT(Asistencia!H87,"DL"),EXACT(Asistencia!H87,"FL"),EXACT(Asistencia!H87,"FE"),EXACT(Asistencia!H87,"PCS"),EXACT(Asistencia!H87,"V")),1,0)</f>
        <v>0</v>
      </c>
      <c r="AL84">
        <f>IF(OR(EXACT(Asistencia!I87,"A"),EXACT(Asistencia!I87,"R"),EXACT(Asistencia!I87,"DL"),EXACT(Asistencia!I87,"FL"),EXACT(Asistencia!I87,"FE"),EXACT(Asistencia!I87,"PCS"),EXACT(Asistencia!I87,"V")),1,0)</f>
        <v>0</v>
      </c>
      <c r="AM84">
        <f>IF(OR(EXACT(Asistencia!J87,"A"),EXACT(Asistencia!J87,"R"),EXACT(Asistencia!J87,"DL"),EXACT(Asistencia!J87,"FL"),EXACT(Asistencia!J87,"FE"),EXACT(Asistencia!J87,"PCS"),EXACT(Asistencia!J87,"V")),1,0)</f>
        <v>0</v>
      </c>
      <c r="AN84">
        <f>IF(OR(EXACT(Asistencia!K87,"A"),EXACT(Asistencia!K87,"R"),EXACT(Asistencia!K87,"DL"),EXACT(Asistencia!K87,"FL"),EXACT(Asistencia!K87,"FE"),EXACT(Asistencia!K87,"PCS"),EXACT(Asistencia!K87,"V")),1,0)</f>
        <v>0</v>
      </c>
      <c r="AO84">
        <f>IF(OR(EXACT(Asistencia!L87,"A"),EXACT(Asistencia!L87,"R"),EXACT(Asistencia!L87,"DL"),EXACT(Asistencia!L87,"FL"),EXACT(Asistencia!L87,"FE"),EXACT(Asistencia!L87,"PCS"),EXACT(Asistencia!L87,"V")),1,0)</f>
        <v>0</v>
      </c>
      <c r="AP84">
        <f t="shared" si="62"/>
        <v>0</v>
      </c>
      <c r="AQ84">
        <f>IF(EXACT(Asistencia!F87,"FL"),1,0)</f>
        <v>0</v>
      </c>
      <c r="AR84">
        <f>IF(EXACT(Asistencia!G87,"FL"),1,0)</f>
        <v>0</v>
      </c>
      <c r="AS84">
        <f>IF(EXACT(Asistencia!H87,"FL"),1,0)</f>
        <v>0</v>
      </c>
      <c r="AT84">
        <f>IF(EXACT(Asistencia!I87,"FL"),1,0)</f>
        <v>0</v>
      </c>
      <c r="AU84">
        <f>IF(EXACT(Asistencia!J87,"FL"),1,0)</f>
        <v>0</v>
      </c>
      <c r="AV84">
        <f>IF(EXACT(Asistencia!K87,"FL"),1,0)</f>
        <v>0</v>
      </c>
      <c r="AW84">
        <f>IF(EXACT(Asistencia!L87,"FL"),1,0)</f>
        <v>0</v>
      </c>
      <c r="AX84">
        <f t="shared" si="63"/>
        <v>0</v>
      </c>
      <c r="AY84">
        <f>IF(EXACT(Asistencia!F87,"DL"),1,0)</f>
        <v>0</v>
      </c>
      <c r="AZ84">
        <f>IF(EXACT(Asistencia!G87,"DL"),1,0)</f>
        <v>0</v>
      </c>
      <c r="BA84">
        <f>IF(EXACT(Asistencia!H87,"DL"),1,0)</f>
        <v>0</v>
      </c>
      <c r="BB84">
        <f>IF(EXACT(Asistencia!I87,"DL"),1,0)</f>
        <v>0</v>
      </c>
      <c r="BC84">
        <f>IF(EXACT(Asistencia!J87,"DL"),1,0)</f>
        <v>0</v>
      </c>
      <c r="BD84">
        <f>IF(EXACT(Asistencia!K87,"DL"),1,0)</f>
        <v>0</v>
      </c>
      <c r="BE84">
        <f>IF(EXACT(Asistencia!L87,"DL"),1,0)</f>
        <v>0</v>
      </c>
      <c r="BF84">
        <f t="shared" si="64"/>
        <v>0</v>
      </c>
      <c r="BG84">
        <f>IF(ISNUMBER(Asistencia!M87),Asistencia!M87,0)</f>
        <v>0</v>
      </c>
      <c r="BH84">
        <f>IF(ISNUMBER(Asistencia!N87),Asistencia!N87,0)</f>
        <v>0</v>
      </c>
      <c r="BI84">
        <f>IF(ISNUMBER(Asistencia!O87),Asistencia!O87,0)</f>
        <v>0</v>
      </c>
      <c r="BJ84">
        <f>IF(ISNUMBER(Asistencia!P87),Asistencia!P87,0)</f>
        <v>0</v>
      </c>
      <c r="BK84" t="str">
        <f>IF(Asistencia!F87="","",Asistencia!F87)</f>
        <v/>
      </c>
      <c r="BL84" t="str">
        <f>IF(Asistencia!G87="","",Asistencia!G87)</f>
        <v/>
      </c>
      <c r="BM84" t="str">
        <f>IF(Asistencia!H87="","",Asistencia!H87)</f>
        <v/>
      </c>
      <c r="BN84" t="str">
        <f>IF(Asistencia!I87="","",Asistencia!I87)</f>
        <v/>
      </c>
      <c r="BO84" t="str">
        <f>IF(Asistencia!J87="","",Asistencia!J87)</f>
        <v/>
      </c>
      <c r="BP84" t="str">
        <f>IF(Asistencia!K87="","",Asistencia!K87)</f>
        <v/>
      </c>
      <c r="BQ84" t="str">
        <f>IF(Asistencia!L87="","",Asistencia!L87)</f>
        <v/>
      </c>
    </row>
    <row r="85" spans="1:69" ht="15.75" customHeight="1" x14ac:dyDescent="0.25">
      <c r="A85" s="46" t="str">
        <f t="shared" si="42"/>
        <v/>
      </c>
      <c r="B85" s="47" t="str">
        <f t="shared" si="43"/>
        <v/>
      </c>
      <c r="C85" s="47"/>
      <c r="D85" s="47"/>
      <c r="E85" s="46" t="str">
        <f t="shared" si="44"/>
        <v/>
      </c>
      <c r="F85" s="45" t="str">
        <f t="shared" si="45"/>
        <v/>
      </c>
      <c r="G85" s="44" t="str">
        <f t="shared" si="46"/>
        <v/>
      </c>
      <c r="H85" s="44" t="str">
        <f t="shared" si="47"/>
        <v/>
      </c>
      <c r="I85" s="44" t="str">
        <f t="shared" si="48"/>
        <v/>
      </c>
      <c r="J85" s="44" t="str">
        <f t="shared" si="49"/>
        <v/>
      </c>
      <c r="K85" s="44" t="str">
        <f t="shared" si="50"/>
        <v/>
      </c>
      <c r="L85" s="44" t="str">
        <f t="shared" si="51"/>
        <v/>
      </c>
      <c r="M85" s="43" t="str">
        <f t="shared" si="52"/>
        <v/>
      </c>
      <c r="N85" s="41" t="str">
        <f t="shared" si="53"/>
        <v/>
      </c>
      <c r="O85" s="41" t="str">
        <f t="shared" si="54"/>
        <v/>
      </c>
      <c r="P85" s="41" t="str">
        <f t="shared" si="55"/>
        <v/>
      </c>
      <c r="Q85" s="41" t="str">
        <f t="shared" si="56"/>
        <v/>
      </c>
      <c r="R85" s="41" t="str">
        <f t="shared" si="57"/>
        <v/>
      </c>
      <c r="S85" s="41"/>
      <c r="T85" s="48"/>
      <c r="U85" s="41" t="str">
        <f t="shared" si="58"/>
        <v/>
      </c>
      <c r="V85" s="41"/>
      <c r="W85" s="42" t="str">
        <f t="shared" si="59"/>
        <v/>
      </c>
      <c r="Y85" t="str">
        <f>IFERROR(MATCH(81,$AH$5:$AH$323,0),"")</f>
        <v/>
      </c>
      <c r="Z85" t="str">
        <f t="shared" si="60"/>
        <v/>
      </c>
      <c r="AA85" t="str">
        <f t="shared" si="61"/>
        <v/>
      </c>
      <c r="AB85" t="str">
        <f>IF(Asistencia!A90="","",Asistencia!A90)</f>
        <v/>
      </c>
      <c r="AC85" t="str">
        <f>IF(Asistencia!A90="","",SUBSTITUTE(SUBSTITUTE(SUBSTITUTE(SUBSTITUTE(SUBSTITUTE(SUBSTITUTE(SUBSTITUTE(UPPER(TRIM(Asistencia!A90)),"Á","A"),"É","E"),"Í","I"),"Ó","O"),"Ú","U"),"Ñ","N"),"  "," "))</f>
        <v/>
      </c>
      <c r="AD85" t="str">
        <f>IF(Asistencia!E90="","",Asistencia!E90)</f>
        <v/>
      </c>
      <c r="AE85" t="str">
        <f>IF(Asistencia!D90="","",UPPER(TRIM(Asistencia!D90)))</f>
        <v/>
      </c>
      <c r="AF85" t="s">
        <v>190</v>
      </c>
      <c r="AG85">
        <f>IF(AND(AA85&lt;&gt;"",COUNTIF($AA$5:AA85,AA85)=1),1,0)</f>
        <v>0</v>
      </c>
      <c r="AH85" t="str">
        <f>IF(AG85=1,SUM($AG$5:AG85),"")</f>
        <v/>
      </c>
      <c r="AI85">
        <f>IF(OR(EXACT(Asistencia!F90,"A"),EXACT(Asistencia!F90,"R"),EXACT(Asistencia!F90,"DL"),EXACT(Asistencia!F90,"FL"),EXACT(Asistencia!F90,"FE"),EXACT(Asistencia!F90,"PCS"),EXACT(Asistencia!F90,"V")),1,0)</f>
        <v>0</v>
      </c>
      <c r="AJ85">
        <f>IF(OR(EXACT(Asistencia!G90,"A"),EXACT(Asistencia!G90,"R"),EXACT(Asistencia!G90,"DL"),EXACT(Asistencia!G90,"FL"),EXACT(Asistencia!G90,"FE"),EXACT(Asistencia!G90,"PCS"),EXACT(Asistencia!G90,"V")),1,0)</f>
        <v>0</v>
      </c>
      <c r="AK85">
        <f>IF(OR(EXACT(Asistencia!H90,"A"),EXACT(Asistencia!H90,"R"),EXACT(Asistencia!H90,"DL"),EXACT(Asistencia!H90,"FL"),EXACT(Asistencia!H90,"FE"),EXACT(Asistencia!H90,"PCS"),EXACT(Asistencia!H90,"V")),1,0)</f>
        <v>0</v>
      </c>
      <c r="AL85">
        <f>IF(OR(EXACT(Asistencia!I90,"A"),EXACT(Asistencia!I90,"R"),EXACT(Asistencia!I90,"DL"),EXACT(Asistencia!I90,"FL"),EXACT(Asistencia!I90,"FE"),EXACT(Asistencia!I90,"PCS"),EXACT(Asistencia!I90,"V")),1,0)</f>
        <v>0</v>
      </c>
      <c r="AM85">
        <f>IF(OR(EXACT(Asistencia!J90,"A"),EXACT(Asistencia!J90,"R"),EXACT(Asistencia!J90,"DL"),EXACT(Asistencia!J90,"FL"),EXACT(Asistencia!J90,"FE"),EXACT(Asistencia!J90,"PCS"),EXACT(Asistencia!J90,"V")),1,0)</f>
        <v>0</v>
      </c>
      <c r="AN85">
        <f>IF(OR(EXACT(Asistencia!K90,"A"),EXACT(Asistencia!K90,"R"),EXACT(Asistencia!K90,"DL"),EXACT(Asistencia!K90,"FL"),EXACT(Asistencia!K90,"FE"),EXACT(Asistencia!K90,"PCS"),EXACT(Asistencia!K90,"V")),1,0)</f>
        <v>0</v>
      </c>
      <c r="AO85">
        <f>IF(OR(EXACT(Asistencia!L90,"A"),EXACT(Asistencia!L90,"R"),EXACT(Asistencia!L90,"DL"),EXACT(Asistencia!L90,"FL"),EXACT(Asistencia!L90,"FE"),EXACT(Asistencia!L90,"PCS"),EXACT(Asistencia!L90,"V")),1,0)</f>
        <v>0</v>
      </c>
      <c r="AP85">
        <f t="shared" si="62"/>
        <v>0</v>
      </c>
      <c r="AQ85">
        <f>IF(EXACT(Asistencia!F90,"FL"),1,0)</f>
        <v>0</v>
      </c>
      <c r="AR85">
        <f>IF(EXACT(Asistencia!G90,"FL"),1,0)</f>
        <v>0</v>
      </c>
      <c r="AS85">
        <f>IF(EXACT(Asistencia!H90,"FL"),1,0)</f>
        <v>0</v>
      </c>
      <c r="AT85">
        <f>IF(EXACT(Asistencia!I90,"FL"),1,0)</f>
        <v>0</v>
      </c>
      <c r="AU85">
        <f>IF(EXACT(Asistencia!J90,"FL"),1,0)</f>
        <v>0</v>
      </c>
      <c r="AV85">
        <f>IF(EXACT(Asistencia!K90,"FL"),1,0)</f>
        <v>0</v>
      </c>
      <c r="AW85">
        <f>IF(EXACT(Asistencia!L90,"FL"),1,0)</f>
        <v>0</v>
      </c>
      <c r="AX85">
        <f t="shared" si="63"/>
        <v>0</v>
      </c>
      <c r="AY85">
        <f>IF(EXACT(Asistencia!F90,"DL"),1,0)</f>
        <v>0</v>
      </c>
      <c r="AZ85">
        <f>IF(EXACT(Asistencia!G90,"DL"),1,0)</f>
        <v>0</v>
      </c>
      <c r="BA85">
        <f>IF(EXACT(Asistencia!H90,"DL"),1,0)</f>
        <v>0</v>
      </c>
      <c r="BB85">
        <f>IF(EXACT(Asistencia!I90,"DL"),1,0)</f>
        <v>0</v>
      </c>
      <c r="BC85">
        <f>IF(EXACT(Asistencia!J90,"DL"),1,0)</f>
        <v>0</v>
      </c>
      <c r="BD85">
        <f>IF(EXACT(Asistencia!K90,"DL"),1,0)</f>
        <v>0</v>
      </c>
      <c r="BE85">
        <f>IF(EXACT(Asistencia!L90,"DL"),1,0)</f>
        <v>0</v>
      </c>
      <c r="BF85">
        <f t="shared" si="64"/>
        <v>0</v>
      </c>
      <c r="BG85">
        <f>IF(ISNUMBER(Asistencia!M90),Asistencia!M90,0)</f>
        <v>0</v>
      </c>
      <c r="BH85">
        <f>IF(ISNUMBER(Asistencia!N90),Asistencia!N90,0)</f>
        <v>0</v>
      </c>
      <c r="BI85">
        <f>IF(ISNUMBER(Asistencia!O90),Asistencia!O90,0)</f>
        <v>0</v>
      </c>
      <c r="BJ85">
        <f>IF(ISNUMBER(Asistencia!P90),Asistencia!P90,0)</f>
        <v>0</v>
      </c>
      <c r="BK85" t="str">
        <f>IF(Asistencia!F90="","",Asistencia!F90)</f>
        <v/>
      </c>
      <c r="BL85" t="str">
        <f>IF(Asistencia!G90="","",Asistencia!G90)</f>
        <v/>
      </c>
      <c r="BM85" t="str">
        <f>IF(Asistencia!H90="","",Asistencia!H90)</f>
        <v/>
      </c>
      <c r="BN85" t="str">
        <f>IF(Asistencia!I90="","",Asistencia!I90)</f>
        <v/>
      </c>
      <c r="BO85" t="str">
        <f>IF(Asistencia!J90="","",Asistencia!J90)</f>
        <v/>
      </c>
      <c r="BP85" t="str">
        <f>IF(Asistencia!K90="","",Asistencia!K90)</f>
        <v/>
      </c>
      <c r="BQ85" t="str">
        <f>IF(Asistencia!L90="","",Asistencia!L90)</f>
        <v/>
      </c>
    </row>
    <row r="86" spans="1:69" ht="15.75" customHeight="1" x14ac:dyDescent="0.25">
      <c r="A86" s="46" t="str">
        <f t="shared" si="42"/>
        <v/>
      </c>
      <c r="B86" s="47" t="str">
        <f t="shared" si="43"/>
        <v/>
      </c>
      <c r="C86" s="47"/>
      <c r="D86" s="47"/>
      <c r="E86" s="46" t="str">
        <f t="shared" si="44"/>
        <v/>
      </c>
      <c r="F86" s="45" t="str">
        <f t="shared" si="45"/>
        <v/>
      </c>
      <c r="G86" s="44" t="str">
        <f t="shared" si="46"/>
        <v/>
      </c>
      <c r="H86" s="44" t="str">
        <f t="shared" si="47"/>
        <v/>
      </c>
      <c r="I86" s="44" t="str">
        <f t="shared" si="48"/>
        <v/>
      </c>
      <c r="J86" s="44" t="str">
        <f t="shared" si="49"/>
        <v/>
      </c>
      <c r="K86" s="44" t="str">
        <f t="shared" si="50"/>
        <v/>
      </c>
      <c r="L86" s="44" t="str">
        <f t="shared" si="51"/>
        <v/>
      </c>
      <c r="M86" s="43" t="str">
        <f t="shared" si="52"/>
        <v/>
      </c>
      <c r="N86" s="41" t="str">
        <f t="shared" si="53"/>
        <v/>
      </c>
      <c r="O86" s="41" t="str">
        <f t="shared" si="54"/>
        <v/>
      </c>
      <c r="P86" s="41" t="str">
        <f t="shared" si="55"/>
        <v/>
      </c>
      <c r="Q86" s="41" t="str">
        <f t="shared" si="56"/>
        <v/>
      </c>
      <c r="R86" s="41" t="str">
        <f t="shared" si="57"/>
        <v/>
      </c>
      <c r="S86" s="41"/>
      <c r="T86" s="48"/>
      <c r="U86" s="41" t="str">
        <f t="shared" si="58"/>
        <v/>
      </c>
      <c r="V86" s="41"/>
      <c r="W86" s="42" t="str">
        <f t="shared" si="59"/>
        <v/>
      </c>
      <c r="Y86" t="str">
        <f>IFERROR(MATCH(82,$AH$5:$AH$323,0),"")</f>
        <v/>
      </c>
      <c r="Z86" t="str">
        <f t="shared" si="60"/>
        <v/>
      </c>
      <c r="AA86" t="str">
        <f t="shared" si="61"/>
        <v/>
      </c>
      <c r="AB86" t="str">
        <f>IF(Asistencia!A91="","",Asistencia!A91)</f>
        <v/>
      </c>
      <c r="AC86" t="str">
        <f>IF(Asistencia!A91="","",SUBSTITUTE(SUBSTITUTE(SUBSTITUTE(SUBSTITUTE(SUBSTITUTE(SUBSTITUTE(SUBSTITUTE(UPPER(TRIM(Asistencia!A91)),"Á","A"),"É","E"),"Í","I"),"Ó","O"),"Ú","U"),"Ñ","N"),"  "," "))</f>
        <v/>
      </c>
      <c r="AD86" t="str">
        <f>IF(Asistencia!E91="","",Asistencia!E91)</f>
        <v/>
      </c>
      <c r="AE86" t="str">
        <f>IF(Asistencia!D91="","",UPPER(TRIM(Asistencia!D91)))</f>
        <v/>
      </c>
      <c r="AF86" t="s">
        <v>190</v>
      </c>
      <c r="AG86">
        <f>IF(AND(AA86&lt;&gt;"",COUNTIF($AA$5:AA86,AA86)=1),1,0)</f>
        <v>0</v>
      </c>
      <c r="AH86" t="str">
        <f>IF(AG86=1,SUM($AG$5:AG86),"")</f>
        <v/>
      </c>
      <c r="AI86">
        <f>IF(OR(EXACT(Asistencia!F91,"A"),EXACT(Asistencia!F91,"R"),EXACT(Asistencia!F91,"DL"),EXACT(Asistencia!F91,"FL"),EXACT(Asistencia!F91,"FE"),EXACT(Asistencia!F91,"PCS"),EXACT(Asistencia!F91,"V")),1,0)</f>
        <v>0</v>
      </c>
      <c r="AJ86">
        <f>IF(OR(EXACT(Asistencia!G91,"A"),EXACT(Asistencia!G91,"R"),EXACT(Asistencia!G91,"DL"),EXACT(Asistencia!G91,"FL"),EXACT(Asistencia!G91,"FE"),EXACT(Asistencia!G91,"PCS"),EXACT(Asistencia!G91,"V")),1,0)</f>
        <v>0</v>
      </c>
      <c r="AK86">
        <f>IF(OR(EXACT(Asistencia!H91,"A"),EXACT(Asistencia!H91,"R"),EXACT(Asistencia!H91,"DL"),EXACT(Asistencia!H91,"FL"),EXACT(Asistencia!H91,"FE"),EXACT(Asistencia!H91,"PCS"),EXACT(Asistencia!H91,"V")),1,0)</f>
        <v>0</v>
      </c>
      <c r="AL86">
        <f>IF(OR(EXACT(Asistencia!I91,"A"),EXACT(Asistencia!I91,"R"),EXACT(Asistencia!I91,"DL"),EXACT(Asistencia!I91,"FL"),EXACT(Asistencia!I91,"FE"),EXACT(Asistencia!I91,"PCS"),EXACT(Asistencia!I91,"V")),1,0)</f>
        <v>0</v>
      </c>
      <c r="AM86">
        <f>IF(OR(EXACT(Asistencia!J91,"A"),EXACT(Asistencia!J91,"R"),EXACT(Asistencia!J91,"DL"),EXACT(Asistencia!J91,"FL"),EXACT(Asistencia!J91,"FE"),EXACT(Asistencia!J91,"PCS"),EXACT(Asistencia!J91,"V")),1,0)</f>
        <v>0</v>
      </c>
      <c r="AN86">
        <f>IF(OR(EXACT(Asistencia!K91,"A"),EXACT(Asistencia!K91,"R"),EXACT(Asistencia!K91,"DL"),EXACT(Asistencia!K91,"FL"),EXACT(Asistencia!K91,"FE"),EXACT(Asistencia!K91,"PCS"),EXACT(Asistencia!K91,"V")),1,0)</f>
        <v>0</v>
      </c>
      <c r="AO86">
        <f>IF(OR(EXACT(Asistencia!L91,"A"),EXACT(Asistencia!L91,"R"),EXACT(Asistencia!L91,"DL"),EXACT(Asistencia!L91,"FL"),EXACT(Asistencia!L91,"FE"),EXACT(Asistencia!L91,"PCS"),EXACT(Asistencia!L91,"V")),1,0)</f>
        <v>0</v>
      </c>
      <c r="AP86">
        <f t="shared" si="62"/>
        <v>0</v>
      </c>
      <c r="AQ86">
        <f>IF(EXACT(Asistencia!F91,"FL"),1,0)</f>
        <v>0</v>
      </c>
      <c r="AR86">
        <f>IF(EXACT(Asistencia!G91,"FL"),1,0)</f>
        <v>0</v>
      </c>
      <c r="AS86">
        <f>IF(EXACT(Asistencia!H91,"FL"),1,0)</f>
        <v>0</v>
      </c>
      <c r="AT86">
        <f>IF(EXACT(Asistencia!I91,"FL"),1,0)</f>
        <v>0</v>
      </c>
      <c r="AU86">
        <f>IF(EXACT(Asistencia!J91,"FL"),1,0)</f>
        <v>0</v>
      </c>
      <c r="AV86">
        <f>IF(EXACT(Asistencia!K91,"FL"),1,0)</f>
        <v>0</v>
      </c>
      <c r="AW86">
        <f>IF(EXACT(Asistencia!L91,"FL"),1,0)</f>
        <v>0</v>
      </c>
      <c r="AX86">
        <f t="shared" si="63"/>
        <v>0</v>
      </c>
      <c r="AY86">
        <f>IF(EXACT(Asistencia!F91,"DL"),1,0)</f>
        <v>0</v>
      </c>
      <c r="AZ86">
        <f>IF(EXACT(Asistencia!G91,"DL"),1,0)</f>
        <v>0</v>
      </c>
      <c r="BA86">
        <f>IF(EXACT(Asistencia!H91,"DL"),1,0)</f>
        <v>0</v>
      </c>
      <c r="BB86">
        <f>IF(EXACT(Asistencia!I91,"DL"),1,0)</f>
        <v>0</v>
      </c>
      <c r="BC86">
        <f>IF(EXACT(Asistencia!J91,"DL"),1,0)</f>
        <v>0</v>
      </c>
      <c r="BD86">
        <f>IF(EXACT(Asistencia!K91,"DL"),1,0)</f>
        <v>0</v>
      </c>
      <c r="BE86">
        <f>IF(EXACT(Asistencia!L91,"DL"),1,0)</f>
        <v>0</v>
      </c>
      <c r="BF86">
        <f t="shared" si="64"/>
        <v>0</v>
      </c>
      <c r="BG86">
        <f>IF(ISNUMBER(Asistencia!M91),Asistencia!M91,0)</f>
        <v>0</v>
      </c>
      <c r="BH86">
        <f>IF(ISNUMBER(Asistencia!N91),Asistencia!N91,0)</f>
        <v>0</v>
      </c>
      <c r="BI86">
        <f>IF(ISNUMBER(Asistencia!O91),Asistencia!O91,0)</f>
        <v>0</v>
      </c>
      <c r="BJ86">
        <f>IF(ISNUMBER(Asistencia!P91),Asistencia!P91,0)</f>
        <v>0</v>
      </c>
      <c r="BK86" t="str">
        <f>IF(Asistencia!F91="","",Asistencia!F91)</f>
        <v/>
      </c>
      <c r="BL86" t="str">
        <f>IF(Asistencia!G91="","",Asistencia!G91)</f>
        <v/>
      </c>
      <c r="BM86" t="str">
        <f>IF(Asistencia!H91="","",Asistencia!H91)</f>
        <v/>
      </c>
      <c r="BN86" t="str">
        <f>IF(Asistencia!I91="","",Asistencia!I91)</f>
        <v/>
      </c>
      <c r="BO86" t="str">
        <f>IF(Asistencia!J91="","",Asistencia!J91)</f>
        <v/>
      </c>
      <c r="BP86" t="str">
        <f>IF(Asistencia!K91="","",Asistencia!K91)</f>
        <v/>
      </c>
      <c r="BQ86" t="str">
        <f>IF(Asistencia!L91="","",Asistencia!L91)</f>
        <v/>
      </c>
    </row>
    <row r="87" spans="1:69" ht="15.75" customHeight="1" x14ac:dyDescent="0.25">
      <c r="A87" s="46" t="str">
        <f t="shared" si="42"/>
        <v/>
      </c>
      <c r="B87" s="47" t="str">
        <f t="shared" si="43"/>
        <v/>
      </c>
      <c r="C87" s="47"/>
      <c r="D87" s="47"/>
      <c r="E87" s="46" t="str">
        <f t="shared" si="44"/>
        <v/>
      </c>
      <c r="F87" s="45" t="str">
        <f t="shared" si="45"/>
        <v/>
      </c>
      <c r="G87" s="44" t="str">
        <f t="shared" si="46"/>
        <v/>
      </c>
      <c r="H87" s="44" t="str">
        <f t="shared" si="47"/>
        <v/>
      </c>
      <c r="I87" s="44" t="str">
        <f t="shared" si="48"/>
        <v/>
      </c>
      <c r="J87" s="44" t="str">
        <f t="shared" si="49"/>
        <v/>
      </c>
      <c r="K87" s="44" t="str">
        <f t="shared" si="50"/>
        <v/>
      </c>
      <c r="L87" s="44" t="str">
        <f t="shared" si="51"/>
        <v/>
      </c>
      <c r="M87" s="43" t="str">
        <f t="shared" si="52"/>
        <v/>
      </c>
      <c r="N87" s="41" t="str">
        <f t="shared" si="53"/>
        <v/>
      </c>
      <c r="O87" s="41" t="str">
        <f t="shared" si="54"/>
        <v/>
      </c>
      <c r="P87" s="41" t="str">
        <f t="shared" si="55"/>
        <v/>
      </c>
      <c r="Q87" s="41" t="str">
        <f t="shared" si="56"/>
        <v/>
      </c>
      <c r="R87" s="41" t="str">
        <f t="shared" si="57"/>
        <v/>
      </c>
      <c r="S87" s="41"/>
      <c r="T87" s="48"/>
      <c r="U87" s="41" t="str">
        <f t="shared" si="58"/>
        <v/>
      </c>
      <c r="V87" s="41"/>
      <c r="W87" s="42" t="str">
        <f t="shared" si="59"/>
        <v/>
      </c>
      <c r="Y87" t="str">
        <f>IFERROR(MATCH(83,$AH$5:$AH$323,0),"")</f>
        <v/>
      </c>
      <c r="Z87" t="str">
        <f t="shared" si="60"/>
        <v/>
      </c>
      <c r="AA87" t="str">
        <f t="shared" si="61"/>
        <v/>
      </c>
      <c r="AB87" t="str">
        <f>IF(Asistencia!A92="","",Asistencia!A92)</f>
        <v/>
      </c>
      <c r="AC87" t="str">
        <f>IF(Asistencia!A92="","",SUBSTITUTE(SUBSTITUTE(SUBSTITUTE(SUBSTITUTE(SUBSTITUTE(SUBSTITUTE(SUBSTITUTE(UPPER(TRIM(Asistencia!A92)),"Á","A"),"É","E"),"Í","I"),"Ó","O"),"Ú","U"),"Ñ","N"),"  "," "))</f>
        <v/>
      </c>
      <c r="AD87" t="str">
        <f>IF(Asistencia!E92="","",Asistencia!E92)</f>
        <v/>
      </c>
      <c r="AE87" t="str">
        <f>IF(Asistencia!D92="","",UPPER(TRIM(Asistencia!D92)))</f>
        <v/>
      </c>
      <c r="AF87" t="s">
        <v>190</v>
      </c>
      <c r="AG87">
        <f>IF(AND(AA87&lt;&gt;"",COUNTIF($AA$5:AA87,AA87)=1),1,0)</f>
        <v>0</v>
      </c>
      <c r="AH87" t="str">
        <f>IF(AG87=1,SUM($AG$5:AG87),"")</f>
        <v/>
      </c>
      <c r="AI87">
        <f>IF(OR(EXACT(Asistencia!F92,"A"),EXACT(Asistencia!F92,"R"),EXACT(Asistencia!F92,"DL"),EXACT(Asistencia!F92,"FL"),EXACT(Asistencia!F92,"FE"),EXACT(Asistencia!F92,"PCS"),EXACT(Asistencia!F92,"V")),1,0)</f>
        <v>0</v>
      </c>
      <c r="AJ87">
        <f>IF(OR(EXACT(Asistencia!G92,"A"),EXACT(Asistencia!G92,"R"),EXACT(Asistencia!G92,"DL"),EXACT(Asistencia!G92,"FL"),EXACT(Asistencia!G92,"FE"),EXACT(Asistencia!G92,"PCS"),EXACT(Asistencia!G92,"V")),1,0)</f>
        <v>0</v>
      </c>
      <c r="AK87">
        <f>IF(OR(EXACT(Asistencia!H92,"A"),EXACT(Asistencia!H92,"R"),EXACT(Asistencia!H92,"DL"),EXACT(Asistencia!H92,"FL"),EXACT(Asistencia!H92,"FE"),EXACT(Asistencia!H92,"PCS"),EXACT(Asistencia!H92,"V")),1,0)</f>
        <v>0</v>
      </c>
      <c r="AL87">
        <f>IF(OR(EXACT(Asistencia!I92,"A"),EXACT(Asistencia!I92,"R"),EXACT(Asistencia!I92,"DL"),EXACT(Asistencia!I92,"FL"),EXACT(Asistencia!I92,"FE"),EXACT(Asistencia!I92,"PCS"),EXACT(Asistencia!I92,"V")),1,0)</f>
        <v>0</v>
      </c>
      <c r="AM87">
        <f>IF(OR(EXACT(Asistencia!J92,"A"),EXACT(Asistencia!J92,"R"),EXACT(Asistencia!J92,"DL"),EXACT(Asistencia!J92,"FL"),EXACT(Asistencia!J92,"FE"),EXACT(Asistencia!J92,"PCS"),EXACT(Asistencia!J92,"V")),1,0)</f>
        <v>0</v>
      </c>
      <c r="AN87">
        <f>IF(OR(EXACT(Asistencia!K92,"A"),EXACT(Asistencia!K92,"R"),EXACT(Asistencia!K92,"DL"),EXACT(Asistencia!K92,"FL"),EXACT(Asistencia!K92,"FE"),EXACT(Asistencia!K92,"PCS"),EXACT(Asistencia!K92,"V")),1,0)</f>
        <v>0</v>
      </c>
      <c r="AO87">
        <f>IF(OR(EXACT(Asistencia!L92,"A"),EXACT(Asistencia!L92,"R"),EXACT(Asistencia!L92,"DL"),EXACT(Asistencia!L92,"FL"),EXACT(Asistencia!L92,"FE"),EXACT(Asistencia!L92,"PCS"),EXACT(Asistencia!L92,"V")),1,0)</f>
        <v>0</v>
      </c>
      <c r="AP87">
        <f t="shared" si="62"/>
        <v>0</v>
      </c>
      <c r="AQ87">
        <f>IF(EXACT(Asistencia!F92,"FL"),1,0)</f>
        <v>0</v>
      </c>
      <c r="AR87">
        <f>IF(EXACT(Asistencia!G92,"FL"),1,0)</f>
        <v>0</v>
      </c>
      <c r="AS87">
        <f>IF(EXACT(Asistencia!H92,"FL"),1,0)</f>
        <v>0</v>
      </c>
      <c r="AT87">
        <f>IF(EXACT(Asistencia!I92,"FL"),1,0)</f>
        <v>0</v>
      </c>
      <c r="AU87">
        <f>IF(EXACT(Asistencia!J92,"FL"),1,0)</f>
        <v>0</v>
      </c>
      <c r="AV87">
        <f>IF(EXACT(Asistencia!K92,"FL"),1,0)</f>
        <v>0</v>
      </c>
      <c r="AW87">
        <f>IF(EXACT(Asistencia!L92,"FL"),1,0)</f>
        <v>0</v>
      </c>
      <c r="AX87">
        <f t="shared" si="63"/>
        <v>0</v>
      </c>
      <c r="AY87">
        <f>IF(EXACT(Asistencia!F92,"DL"),1,0)</f>
        <v>0</v>
      </c>
      <c r="AZ87">
        <f>IF(EXACT(Asistencia!G92,"DL"),1,0)</f>
        <v>0</v>
      </c>
      <c r="BA87">
        <f>IF(EXACT(Asistencia!H92,"DL"),1,0)</f>
        <v>0</v>
      </c>
      <c r="BB87">
        <f>IF(EXACT(Asistencia!I92,"DL"),1,0)</f>
        <v>0</v>
      </c>
      <c r="BC87">
        <f>IF(EXACT(Asistencia!J92,"DL"),1,0)</f>
        <v>0</v>
      </c>
      <c r="BD87">
        <f>IF(EXACT(Asistencia!K92,"DL"),1,0)</f>
        <v>0</v>
      </c>
      <c r="BE87">
        <f>IF(EXACT(Asistencia!L92,"DL"),1,0)</f>
        <v>0</v>
      </c>
      <c r="BF87">
        <f t="shared" si="64"/>
        <v>0</v>
      </c>
      <c r="BG87">
        <f>IF(ISNUMBER(Asistencia!M92),Asistencia!M92,0)</f>
        <v>0</v>
      </c>
      <c r="BH87">
        <f>IF(ISNUMBER(Asistencia!N92),Asistencia!N92,0)</f>
        <v>0</v>
      </c>
      <c r="BI87">
        <f>IF(ISNUMBER(Asistencia!O92),Asistencia!O92,0)</f>
        <v>0</v>
      </c>
      <c r="BJ87">
        <f>IF(ISNUMBER(Asistencia!P92),Asistencia!P92,0)</f>
        <v>0</v>
      </c>
      <c r="BK87" t="str">
        <f>IF(Asistencia!F92="","",Asistencia!F92)</f>
        <v/>
      </c>
      <c r="BL87" t="str">
        <f>IF(Asistencia!G92="","",Asistencia!G92)</f>
        <v/>
      </c>
      <c r="BM87" t="str">
        <f>IF(Asistencia!H92="","",Asistencia!H92)</f>
        <v/>
      </c>
      <c r="BN87" t="str">
        <f>IF(Asistencia!I92="","",Asistencia!I92)</f>
        <v/>
      </c>
      <c r="BO87" t="str">
        <f>IF(Asistencia!J92="","",Asistencia!J92)</f>
        <v/>
      </c>
      <c r="BP87" t="str">
        <f>IF(Asistencia!K92="","",Asistencia!K92)</f>
        <v/>
      </c>
      <c r="BQ87" t="str">
        <f>IF(Asistencia!L92="","",Asistencia!L92)</f>
        <v/>
      </c>
    </row>
    <row r="88" spans="1:69" ht="15.75" customHeight="1" x14ac:dyDescent="0.25">
      <c r="A88" s="46" t="str">
        <f t="shared" si="42"/>
        <v/>
      </c>
      <c r="B88" s="47" t="str">
        <f t="shared" si="43"/>
        <v/>
      </c>
      <c r="C88" s="47"/>
      <c r="D88" s="47"/>
      <c r="E88" s="46" t="str">
        <f t="shared" si="44"/>
        <v/>
      </c>
      <c r="F88" s="45" t="str">
        <f t="shared" si="45"/>
        <v/>
      </c>
      <c r="G88" s="44" t="str">
        <f t="shared" si="46"/>
        <v/>
      </c>
      <c r="H88" s="44" t="str">
        <f t="shared" si="47"/>
        <v/>
      </c>
      <c r="I88" s="44" t="str">
        <f t="shared" si="48"/>
        <v/>
      </c>
      <c r="J88" s="44" t="str">
        <f t="shared" si="49"/>
        <v/>
      </c>
      <c r="K88" s="44" t="str">
        <f t="shared" si="50"/>
        <v/>
      </c>
      <c r="L88" s="44" t="str">
        <f t="shared" si="51"/>
        <v/>
      </c>
      <c r="M88" s="43" t="str">
        <f t="shared" si="52"/>
        <v/>
      </c>
      <c r="N88" s="41" t="str">
        <f t="shared" si="53"/>
        <v/>
      </c>
      <c r="O88" s="41" t="str">
        <f t="shared" si="54"/>
        <v/>
      </c>
      <c r="P88" s="41" t="str">
        <f t="shared" si="55"/>
        <v/>
      </c>
      <c r="Q88" s="41" t="str">
        <f t="shared" si="56"/>
        <v/>
      </c>
      <c r="R88" s="41" t="str">
        <f t="shared" si="57"/>
        <v/>
      </c>
      <c r="S88" s="41"/>
      <c r="T88" s="48"/>
      <c r="U88" s="41" t="str">
        <f t="shared" si="58"/>
        <v/>
      </c>
      <c r="V88" s="41"/>
      <c r="W88" s="42" t="str">
        <f t="shared" si="59"/>
        <v/>
      </c>
      <c r="Y88" t="str">
        <f>IFERROR(MATCH(84,$AH$5:$AH$323,0),"")</f>
        <v/>
      </c>
      <c r="Z88" t="str">
        <f t="shared" si="60"/>
        <v/>
      </c>
      <c r="AA88" t="str">
        <f t="shared" si="61"/>
        <v/>
      </c>
      <c r="AB88" t="str">
        <f>IF(Asistencia!A93="","",Asistencia!A93)</f>
        <v/>
      </c>
      <c r="AC88" t="str">
        <f>IF(Asistencia!A93="","",SUBSTITUTE(SUBSTITUTE(SUBSTITUTE(SUBSTITUTE(SUBSTITUTE(SUBSTITUTE(SUBSTITUTE(UPPER(TRIM(Asistencia!A93)),"Á","A"),"É","E"),"Í","I"),"Ó","O"),"Ú","U"),"Ñ","N"),"  "," "))</f>
        <v/>
      </c>
      <c r="AD88" t="str">
        <f>IF(Asistencia!E93="","",Asistencia!E93)</f>
        <v/>
      </c>
      <c r="AE88" t="str">
        <f>IF(Asistencia!D93="","",UPPER(TRIM(Asistencia!D93)))</f>
        <v/>
      </c>
      <c r="AF88" t="s">
        <v>190</v>
      </c>
      <c r="AG88">
        <f>IF(AND(AA88&lt;&gt;"",COUNTIF($AA$5:AA88,AA88)=1),1,0)</f>
        <v>0</v>
      </c>
      <c r="AH88" t="str">
        <f>IF(AG88=1,SUM($AG$5:AG88),"")</f>
        <v/>
      </c>
      <c r="AI88">
        <f>IF(OR(EXACT(Asistencia!F93,"A"),EXACT(Asistencia!F93,"R"),EXACT(Asistencia!F93,"DL"),EXACT(Asistencia!F93,"FL"),EXACT(Asistencia!F93,"FE"),EXACT(Asistencia!F93,"PCS"),EXACT(Asistencia!F93,"V")),1,0)</f>
        <v>0</v>
      </c>
      <c r="AJ88">
        <f>IF(OR(EXACT(Asistencia!G93,"A"),EXACT(Asistencia!G93,"R"),EXACT(Asistencia!G93,"DL"),EXACT(Asistencia!G93,"FL"),EXACT(Asistencia!G93,"FE"),EXACT(Asistencia!G93,"PCS"),EXACT(Asistencia!G93,"V")),1,0)</f>
        <v>0</v>
      </c>
      <c r="AK88">
        <f>IF(OR(EXACT(Asistencia!H93,"A"),EXACT(Asistencia!H93,"R"),EXACT(Asistencia!H93,"DL"),EXACT(Asistencia!H93,"FL"),EXACT(Asistencia!H93,"FE"),EXACT(Asistencia!H93,"PCS"),EXACT(Asistencia!H93,"V")),1,0)</f>
        <v>0</v>
      </c>
      <c r="AL88">
        <f>IF(OR(EXACT(Asistencia!I93,"A"),EXACT(Asistencia!I93,"R"),EXACT(Asistencia!I93,"DL"),EXACT(Asistencia!I93,"FL"),EXACT(Asistencia!I93,"FE"),EXACT(Asistencia!I93,"PCS"),EXACT(Asistencia!I93,"V")),1,0)</f>
        <v>0</v>
      </c>
      <c r="AM88">
        <f>IF(OR(EXACT(Asistencia!J93,"A"),EXACT(Asistencia!J93,"R"),EXACT(Asistencia!J93,"DL"),EXACT(Asistencia!J93,"FL"),EXACT(Asistencia!J93,"FE"),EXACT(Asistencia!J93,"PCS"),EXACT(Asistencia!J93,"V")),1,0)</f>
        <v>0</v>
      </c>
      <c r="AN88">
        <f>IF(OR(EXACT(Asistencia!K93,"A"),EXACT(Asistencia!K93,"R"),EXACT(Asistencia!K93,"DL"),EXACT(Asistencia!K93,"FL"),EXACT(Asistencia!K93,"FE"),EXACT(Asistencia!K93,"PCS"),EXACT(Asistencia!K93,"V")),1,0)</f>
        <v>0</v>
      </c>
      <c r="AO88">
        <f>IF(OR(EXACT(Asistencia!L93,"A"),EXACT(Asistencia!L93,"R"),EXACT(Asistencia!L93,"DL"),EXACT(Asistencia!L93,"FL"),EXACT(Asistencia!L93,"FE"),EXACT(Asistencia!L93,"PCS"),EXACT(Asistencia!L93,"V")),1,0)</f>
        <v>0</v>
      </c>
      <c r="AP88">
        <f t="shared" si="62"/>
        <v>0</v>
      </c>
      <c r="AQ88">
        <f>IF(EXACT(Asistencia!F93,"FL"),1,0)</f>
        <v>0</v>
      </c>
      <c r="AR88">
        <f>IF(EXACT(Asistencia!G93,"FL"),1,0)</f>
        <v>0</v>
      </c>
      <c r="AS88">
        <f>IF(EXACT(Asistencia!H93,"FL"),1,0)</f>
        <v>0</v>
      </c>
      <c r="AT88">
        <f>IF(EXACT(Asistencia!I93,"FL"),1,0)</f>
        <v>0</v>
      </c>
      <c r="AU88">
        <f>IF(EXACT(Asistencia!J93,"FL"),1,0)</f>
        <v>0</v>
      </c>
      <c r="AV88">
        <f>IF(EXACT(Asistencia!K93,"FL"),1,0)</f>
        <v>0</v>
      </c>
      <c r="AW88">
        <f>IF(EXACT(Asistencia!L93,"FL"),1,0)</f>
        <v>0</v>
      </c>
      <c r="AX88">
        <f t="shared" si="63"/>
        <v>0</v>
      </c>
      <c r="AY88">
        <f>IF(EXACT(Asistencia!F93,"DL"),1,0)</f>
        <v>0</v>
      </c>
      <c r="AZ88">
        <f>IF(EXACT(Asistencia!G93,"DL"),1,0)</f>
        <v>0</v>
      </c>
      <c r="BA88">
        <f>IF(EXACT(Asistencia!H93,"DL"),1,0)</f>
        <v>0</v>
      </c>
      <c r="BB88">
        <f>IF(EXACT(Asistencia!I93,"DL"),1,0)</f>
        <v>0</v>
      </c>
      <c r="BC88">
        <f>IF(EXACT(Asistencia!J93,"DL"),1,0)</f>
        <v>0</v>
      </c>
      <c r="BD88">
        <f>IF(EXACT(Asistencia!K93,"DL"),1,0)</f>
        <v>0</v>
      </c>
      <c r="BE88">
        <f>IF(EXACT(Asistencia!L93,"DL"),1,0)</f>
        <v>0</v>
      </c>
      <c r="BF88">
        <f t="shared" si="64"/>
        <v>0</v>
      </c>
      <c r="BG88">
        <f>IF(ISNUMBER(Asistencia!M93),Asistencia!M93,0)</f>
        <v>0</v>
      </c>
      <c r="BH88">
        <f>IF(ISNUMBER(Asistencia!N93),Asistencia!N93,0)</f>
        <v>0</v>
      </c>
      <c r="BI88">
        <f>IF(ISNUMBER(Asistencia!O93),Asistencia!O93,0)</f>
        <v>0</v>
      </c>
      <c r="BJ88">
        <f>IF(ISNUMBER(Asistencia!P93),Asistencia!P93,0)</f>
        <v>0</v>
      </c>
      <c r="BK88" t="str">
        <f>IF(Asistencia!F93="","",Asistencia!F93)</f>
        <v/>
      </c>
      <c r="BL88" t="str">
        <f>IF(Asistencia!G93="","",Asistencia!G93)</f>
        <v/>
      </c>
      <c r="BM88" t="str">
        <f>IF(Asistencia!H93="","",Asistencia!H93)</f>
        <v/>
      </c>
      <c r="BN88" t="str">
        <f>IF(Asistencia!I93="","",Asistencia!I93)</f>
        <v/>
      </c>
      <c r="BO88" t="str">
        <f>IF(Asistencia!J93="","",Asistencia!J93)</f>
        <v/>
      </c>
      <c r="BP88" t="str">
        <f>IF(Asistencia!K93="","",Asistencia!K93)</f>
        <v/>
      </c>
      <c r="BQ88" t="str">
        <f>IF(Asistencia!L93="","",Asistencia!L93)</f>
        <v/>
      </c>
    </row>
    <row r="89" spans="1:69" ht="15.75" customHeight="1" x14ac:dyDescent="0.25">
      <c r="A89" s="46" t="str">
        <f t="shared" si="42"/>
        <v/>
      </c>
      <c r="B89" s="47" t="str">
        <f t="shared" si="43"/>
        <v/>
      </c>
      <c r="C89" s="47"/>
      <c r="D89" s="47"/>
      <c r="E89" s="46" t="str">
        <f t="shared" si="44"/>
        <v/>
      </c>
      <c r="F89" s="45" t="str">
        <f t="shared" si="45"/>
        <v/>
      </c>
      <c r="G89" s="44" t="str">
        <f t="shared" si="46"/>
        <v/>
      </c>
      <c r="H89" s="44" t="str">
        <f t="shared" si="47"/>
        <v/>
      </c>
      <c r="I89" s="44" t="str">
        <f t="shared" si="48"/>
        <v/>
      </c>
      <c r="J89" s="44" t="str">
        <f t="shared" si="49"/>
        <v/>
      </c>
      <c r="K89" s="44" t="str">
        <f t="shared" si="50"/>
        <v/>
      </c>
      <c r="L89" s="44" t="str">
        <f t="shared" si="51"/>
        <v/>
      </c>
      <c r="M89" s="43" t="str">
        <f t="shared" si="52"/>
        <v/>
      </c>
      <c r="N89" s="41" t="str">
        <f t="shared" si="53"/>
        <v/>
      </c>
      <c r="O89" s="41" t="str">
        <f t="shared" si="54"/>
        <v/>
      </c>
      <c r="P89" s="41" t="str">
        <f t="shared" si="55"/>
        <v/>
      </c>
      <c r="Q89" s="41" t="str">
        <f t="shared" si="56"/>
        <v/>
      </c>
      <c r="R89" s="41" t="str">
        <f t="shared" si="57"/>
        <v/>
      </c>
      <c r="S89" s="41"/>
      <c r="T89" s="48"/>
      <c r="U89" s="41" t="str">
        <f t="shared" si="58"/>
        <v/>
      </c>
      <c r="V89" s="41"/>
      <c r="W89" s="42" t="str">
        <f t="shared" si="59"/>
        <v/>
      </c>
      <c r="Y89" t="str">
        <f>IFERROR(MATCH(85,$AH$5:$AH$323,0),"")</f>
        <v/>
      </c>
      <c r="Z89" t="str">
        <f t="shared" si="60"/>
        <v/>
      </c>
      <c r="AA89" t="str">
        <f t="shared" si="61"/>
        <v/>
      </c>
      <c r="AB89" t="str">
        <f>IF(Asistencia!A94="","",Asistencia!A94)</f>
        <v/>
      </c>
      <c r="AC89" t="str">
        <f>IF(Asistencia!A94="","",SUBSTITUTE(SUBSTITUTE(SUBSTITUTE(SUBSTITUTE(SUBSTITUTE(SUBSTITUTE(SUBSTITUTE(UPPER(TRIM(Asistencia!A94)),"Á","A"),"É","E"),"Í","I"),"Ó","O"),"Ú","U"),"Ñ","N"),"  "," "))</f>
        <v/>
      </c>
      <c r="AD89" t="str">
        <f>IF(Asistencia!E94="","",Asistencia!E94)</f>
        <v/>
      </c>
      <c r="AE89" t="str">
        <f>IF(Asistencia!D94="","",UPPER(TRIM(Asistencia!D94)))</f>
        <v/>
      </c>
      <c r="AF89" t="s">
        <v>190</v>
      </c>
      <c r="AG89">
        <f>IF(AND(AA89&lt;&gt;"",COUNTIF($AA$5:AA89,AA89)=1),1,0)</f>
        <v>0</v>
      </c>
      <c r="AH89" t="str">
        <f>IF(AG89=1,SUM($AG$5:AG89),"")</f>
        <v/>
      </c>
      <c r="AI89">
        <f>IF(OR(EXACT(Asistencia!F94,"A"),EXACT(Asistencia!F94,"R"),EXACT(Asistencia!F94,"DL"),EXACT(Asistencia!F94,"FL"),EXACT(Asistencia!F94,"FE"),EXACT(Asistencia!F94,"PCS"),EXACT(Asistencia!F94,"V")),1,0)</f>
        <v>0</v>
      </c>
      <c r="AJ89">
        <f>IF(OR(EXACT(Asistencia!G94,"A"),EXACT(Asistencia!G94,"R"),EXACT(Asistencia!G94,"DL"),EXACT(Asistencia!G94,"FL"),EXACT(Asistencia!G94,"FE"),EXACT(Asistencia!G94,"PCS"),EXACT(Asistencia!G94,"V")),1,0)</f>
        <v>0</v>
      </c>
      <c r="AK89">
        <f>IF(OR(EXACT(Asistencia!H94,"A"),EXACT(Asistencia!H94,"R"),EXACT(Asistencia!H94,"DL"),EXACT(Asistencia!H94,"FL"),EXACT(Asistencia!H94,"FE"),EXACT(Asistencia!H94,"PCS"),EXACT(Asistencia!H94,"V")),1,0)</f>
        <v>0</v>
      </c>
      <c r="AL89">
        <f>IF(OR(EXACT(Asistencia!I94,"A"),EXACT(Asistencia!I94,"R"),EXACT(Asistencia!I94,"DL"),EXACT(Asistencia!I94,"FL"),EXACT(Asistencia!I94,"FE"),EXACT(Asistencia!I94,"PCS"),EXACT(Asistencia!I94,"V")),1,0)</f>
        <v>0</v>
      </c>
      <c r="AM89">
        <f>IF(OR(EXACT(Asistencia!J94,"A"),EXACT(Asistencia!J94,"R"),EXACT(Asistencia!J94,"DL"),EXACT(Asistencia!J94,"FL"),EXACT(Asistencia!J94,"FE"),EXACT(Asistencia!J94,"PCS"),EXACT(Asistencia!J94,"V")),1,0)</f>
        <v>0</v>
      </c>
      <c r="AN89">
        <f>IF(OR(EXACT(Asistencia!K94,"A"),EXACT(Asistencia!K94,"R"),EXACT(Asistencia!K94,"DL"),EXACT(Asistencia!K94,"FL"),EXACT(Asistencia!K94,"FE"),EXACT(Asistencia!K94,"PCS"),EXACT(Asistencia!K94,"V")),1,0)</f>
        <v>0</v>
      </c>
      <c r="AO89">
        <f>IF(OR(EXACT(Asistencia!L94,"A"),EXACT(Asistencia!L94,"R"),EXACT(Asistencia!L94,"DL"),EXACT(Asistencia!L94,"FL"),EXACT(Asistencia!L94,"FE"),EXACT(Asistencia!L94,"PCS"),EXACT(Asistencia!L94,"V")),1,0)</f>
        <v>0</v>
      </c>
      <c r="AP89">
        <f t="shared" si="62"/>
        <v>0</v>
      </c>
      <c r="AQ89">
        <f>IF(EXACT(Asistencia!F94,"FL"),1,0)</f>
        <v>0</v>
      </c>
      <c r="AR89">
        <f>IF(EXACT(Asistencia!G94,"FL"),1,0)</f>
        <v>0</v>
      </c>
      <c r="AS89">
        <f>IF(EXACT(Asistencia!H94,"FL"),1,0)</f>
        <v>0</v>
      </c>
      <c r="AT89">
        <f>IF(EXACT(Asistencia!I94,"FL"),1,0)</f>
        <v>0</v>
      </c>
      <c r="AU89">
        <f>IF(EXACT(Asistencia!J94,"FL"),1,0)</f>
        <v>0</v>
      </c>
      <c r="AV89">
        <f>IF(EXACT(Asistencia!K94,"FL"),1,0)</f>
        <v>0</v>
      </c>
      <c r="AW89">
        <f>IF(EXACT(Asistencia!L94,"FL"),1,0)</f>
        <v>0</v>
      </c>
      <c r="AX89">
        <f t="shared" si="63"/>
        <v>0</v>
      </c>
      <c r="AY89">
        <f>IF(EXACT(Asistencia!F94,"DL"),1,0)</f>
        <v>0</v>
      </c>
      <c r="AZ89">
        <f>IF(EXACT(Asistencia!G94,"DL"),1,0)</f>
        <v>0</v>
      </c>
      <c r="BA89">
        <f>IF(EXACT(Asistencia!H94,"DL"),1,0)</f>
        <v>0</v>
      </c>
      <c r="BB89">
        <f>IF(EXACT(Asistencia!I94,"DL"),1,0)</f>
        <v>0</v>
      </c>
      <c r="BC89">
        <f>IF(EXACT(Asistencia!J94,"DL"),1,0)</f>
        <v>0</v>
      </c>
      <c r="BD89">
        <f>IF(EXACT(Asistencia!K94,"DL"),1,0)</f>
        <v>0</v>
      </c>
      <c r="BE89">
        <f>IF(EXACT(Asistencia!L94,"DL"),1,0)</f>
        <v>0</v>
      </c>
      <c r="BF89">
        <f t="shared" si="64"/>
        <v>0</v>
      </c>
      <c r="BG89">
        <f>IF(ISNUMBER(Asistencia!M94),Asistencia!M94,0)</f>
        <v>0</v>
      </c>
      <c r="BH89">
        <f>IF(ISNUMBER(Asistencia!N94),Asistencia!N94,0)</f>
        <v>0</v>
      </c>
      <c r="BI89">
        <f>IF(ISNUMBER(Asistencia!O94),Asistencia!O94,0)</f>
        <v>0</v>
      </c>
      <c r="BJ89">
        <f>IF(ISNUMBER(Asistencia!P94),Asistencia!P94,0)</f>
        <v>0</v>
      </c>
      <c r="BK89" t="str">
        <f>IF(Asistencia!F94="","",Asistencia!F94)</f>
        <v/>
      </c>
      <c r="BL89" t="str">
        <f>IF(Asistencia!G94="","",Asistencia!G94)</f>
        <v/>
      </c>
      <c r="BM89" t="str">
        <f>IF(Asistencia!H94="","",Asistencia!H94)</f>
        <v/>
      </c>
      <c r="BN89" t="str">
        <f>IF(Asistencia!I94="","",Asistencia!I94)</f>
        <v/>
      </c>
      <c r="BO89" t="str">
        <f>IF(Asistencia!J94="","",Asistencia!J94)</f>
        <v/>
      </c>
      <c r="BP89" t="str">
        <f>IF(Asistencia!K94="","",Asistencia!K94)</f>
        <v/>
      </c>
      <c r="BQ89" t="str">
        <f>IF(Asistencia!L94="","",Asistencia!L94)</f>
        <v/>
      </c>
    </row>
    <row r="90" spans="1:69" ht="15.75" customHeight="1" x14ac:dyDescent="0.25">
      <c r="A90" s="46" t="str">
        <f t="shared" si="42"/>
        <v/>
      </c>
      <c r="B90" s="47" t="str">
        <f t="shared" si="43"/>
        <v/>
      </c>
      <c r="C90" s="47"/>
      <c r="D90" s="47"/>
      <c r="E90" s="46" t="str">
        <f t="shared" si="44"/>
        <v/>
      </c>
      <c r="F90" s="45" t="str">
        <f t="shared" si="45"/>
        <v/>
      </c>
      <c r="G90" s="44" t="str">
        <f t="shared" si="46"/>
        <v/>
      </c>
      <c r="H90" s="44" t="str">
        <f t="shared" si="47"/>
        <v/>
      </c>
      <c r="I90" s="44" t="str">
        <f t="shared" si="48"/>
        <v/>
      </c>
      <c r="J90" s="44" t="str">
        <f t="shared" si="49"/>
        <v/>
      </c>
      <c r="K90" s="44" t="str">
        <f t="shared" si="50"/>
        <v/>
      </c>
      <c r="L90" s="44" t="str">
        <f t="shared" si="51"/>
        <v/>
      </c>
      <c r="M90" s="43" t="str">
        <f t="shared" si="52"/>
        <v/>
      </c>
      <c r="N90" s="41" t="str">
        <f t="shared" si="53"/>
        <v/>
      </c>
      <c r="O90" s="41" t="str">
        <f t="shared" si="54"/>
        <v/>
      </c>
      <c r="P90" s="41" t="str">
        <f t="shared" si="55"/>
        <v/>
      </c>
      <c r="Q90" s="41" t="str">
        <f t="shared" si="56"/>
        <v/>
      </c>
      <c r="R90" s="41" t="str">
        <f t="shared" si="57"/>
        <v/>
      </c>
      <c r="S90" s="41"/>
      <c r="T90" s="48"/>
      <c r="U90" s="41" t="str">
        <f t="shared" si="58"/>
        <v/>
      </c>
      <c r="V90" s="41"/>
      <c r="W90" s="42" t="str">
        <f t="shared" si="59"/>
        <v/>
      </c>
      <c r="Y90" t="str">
        <f>IFERROR(MATCH(86,$AH$5:$AH$323,0),"")</f>
        <v/>
      </c>
      <c r="Z90" t="str">
        <f t="shared" si="60"/>
        <v/>
      </c>
      <c r="AA90" t="str">
        <f t="shared" si="61"/>
        <v/>
      </c>
      <c r="AB90" t="str">
        <f>IF(Asistencia!A95="","",Asistencia!A95)</f>
        <v/>
      </c>
      <c r="AC90" t="str">
        <f>IF(Asistencia!A95="","",SUBSTITUTE(SUBSTITUTE(SUBSTITUTE(SUBSTITUTE(SUBSTITUTE(SUBSTITUTE(SUBSTITUTE(UPPER(TRIM(Asistencia!A95)),"Á","A"),"É","E"),"Í","I"),"Ó","O"),"Ú","U"),"Ñ","N"),"  "," "))</f>
        <v/>
      </c>
      <c r="AD90" t="str">
        <f>IF(Asistencia!E95="","",Asistencia!E95)</f>
        <v/>
      </c>
      <c r="AE90" t="str">
        <f>IF(Asistencia!D95="","",UPPER(TRIM(Asistencia!D95)))</f>
        <v/>
      </c>
      <c r="AF90" t="s">
        <v>190</v>
      </c>
      <c r="AG90">
        <f>IF(AND(AA90&lt;&gt;"",COUNTIF($AA$5:AA90,AA90)=1),1,0)</f>
        <v>0</v>
      </c>
      <c r="AH90" t="str">
        <f>IF(AG90=1,SUM($AG$5:AG90),"")</f>
        <v/>
      </c>
      <c r="AI90">
        <f>IF(OR(EXACT(Asistencia!F95,"A"),EXACT(Asistencia!F95,"R"),EXACT(Asistencia!F95,"DL"),EXACT(Asistencia!F95,"FL"),EXACT(Asistencia!F95,"FE"),EXACT(Asistencia!F95,"PCS"),EXACT(Asistencia!F95,"V")),1,0)</f>
        <v>0</v>
      </c>
      <c r="AJ90">
        <f>IF(OR(EXACT(Asistencia!G95,"A"),EXACT(Asistencia!G95,"R"),EXACT(Asistencia!G95,"DL"),EXACT(Asistencia!G95,"FL"),EXACT(Asistencia!G95,"FE"),EXACT(Asistencia!G95,"PCS"),EXACT(Asistencia!G95,"V")),1,0)</f>
        <v>0</v>
      </c>
      <c r="AK90">
        <f>IF(OR(EXACT(Asistencia!H95,"A"),EXACT(Asistencia!H95,"R"),EXACT(Asistencia!H95,"DL"),EXACT(Asistencia!H95,"FL"),EXACT(Asistencia!H95,"FE"),EXACT(Asistencia!H95,"PCS"),EXACT(Asistencia!H95,"V")),1,0)</f>
        <v>0</v>
      </c>
      <c r="AL90">
        <f>IF(OR(EXACT(Asistencia!I95,"A"),EXACT(Asistencia!I95,"R"),EXACT(Asistencia!I95,"DL"),EXACT(Asistencia!I95,"FL"),EXACT(Asistencia!I95,"FE"),EXACT(Asistencia!I95,"PCS"),EXACT(Asistencia!I95,"V")),1,0)</f>
        <v>0</v>
      </c>
      <c r="AM90">
        <f>IF(OR(EXACT(Asistencia!J95,"A"),EXACT(Asistencia!J95,"R"),EXACT(Asistencia!J95,"DL"),EXACT(Asistencia!J95,"FL"),EXACT(Asistencia!J95,"FE"),EXACT(Asistencia!J95,"PCS"),EXACT(Asistencia!J95,"V")),1,0)</f>
        <v>0</v>
      </c>
      <c r="AN90">
        <f>IF(OR(EXACT(Asistencia!K95,"A"),EXACT(Asistencia!K95,"R"),EXACT(Asistencia!K95,"DL"),EXACT(Asistencia!K95,"FL"),EXACT(Asistencia!K95,"FE"),EXACT(Asistencia!K95,"PCS"),EXACT(Asistencia!K95,"V")),1,0)</f>
        <v>0</v>
      </c>
      <c r="AO90">
        <f>IF(OR(EXACT(Asistencia!L95,"A"),EXACT(Asistencia!L95,"R"),EXACT(Asistencia!L95,"DL"),EXACT(Asistencia!L95,"FL"),EXACT(Asistencia!L95,"FE"),EXACT(Asistencia!L95,"PCS"),EXACT(Asistencia!L95,"V")),1,0)</f>
        <v>0</v>
      </c>
      <c r="AP90">
        <f t="shared" si="62"/>
        <v>0</v>
      </c>
      <c r="AQ90">
        <f>IF(EXACT(Asistencia!F95,"FL"),1,0)</f>
        <v>0</v>
      </c>
      <c r="AR90">
        <f>IF(EXACT(Asistencia!G95,"FL"),1,0)</f>
        <v>0</v>
      </c>
      <c r="AS90">
        <f>IF(EXACT(Asistencia!H95,"FL"),1,0)</f>
        <v>0</v>
      </c>
      <c r="AT90">
        <f>IF(EXACT(Asistencia!I95,"FL"),1,0)</f>
        <v>0</v>
      </c>
      <c r="AU90">
        <f>IF(EXACT(Asistencia!J95,"FL"),1,0)</f>
        <v>0</v>
      </c>
      <c r="AV90">
        <f>IF(EXACT(Asistencia!K95,"FL"),1,0)</f>
        <v>0</v>
      </c>
      <c r="AW90">
        <f>IF(EXACT(Asistencia!L95,"FL"),1,0)</f>
        <v>0</v>
      </c>
      <c r="AX90">
        <f t="shared" si="63"/>
        <v>0</v>
      </c>
      <c r="AY90">
        <f>IF(EXACT(Asistencia!F95,"DL"),1,0)</f>
        <v>0</v>
      </c>
      <c r="AZ90">
        <f>IF(EXACT(Asistencia!G95,"DL"),1,0)</f>
        <v>0</v>
      </c>
      <c r="BA90">
        <f>IF(EXACT(Asistencia!H95,"DL"),1,0)</f>
        <v>0</v>
      </c>
      <c r="BB90">
        <f>IF(EXACT(Asistencia!I95,"DL"),1,0)</f>
        <v>0</v>
      </c>
      <c r="BC90">
        <f>IF(EXACT(Asistencia!J95,"DL"),1,0)</f>
        <v>0</v>
      </c>
      <c r="BD90">
        <f>IF(EXACT(Asistencia!K95,"DL"),1,0)</f>
        <v>0</v>
      </c>
      <c r="BE90">
        <f>IF(EXACT(Asistencia!L95,"DL"),1,0)</f>
        <v>0</v>
      </c>
      <c r="BF90">
        <f t="shared" si="64"/>
        <v>0</v>
      </c>
      <c r="BG90">
        <f>IF(ISNUMBER(Asistencia!M95),Asistencia!M95,0)</f>
        <v>0</v>
      </c>
      <c r="BH90">
        <f>IF(ISNUMBER(Asistencia!N95),Asistencia!N95,0)</f>
        <v>0</v>
      </c>
      <c r="BI90">
        <f>IF(ISNUMBER(Asistencia!O95),Asistencia!O95,0)</f>
        <v>0</v>
      </c>
      <c r="BJ90">
        <f>IF(ISNUMBER(Asistencia!P95),Asistencia!P95,0)</f>
        <v>0</v>
      </c>
      <c r="BK90" t="str">
        <f>IF(Asistencia!F95="","",Asistencia!F95)</f>
        <v/>
      </c>
      <c r="BL90" t="str">
        <f>IF(Asistencia!G95="","",Asistencia!G95)</f>
        <v/>
      </c>
      <c r="BM90" t="str">
        <f>IF(Asistencia!H95="","",Asistencia!H95)</f>
        <v/>
      </c>
      <c r="BN90" t="str">
        <f>IF(Asistencia!I95="","",Asistencia!I95)</f>
        <v/>
      </c>
      <c r="BO90" t="str">
        <f>IF(Asistencia!J95="","",Asistencia!J95)</f>
        <v/>
      </c>
      <c r="BP90" t="str">
        <f>IF(Asistencia!K95="","",Asistencia!K95)</f>
        <v/>
      </c>
      <c r="BQ90" t="str">
        <f>IF(Asistencia!L95="","",Asistencia!L95)</f>
        <v/>
      </c>
    </row>
    <row r="91" spans="1:69" ht="15.75" customHeight="1" x14ac:dyDescent="0.25">
      <c r="A91" s="46" t="str">
        <f t="shared" si="42"/>
        <v/>
      </c>
      <c r="B91" s="47" t="str">
        <f t="shared" si="43"/>
        <v/>
      </c>
      <c r="C91" s="47"/>
      <c r="D91" s="47"/>
      <c r="E91" s="46" t="str">
        <f t="shared" si="44"/>
        <v/>
      </c>
      <c r="F91" s="45" t="str">
        <f t="shared" si="45"/>
        <v/>
      </c>
      <c r="G91" s="44" t="str">
        <f t="shared" si="46"/>
        <v/>
      </c>
      <c r="H91" s="44" t="str">
        <f t="shared" si="47"/>
        <v/>
      </c>
      <c r="I91" s="44" t="str">
        <f t="shared" si="48"/>
        <v/>
      </c>
      <c r="J91" s="44" t="str">
        <f t="shared" si="49"/>
        <v/>
      </c>
      <c r="K91" s="44" t="str">
        <f t="shared" si="50"/>
        <v/>
      </c>
      <c r="L91" s="44" t="str">
        <f t="shared" si="51"/>
        <v/>
      </c>
      <c r="M91" s="43" t="str">
        <f t="shared" si="52"/>
        <v/>
      </c>
      <c r="N91" s="41" t="str">
        <f t="shared" si="53"/>
        <v/>
      </c>
      <c r="O91" s="41" t="str">
        <f t="shared" si="54"/>
        <v/>
      </c>
      <c r="P91" s="41" t="str">
        <f t="shared" si="55"/>
        <v/>
      </c>
      <c r="Q91" s="41" t="str">
        <f t="shared" si="56"/>
        <v/>
      </c>
      <c r="R91" s="41" t="str">
        <f t="shared" si="57"/>
        <v/>
      </c>
      <c r="S91" s="41"/>
      <c r="T91" s="48"/>
      <c r="U91" s="41" t="str">
        <f t="shared" si="58"/>
        <v/>
      </c>
      <c r="V91" s="41"/>
      <c r="W91" s="42" t="str">
        <f t="shared" si="59"/>
        <v/>
      </c>
      <c r="Y91" t="str">
        <f>IFERROR(MATCH(87,$AH$5:$AH$323,0),"")</f>
        <v/>
      </c>
      <c r="Z91" t="str">
        <f t="shared" si="60"/>
        <v/>
      </c>
      <c r="AA91" t="str">
        <f t="shared" si="61"/>
        <v/>
      </c>
      <c r="AB91" t="str">
        <f>IF(Asistencia!A96="","",Asistencia!A96)</f>
        <v/>
      </c>
      <c r="AC91" t="str">
        <f>IF(Asistencia!A96="","",SUBSTITUTE(SUBSTITUTE(SUBSTITUTE(SUBSTITUTE(SUBSTITUTE(SUBSTITUTE(SUBSTITUTE(UPPER(TRIM(Asistencia!A96)),"Á","A"),"É","E"),"Í","I"),"Ó","O"),"Ú","U"),"Ñ","N"),"  "," "))</f>
        <v/>
      </c>
      <c r="AD91" t="str">
        <f>IF(Asistencia!E96="","",Asistencia!E96)</f>
        <v/>
      </c>
      <c r="AE91" t="str">
        <f>IF(Asistencia!D96="","",UPPER(TRIM(Asistencia!D96)))</f>
        <v/>
      </c>
      <c r="AF91" t="s">
        <v>190</v>
      </c>
      <c r="AG91">
        <f>IF(AND(AA91&lt;&gt;"",COUNTIF($AA$5:AA91,AA91)=1),1,0)</f>
        <v>0</v>
      </c>
      <c r="AH91" t="str">
        <f>IF(AG91=1,SUM($AG$5:AG91),"")</f>
        <v/>
      </c>
      <c r="AI91">
        <f>IF(OR(EXACT(Asistencia!F96,"A"),EXACT(Asistencia!F96,"R"),EXACT(Asistencia!F96,"DL"),EXACT(Asistencia!F96,"FL"),EXACT(Asistencia!F96,"FE"),EXACT(Asistencia!F96,"PCS"),EXACT(Asistencia!F96,"V")),1,0)</f>
        <v>0</v>
      </c>
      <c r="AJ91">
        <f>IF(OR(EXACT(Asistencia!G96,"A"),EXACT(Asistencia!G96,"R"),EXACT(Asistencia!G96,"DL"),EXACT(Asistencia!G96,"FL"),EXACT(Asistencia!G96,"FE"),EXACT(Asistencia!G96,"PCS"),EXACT(Asistencia!G96,"V")),1,0)</f>
        <v>0</v>
      </c>
      <c r="AK91">
        <f>IF(OR(EXACT(Asistencia!H96,"A"),EXACT(Asistencia!H96,"R"),EXACT(Asistencia!H96,"DL"),EXACT(Asistencia!H96,"FL"),EXACT(Asistencia!H96,"FE"),EXACT(Asistencia!H96,"PCS"),EXACT(Asistencia!H96,"V")),1,0)</f>
        <v>0</v>
      </c>
      <c r="AL91">
        <f>IF(OR(EXACT(Asistencia!I96,"A"),EXACT(Asistencia!I96,"R"),EXACT(Asistencia!I96,"DL"),EXACT(Asistencia!I96,"FL"),EXACT(Asistencia!I96,"FE"),EXACT(Asistencia!I96,"PCS"),EXACT(Asistencia!I96,"V")),1,0)</f>
        <v>0</v>
      </c>
      <c r="AM91">
        <f>IF(OR(EXACT(Asistencia!J96,"A"),EXACT(Asistencia!J96,"R"),EXACT(Asistencia!J96,"DL"),EXACT(Asistencia!J96,"FL"),EXACT(Asistencia!J96,"FE"),EXACT(Asistencia!J96,"PCS"),EXACT(Asistencia!J96,"V")),1,0)</f>
        <v>0</v>
      </c>
      <c r="AN91">
        <f>IF(OR(EXACT(Asistencia!K96,"A"),EXACT(Asistencia!K96,"R"),EXACT(Asistencia!K96,"DL"),EXACT(Asistencia!K96,"FL"),EXACT(Asistencia!K96,"FE"),EXACT(Asistencia!K96,"PCS"),EXACT(Asistencia!K96,"V")),1,0)</f>
        <v>0</v>
      </c>
      <c r="AO91">
        <f>IF(OR(EXACT(Asistencia!L96,"A"),EXACT(Asistencia!L96,"R"),EXACT(Asistencia!L96,"DL"),EXACT(Asistencia!L96,"FL"),EXACT(Asistencia!L96,"FE"),EXACT(Asistencia!L96,"PCS"),EXACT(Asistencia!L96,"V")),1,0)</f>
        <v>0</v>
      </c>
      <c r="AP91">
        <f t="shared" si="62"/>
        <v>0</v>
      </c>
      <c r="AQ91">
        <f>IF(EXACT(Asistencia!F96,"FL"),1,0)</f>
        <v>0</v>
      </c>
      <c r="AR91">
        <f>IF(EXACT(Asistencia!G96,"FL"),1,0)</f>
        <v>0</v>
      </c>
      <c r="AS91">
        <f>IF(EXACT(Asistencia!H96,"FL"),1,0)</f>
        <v>0</v>
      </c>
      <c r="AT91">
        <f>IF(EXACT(Asistencia!I96,"FL"),1,0)</f>
        <v>0</v>
      </c>
      <c r="AU91">
        <f>IF(EXACT(Asistencia!J96,"FL"),1,0)</f>
        <v>0</v>
      </c>
      <c r="AV91">
        <f>IF(EXACT(Asistencia!K96,"FL"),1,0)</f>
        <v>0</v>
      </c>
      <c r="AW91">
        <f>IF(EXACT(Asistencia!L96,"FL"),1,0)</f>
        <v>0</v>
      </c>
      <c r="AX91">
        <f t="shared" si="63"/>
        <v>0</v>
      </c>
      <c r="AY91">
        <f>IF(EXACT(Asistencia!F96,"DL"),1,0)</f>
        <v>0</v>
      </c>
      <c r="AZ91">
        <f>IF(EXACT(Asistencia!G96,"DL"),1,0)</f>
        <v>0</v>
      </c>
      <c r="BA91">
        <f>IF(EXACT(Asistencia!H96,"DL"),1,0)</f>
        <v>0</v>
      </c>
      <c r="BB91">
        <f>IF(EXACT(Asistencia!I96,"DL"),1,0)</f>
        <v>0</v>
      </c>
      <c r="BC91">
        <f>IF(EXACT(Asistencia!J96,"DL"),1,0)</f>
        <v>0</v>
      </c>
      <c r="BD91">
        <f>IF(EXACT(Asistencia!K96,"DL"),1,0)</f>
        <v>0</v>
      </c>
      <c r="BE91">
        <f>IF(EXACT(Asistencia!L96,"DL"),1,0)</f>
        <v>0</v>
      </c>
      <c r="BF91">
        <f t="shared" si="64"/>
        <v>0</v>
      </c>
      <c r="BG91">
        <f>IF(ISNUMBER(Asistencia!M96),Asistencia!M96,0)</f>
        <v>0</v>
      </c>
      <c r="BH91">
        <f>IF(ISNUMBER(Asistencia!N96),Asistencia!N96,0)</f>
        <v>0</v>
      </c>
      <c r="BI91">
        <f>IF(ISNUMBER(Asistencia!O96),Asistencia!O96,0)</f>
        <v>0</v>
      </c>
      <c r="BJ91">
        <f>IF(ISNUMBER(Asistencia!P96),Asistencia!P96,0)</f>
        <v>0</v>
      </c>
      <c r="BK91" t="str">
        <f>IF(Asistencia!F96="","",Asistencia!F96)</f>
        <v/>
      </c>
      <c r="BL91" t="str">
        <f>IF(Asistencia!G96="","",Asistencia!G96)</f>
        <v/>
      </c>
      <c r="BM91" t="str">
        <f>IF(Asistencia!H96="","",Asistencia!H96)</f>
        <v/>
      </c>
      <c r="BN91" t="str">
        <f>IF(Asistencia!I96="","",Asistencia!I96)</f>
        <v/>
      </c>
      <c r="BO91" t="str">
        <f>IF(Asistencia!J96="","",Asistencia!J96)</f>
        <v/>
      </c>
      <c r="BP91" t="str">
        <f>IF(Asistencia!K96="","",Asistencia!K96)</f>
        <v/>
      </c>
      <c r="BQ91" t="str">
        <f>IF(Asistencia!L96="","",Asistencia!L96)</f>
        <v/>
      </c>
    </row>
    <row r="92" spans="1:69" ht="15.75" customHeight="1" x14ac:dyDescent="0.25">
      <c r="A92" s="46" t="str">
        <f t="shared" si="42"/>
        <v/>
      </c>
      <c r="B92" s="47" t="str">
        <f t="shared" si="43"/>
        <v/>
      </c>
      <c r="C92" s="47"/>
      <c r="D92" s="47"/>
      <c r="E92" s="46" t="str">
        <f t="shared" si="44"/>
        <v/>
      </c>
      <c r="F92" s="45" t="str">
        <f t="shared" si="45"/>
        <v/>
      </c>
      <c r="G92" s="44" t="str">
        <f t="shared" si="46"/>
        <v/>
      </c>
      <c r="H92" s="44" t="str">
        <f t="shared" si="47"/>
        <v/>
      </c>
      <c r="I92" s="44" t="str">
        <f t="shared" si="48"/>
        <v/>
      </c>
      <c r="J92" s="44" t="str">
        <f t="shared" si="49"/>
        <v/>
      </c>
      <c r="K92" s="44" t="str">
        <f t="shared" si="50"/>
        <v/>
      </c>
      <c r="L92" s="44" t="str">
        <f t="shared" si="51"/>
        <v/>
      </c>
      <c r="M92" s="43" t="str">
        <f t="shared" si="52"/>
        <v/>
      </c>
      <c r="N92" s="41" t="str">
        <f t="shared" si="53"/>
        <v/>
      </c>
      <c r="O92" s="41" t="str">
        <f t="shared" si="54"/>
        <v/>
      </c>
      <c r="P92" s="41" t="str">
        <f t="shared" si="55"/>
        <v/>
      </c>
      <c r="Q92" s="41" t="str">
        <f t="shared" si="56"/>
        <v/>
      </c>
      <c r="R92" s="41" t="str">
        <f t="shared" si="57"/>
        <v/>
      </c>
      <c r="S92" s="41"/>
      <c r="T92" s="48"/>
      <c r="U92" s="41" t="str">
        <f t="shared" si="58"/>
        <v/>
      </c>
      <c r="V92" s="41"/>
      <c r="W92" s="42" t="str">
        <f t="shared" si="59"/>
        <v/>
      </c>
      <c r="Y92" t="str">
        <f>IFERROR(MATCH(88,$AH$5:$AH$323,0),"")</f>
        <v/>
      </c>
      <c r="Z92" t="str">
        <f t="shared" si="60"/>
        <v/>
      </c>
      <c r="AA92" t="str">
        <f t="shared" si="61"/>
        <v/>
      </c>
      <c r="AB92" t="str">
        <f>IF(Asistencia!A97="","",Asistencia!A97)</f>
        <v/>
      </c>
      <c r="AC92" t="str">
        <f>IF(Asistencia!A97="","",SUBSTITUTE(SUBSTITUTE(SUBSTITUTE(SUBSTITUTE(SUBSTITUTE(SUBSTITUTE(SUBSTITUTE(UPPER(TRIM(Asistencia!A97)),"Á","A"),"É","E"),"Í","I"),"Ó","O"),"Ú","U"),"Ñ","N"),"  "," "))</f>
        <v/>
      </c>
      <c r="AD92" t="str">
        <f>IF(Asistencia!E97="","",Asistencia!E97)</f>
        <v/>
      </c>
      <c r="AE92" t="str">
        <f>IF(Asistencia!D97="","",UPPER(TRIM(Asistencia!D97)))</f>
        <v/>
      </c>
      <c r="AF92" t="s">
        <v>190</v>
      </c>
      <c r="AG92">
        <f>IF(AND(AA92&lt;&gt;"",COUNTIF($AA$5:AA92,AA92)=1),1,0)</f>
        <v>0</v>
      </c>
      <c r="AH92" t="str">
        <f>IF(AG92=1,SUM($AG$5:AG92),"")</f>
        <v/>
      </c>
      <c r="AI92">
        <f>IF(OR(EXACT(Asistencia!F97,"A"),EXACT(Asistencia!F97,"R"),EXACT(Asistencia!F97,"DL"),EXACT(Asistencia!F97,"FL"),EXACT(Asistencia!F97,"FE"),EXACT(Asistencia!F97,"PCS"),EXACT(Asistencia!F97,"V")),1,0)</f>
        <v>0</v>
      </c>
      <c r="AJ92">
        <f>IF(OR(EXACT(Asistencia!G97,"A"),EXACT(Asistencia!G97,"R"),EXACT(Asistencia!G97,"DL"),EXACT(Asistencia!G97,"FL"),EXACT(Asistencia!G97,"FE"),EXACT(Asistencia!G97,"PCS"),EXACT(Asistencia!G97,"V")),1,0)</f>
        <v>0</v>
      </c>
      <c r="AK92">
        <f>IF(OR(EXACT(Asistencia!H97,"A"),EXACT(Asistencia!H97,"R"),EXACT(Asistencia!H97,"DL"),EXACT(Asistencia!H97,"FL"),EXACT(Asistencia!H97,"FE"),EXACT(Asistencia!H97,"PCS"),EXACT(Asistencia!H97,"V")),1,0)</f>
        <v>0</v>
      </c>
      <c r="AL92">
        <f>IF(OR(EXACT(Asistencia!I97,"A"),EXACT(Asistencia!I97,"R"),EXACT(Asistencia!I97,"DL"),EXACT(Asistencia!I97,"FL"),EXACT(Asistencia!I97,"FE"),EXACT(Asistencia!I97,"PCS"),EXACT(Asistencia!I97,"V")),1,0)</f>
        <v>0</v>
      </c>
      <c r="AM92">
        <f>IF(OR(EXACT(Asistencia!J97,"A"),EXACT(Asistencia!J97,"R"),EXACT(Asistencia!J97,"DL"),EXACT(Asistencia!J97,"FL"),EXACT(Asistencia!J97,"FE"),EXACT(Asistencia!J97,"PCS"),EXACT(Asistencia!J97,"V")),1,0)</f>
        <v>0</v>
      </c>
      <c r="AN92">
        <f>IF(OR(EXACT(Asistencia!K97,"A"),EXACT(Asistencia!K97,"R"),EXACT(Asistencia!K97,"DL"),EXACT(Asistencia!K97,"FL"),EXACT(Asistencia!K97,"FE"),EXACT(Asistencia!K97,"PCS"),EXACT(Asistencia!K97,"V")),1,0)</f>
        <v>0</v>
      </c>
      <c r="AO92">
        <f>IF(OR(EXACT(Asistencia!L97,"A"),EXACT(Asistencia!L97,"R"),EXACT(Asistencia!L97,"DL"),EXACT(Asistencia!L97,"FL"),EXACT(Asistencia!L97,"FE"),EXACT(Asistencia!L97,"PCS"),EXACT(Asistencia!L97,"V")),1,0)</f>
        <v>0</v>
      </c>
      <c r="AP92">
        <f t="shared" si="62"/>
        <v>0</v>
      </c>
      <c r="AQ92">
        <f>IF(EXACT(Asistencia!F97,"FL"),1,0)</f>
        <v>0</v>
      </c>
      <c r="AR92">
        <f>IF(EXACT(Asistencia!G97,"FL"),1,0)</f>
        <v>0</v>
      </c>
      <c r="AS92">
        <f>IF(EXACT(Asistencia!H97,"FL"),1,0)</f>
        <v>0</v>
      </c>
      <c r="AT92">
        <f>IF(EXACT(Asistencia!I97,"FL"),1,0)</f>
        <v>0</v>
      </c>
      <c r="AU92">
        <f>IF(EXACT(Asistencia!J97,"FL"),1,0)</f>
        <v>0</v>
      </c>
      <c r="AV92">
        <f>IF(EXACT(Asistencia!K97,"FL"),1,0)</f>
        <v>0</v>
      </c>
      <c r="AW92">
        <f>IF(EXACT(Asistencia!L97,"FL"),1,0)</f>
        <v>0</v>
      </c>
      <c r="AX92">
        <f t="shared" si="63"/>
        <v>0</v>
      </c>
      <c r="AY92">
        <f>IF(EXACT(Asistencia!F97,"DL"),1,0)</f>
        <v>0</v>
      </c>
      <c r="AZ92">
        <f>IF(EXACT(Asistencia!G97,"DL"),1,0)</f>
        <v>0</v>
      </c>
      <c r="BA92">
        <f>IF(EXACT(Asistencia!H97,"DL"),1,0)</f>
        <v>0</v>
      </c>
      <c r="BB92">
        <f>IF(EXACT(Asistencia!I97,"DL"),1,0)</f>
        <v>0</v>
      </c>
      <c r="BC92">
        <f>IF(EXACT(Asistencia!J97,"DL"),1,0)</f>
        <v>0</v>
      </c>
      <c r="BD92">
        <f>IF(EXACT(Asistencia!K97,"DL"),1,0)</f>
        <v>0</v>
      </c>
      <c r="BE92">
        <f>IF(EXACT(Asistencia!L97,"DL"),1,0)</f>
        <v>0</v>
      </c>
      <c r="BF92">
        <f t="shared" si="64"/>
        <v>0</v>
      </c>
      <c r="BG92">
        <f>IF(ISNUMBER(Asistencia!M97),Asistencia!M97,0)</f>
        <v>0</v>
      </c>
      <c r="BH92">
        <f>IF(ISNUMBER(Asistencia!N97),Asistencia!N97,0)</f>
        <v>0</v>
      </c>
      <c r="BI92">
        <f>IF(ISNUMBER(Asistencia!O97),Asistencia!O97,0)</f>
        <v>0</v>
      </c>
      <c r="BJ92">
        <f>IF(ISNUMBER(Asistencia!P97),Asistencia!P97,0)</f>
        <v>0</v>
      </c>
      <c r="BK92" t="str">
        <f>IF(Asistencia!F97="","",Asistencia!F97)</f>
        <v/>
      </c>
      <c r="BL92" t="str">
        <f>IF(Asistencia!G97="","",Asistencia!G97)</f>
        <v/>
      </c>
      <c r="BM92" t="str">
        <f>IF(Asistencia!H97="","",Asistencia!H97)</f>
        <v/>
      </c>
      <c r="BN92" t="str">
        <f>IF(Asistencia!I97="","",Asistencia!I97)</f>
        <v/>
      </c>
      <c r="BO92" t="str">
        <f>IF(Asistencia!J97="","",Asistencia!J97)</f>
        <v/>
      </c>
      <c r="BP92" t="str">
        <f>IF(Asistencia!K97="","",Asistencia!K97)</f>
        <v/>
      </c>
      <c r="BQ92" t="str">
        <f>IF(Asistencia!L97="","",Asistencia!L97)</f>
        <v/>
      </c>
    </row>
    <row r="93" spans="1:69" ht="15.75" customHeight="1" x14ac:dyDescent="0.25">
      <c r="A93" s="46" t="str">
        <f t="shared" si="42"/>
        <v/>
      </c>
      <c r="B93" s="47" t="str">
        <f t="shared" si="43"/>
        <v/>
      </c>
      <c r="C93" s="47"/>
      <c r="D93" s="47"/>
      <c r="E93" s="46" t="str">
        <f t="shared" si="44"/>
        <v/>
      </c>
      <c r="F93" s="45" t="str">
        <f t="shared" si="45"/>
        <v/>
      </c>
      <c r="G93" s="44" t="str">
        <f t="shared" si="46"/>
        <v/>
      </c>
      <c r="H93" s="44" t="str">
        <f t="shared" si="47"/>
        <v/>
      </c>
      <c r="I93" s="44" t="str">
        <f t="shared" si="48"/>
        <v/>
      </c>
      <c r="J93" s="44" t="str">
        <f t="shared" si="49"/>
        <v/>
      </c>
      <c r="K93" s="44" t="str">
        <f t="shared" si="50"/>
        <v/>
      </c>
      <c r="L93" s="44" t="str">
        <f t="shared" si="51"/>
        <v/>
      </c>
      <c r="M93" s="43" t="str">
        <f t="shared" si="52"/>
        <v/>
      </c>
      <c r="N93" s="41" t="str">
        <f t="shared" si="53"/>
        <v/>
      </c>
      <c r="O93" s="41" t="str">
        <f t="shared" si="54"/>
        <v/>
      </c>
      <c r="P93" s="41" t="str">
        <f t="shared" si="55"/>
        <v/>
      </c>
      <c r="Q93" s="41" t="str">
        <f t="shared" si="56"/>
        <v/>
      </c>
      <c r="R93" s="41" t="str">
        <f t="shared" si="57"/>
        <v/>
      </c>
      <c r="S93" s="41"/>
      <c r="T93" s="48"/>
      <c r="U93" s="41" t="str">
        <f t="shared" si="58"/>
        <v/>
      </c>
      <c r="V93" s="41"/>
      <c r="W93" s="42" t="str">
        <f t="shared" si="59"/>
        <v/>
      </c>
      <c r="Y93" t="str">
        <f>IFERROR(MATCH(89,$AH$5:$AH$323,0),"")</f>
        <v/>
      </c>
      <c r="Z93" t="str">
        <f t="shared" si="60"/>
        <v/>
      </c>
      <c r="AA93" t="str">
        <f t="shared" si="61"/>
        <v/>
      </c>
      <c r="AB93" t="str">
        <f>IF(Asistencia!A98="","",Asistencia!A98)</f>
        <v/>
      </c>
      <c r="AC93" t="str">
        <f>IF(Asistencia!A98="","",SUBSTITUTE(SUBSTITUTE(SUBSTITUTE(SUBSTITUTE(SUBSTITUTE(SUBSTITUTE(SUBSTITUTE(UPPER(TRIM(Asistencia!A98)),"Á","A"),"É","E"),"Í","I"),"Ó","O"),"Ú","U"),"Ñ","N"),"  "," "))</f>
        <v/>
      </c>
      <c r="AD93" t="str">
        <f>IF(Asistencia!E98="","",Asistencia!E98)</f>
        <v/>
      </c>
      <c r="AE93" t="str">
        <f>IF(Asistencia!D98="","",UPPER(TRIM(Asistencia!D98)))</f>
        <v/>
      </c>
      <c r="AF93" t="s">
        <v>190</v>
      </c>
      <c r="AG93">
        <f>IF(AND(AA93&lt;&gt;"",COUNTIF($AA$5:AA93,AA93)=1),1,0)</f>
        <v>0</v>
      </c>
      <c r="AH93" t="str">
        <f>IF(AG93=1,SUM($AG$5:AG93),"")</f>
        <v/>
      </c>
      <c r="AI93">
        <f>IF(OR(EXACT(Asistencia!F98,"A"),EXACT(Asistencia!F98,"R"),EXACT(Asistencia!F98,"DL"),EXACT(Asistencia!F98,"FL"),EXACT(Asistencia!F98,"FE"),EXACT(Asistencia!F98,"PCS"),EXACT(Asistencia!F98,"V")),1,0)</f>
        <v>0</v>
      </c>
      <c r="AJ93">
        <f>IF(OR(EXACT(Asistencia!G98,"A"),EXACT(Asistencia!G98,"R"),EXACT(Asistencia!G98,"DL"),EXACT(Asistencia!G98,"FL"),EXACT(Asistencia!G98,"FE"),EXACT(Asistencia!G98,"PCS"),EXACT(Asistencia!G98,"V")),1,0)</f>
        <v>0</v>
      </c>
      <c r="AK93">
        <f>IF(OR(EXACT(Asistencia!H98,"A"),EXACT(Asistencia!H98,"R"),EXACT(Asistencia!H98,"DL"),EXACT(Asistencia!H98,"FL"),EXACT(Asistencia!H98,"FE"),EXACT(Asistencia!H98,"PCS"),EXACT(Asistencia!H98,"V")),1,0)</f>
        <v>0</v>
      </c>
      <c r="AL93">
        <f>IF(OR(EXACT(Asistencia!I98,"A"),EXACT(Asistencia!I98,"R"),EXACT(Asistencia!I98,"DL"),EXACT(Asistencia!I98,"FL"),EXACT(Asistencia!I98,"FE"),EXACT(Asistencia!I98,"PCS"),EXACT(Asistencia!I98,"V")),1,0)</f>
        <v>0</v>
      </c>
      <c r="AM93">
        <f>IF(OR(EXACT(Asistencia!J98,"A"),EXACT(Asistencia!J98,"R"),EXACT(Asistencia!J98,"DL"),EXACT(Asistencia!J98,"FL"),EXACT(Asistencia!J98,"FE"),EXACT(Asistencia!J98,"PCS"),EXACT(Asistencia!J98,"V")),1,0)</f>
        <v>0</v>
      </c>
      <c r="AN93">
        <f>IF(OR(EXACT(Asistencia!K98,"A"),EXACT(Asistencia!K98,"R"),EXACT(Asistencia!K98,"DL"),EXACT(Asistencia!K98,"FL"),EXACT(Asistencia!K98,"FE"),EXACT(Asistencia!K98,"PCS"),EXACT(Asistencia!K98,"V")),1,0)</f>
        <v>0</v>
      </c>
      <c r="AO93">
        <f>IF(OR(EXACT(Asistencia!L98,"A"),EXACT(Asistencia!L98,"R"),EXACT(Asistencia!L98,"DL"),EXACT(Asistencia!L98,"FL"),EXACT(Asistencia!L98,"FE"),EXACT(Asistencia!L98,"PCS"),EXACT(Asistencia!L98,"V")),1,0)</f>
        <v>0</v>
      </c>
      <c r="AP93">
        <f t="shared" si="62"/>
        <v>0</v>
      </c>
      <c r="AQ93">
        <f>IF(EXACT(Asistencia!F98,"FL"),1,0)</f>
        <v>0</v>
      </c>
      <c r="AR93">
        <f>IF(EXACT(Asistencia!G98,"FL"),1,0)</f>
        <v>0</v>
      </c>
      <c r="AS93">
        <f>IF(EXACT(Asistencia!H98,"FL"),1,0)</f>
        <v>0</v>
      </c>
      <c r="AT93">
        <f>IF(EXACT(Asistencia!I98,"FL"),1,0)</f>
        <v>0</v>
      </c>
      <c r="AU93">
        <f>IF(EXACT(Asistencia!J98,"FL"),1,0)</f>
        <v>0</v>
      </c>
      <c r="AV93">
        <f>IF(EXACT(Asistencia!K98,"FL"),1,0)</f>
        <v>0</v>
      </c>
      <c r="AW93">
        <f>IF(EXACT(Asistencia!L98,"FL"),1,0)</f>
        <v>0</v>
      </c>
      <c r="AX93">
        <f t="shared" si="63"/>
        <v>0</v>
      </c>
      <c r="AY93">
        <f>IF(EXACT(Asistencia!F98,"DL"),1,0)</f>
        <v>0</v>
      </c>
      <c r="AZ93">
        <f>IF(EXACT(Asistencia!G98,"DL"),1,0)</f>
        <v>0</v>
      </c>
      <c r="BA93">
        <f>IF(EXACT(Asistencia!H98,"DL"),1,0)</f>
        <v>0</v>
      </c>
      <c r="BB93">
        <f>IF(EXACT(Asistencia!I98,"DL"),1,0)</f>
        <v>0</v>
      </c>
      <c r="BC93">
        <f>IF(EXACT(Asistencia!J98,"DL"),1,0)</f>
        <v>0</v>
      </c>
      <c r="BD93">
        <f>IF(EXACT(Asistencia!K98,"DL"),1,0)</f>
        <v>0</v>
      </c>
      <c r="BE93">
        <f>IF(EXACT(Asistencia!L98,"DL"),1,0)</f>
        <v>0</v>
      </c>
      <c r="BF93">
        <f t="shared" si="64"/>
        <v>0</v>
      </c>
      <c r="BG93">
        <f>IF(ISNUMBER(Asistencia!M98),Asistencia!M98,0)</f>
        <v>0</v>
      </c>
      <c r="BH93">
        <f>IF(ISNUMBER(Asistencia!N98),Asistencia!N98,0)</f>
        <v>0</v>
      </c>
      <c r="BI93">
        <f>IF(ISNUMBER(Asistencia!O98),Asistencia!O98,0)</f>
        <v>0</v>
      </c>
      <c r="BJ93">
        <f>IF(ISNUMBER(Asistencia!P98),Asistencia!P98,0)</f>
        <v>0</v>
      </c>
      <c r="BK93" t="str">
        <f>IF(Asistencia!F98="","",Asistencia!F98)</f>
        <v/>
      </c>
      <c r="BL93" t="str">
        <f>IF(Asistencia!G98="","",Asistencia!G98)</f>
        <v/>
      </c>
      <c r="BM93" t="str">
        <f>IF(Asistencia!H98="","",Asistencia!H98)</f>
        <v/>
      </c>
      <c r="BN93" t="str">
        <f>IF(Asistencia!I98="","",Asistencia!I98)</f>
        <v/>
      </c>
      <c r="BO93" t="str">
        <f>IF(Asistencia!J98="","",Asistencia!J98)</f>
        <v/>
      </c>
      <c r="BP93" t="str">
        <f>IF(Asistencia!K98="","",Asistencia!K98)</f>
        <v/>
      </c>
      <c r="BQ93" t="str">
        <f>IF(Asistencia!L98="","",Asistencia!L98)</f>
        <v/>
      </c>
    </row>
    <row r="94" spans="1:69" ht="15.75" customHeight="1" x14ac:dyDescent="0.25">
      <c r="A94" s="46" t="str">
        <f t="shared" si="42"/>
        <v/>
      </c>
      <c r="B94" s="47" t="str">
        <f t="shared" si="43"/>
        <v/>
      </c>
      <c r="C94" s="47"/>
      <c r="D94" s="47"/>
      <c r="E94" s="46" t="str">
        <f t="shared" si="44"/>
        <v/>
      </c>
      <c r="F94" s="45" t="str">
        <f t="shared" si="45"/>
        <v/>
      </c>
      <c r="G94" s="44" t="str">
        <f t="shared" si="46"/>
        <v/>
      </c>
      <c r="H94" s="44" t="str">
        <f t="shared" si="47"/>
        <v/>
      </c>
      <c r="I94" s="44" t="str">
        <f t="shared" si="48"/>
        <v/>
      </c>
      <c r="J94" s="44" t="str">
        <f t="shared" si="49"/>
        <v/>
      </c>
      <c r="K94" s="44" t="str">
        <f t="shared" si="50"/>
        <v/>
      </c>
      <c r="L94" s="44" t="str">
        <f t="shared" si="51"/>
        <v/>
      </c>
      <c r="M94" s="43" t="str">
        <f t="shared" si="52"/>
        <v/>
      </c>
      <c r="N94" s="41" t="str">
        <f t="shared" si="53"/>
        <v/>
      </c>
      <c r="O94" s="41" t="str">
        <f t="shared" si="54"/>
        <v/>
      </c>
      <c r="P94" s="41" t="str">
        <f t="shared" si="55"/>
        <v/>
      </c>
      <c r="Q94" s="41" t="str">
        <f t="shared" si="56"/>
        <v/>
      </c>
      <c r="R94" s="41" t="str">
        <f t="shared" si="57"/>
        <v/>
      </c>
      <c r="S94" s="41"/>
      <c r="T94" s="48"/>
      <c r="U94" s="41" t="str">
        <f t="shared" si="58"/>
        <v/>
      </c>
      <c r="V94" s="41"/>
      <c r="W94" s="42" t="str">
        <f t="shared" si="59"/>
        <v/>
      </c>
      <c r="Y94" t="str">
        <f>IFERROR(MATCH(90,$AH$5:$AH$323,0),"")</f>
        <v/>
      </c>
      <c r="Z94" t="str">
        <f t="shared" si="60"/>
        <v/>
      </c>
      <c r="AA94" t="str">
        <f t="shared" si="61"/>
        <v/>
      </c>
      <c r="AB94" t="str">
        <f>IF(Asistencia!A99="","",Asistencia!A99)</f>
        <v/>
      </c>
      <c r="AC94" t="str">
        <f>IF(Asistencia!A99="","",SUBSTITUTE(SUBSTITUTE(SUBSTITUTE(SUBSTITUTE(SUBSTITUTE(SUBSTITUTE(SUBSTITUTE(UPPER(TRIM(Asistencia!A99)),"Á","A"),"É","E"),"Í","I"),"Ó","O"),"Ú","U"),"Ñ","N"),"  "," "))</f>
        <v/>
      </c>
      <c r="AD94" t="str">
        <f>IF(Asistencia!E99="","",Asistencia!E99)</f>
        <v/>
      </c>
      <c r="AE94" t="str">
        <f>IF(Asistencia!D99="","",UPPER(TRIM(Asistencia!D99)))</f>
        <v/>
      </c>
      <c r="AF94" t="s">
        <v>190</v>
      </c>
      <c r="AG94">
        <f>IF(AND(AA94&lt;&gt;"",COUNTIF($AA$5:AA94,AA94)=1),1,0)</f>
        <v>0</v>
      </c>
      <c r="AH94" t="str">
        <f>IF(AG94=1,SUM($AG$5:AG94),"")</f>
        <v/>
      </c>
      <c r="AI94">
        <f>IF(OR(EXACT(Asistencia!F99,"A"),EXACT(Asistencia!F99,"R"),EXACT(Asistencia!F99,"DL"),EXACT(Asistencia!F99,"FL"),EXACT(Asistencia!F99,"FE"),EXACT(Asistencia!F99,"PCS"),EXACT(Asistencia!F99,"V")),1,0)</f>
        <v>0</v>
      </c>
      <c r="AJ94">
        <f>IF(OR(EXACT(Asistencia!G99,"A"),EXACT(Asistencia!G99,"R"),EXACT(Asistencia!G99,"DL"),EXACT(Asistencia!G99,"FL"),EXACT(Asistencia!G99,"FE"),EXACT(Asistencia!G99,"PCS"),EXACT(Asistencia!G99,"V")),1,0)</f>
        <v>0</v>
      </c>
      <c r="AK94">
        <f>IF(OR(EXACT(Asistencia!H99,"A"),EXACT(Asistencia!H99,"R"),EXACT(Asistencia!H99,"DL"),EXACT(Asistencia!H99,"FL"),EXACT(Asistencia!H99,"FE"),EXACT(Asistencia!H99,"PCS"),EXACT(Asistencia!H99,"V")),1,0)</f>
        <v>0</v>
      </c>
      <c r="AL94">
        <f>IF(OR(EXACT(Asistencia!I99,"A"),EXACT(Asistencia!I99,"R"),EXACT(Asistencia!I99,"DL"),EXACT(Asistencia!I99,"FL"),EXACT(Asistencia!I99,"FE"),EXACT(Asistencia!I99,"PCS"),EXACT(Asistencia!I99,"V")),1,0)</f>
        <v>0</v>
      </c>
      <c r="AM94">
        <f>IF(OR(EXACT(Asistencia!J99,"A"),EXACT(Asistencia!J99,"R"),EXACT(Asistencia!J99,"DL"),EXACT(Asistencia!J99,"FL"),EXACT(Asistencia!J99,"FE"),EXACT(Asistencia!J99,"PCS"),EXACT(Asistencia!J99,"V")),1,0)</f>
        <v>0</v>
      </c>
      <c r="AN94">
        <f>IF(OR(EXACT(Asistencia!K99,"A"),EXACT(Asistencia!K99,"R"),EXACT(Asistencia!K99,"DL"),EXACT(Asistencia!K99,"FL"),EXACT(Asistencia!K99,"FE"),EXACT(Asistencia!K99,"PCS"),EXACT(Asistencia!K99,"V")),1,0)</f>
        <v>0</v>
      </c>
      <c r="AO94">
        <f>IF(OR(EXACT(Asistencia!L99,"A"),EXACT(Asistencia!L99,"R"),EXACT(Asistencia!L99,"DL"),EXACT(Asistencia!L99,"FL"),EXACT(Asistencia!L99,"FE"),EXACT(Asistencia!L99,"PCS"),EXACT(Asistencia!L99,"V")),1,0)</f>
        <v>0</v>
      </c>
      <c r="AP94">
        <f t="shared" si="62"/>
        <v>0</v>
      </c>
      <c r="AQ94">
        <f>IF(EXACT(Asistencia!F99,"FL"),1,0)</f>
        <v>0</v>
      </c>
      <c r="AR94">
        <f>IF(EXACT(Asistencia!G99,"FL"),1,0)</f>
        <v>0</v>
      </c>
      <c r="AS94">
        <f>IF(EXACT(Asistencia!H99,"FL"),1,0)</f>
        <v>0</v>
      </c>
      <c r="AT94">
        <f>IF(EXACT(Asistencia!I99,"FL"),1,0)</f>
        <v>0</v>
      </c>
      <c r="AU94">
        <f>IF(EXACT(Asistencia!J99,"FL"),1,0)</f>
        <v>0</v>
      </c>
      <c r="AV94">
        <f>IF(EXACT(Asistencia!K99,"FL"),1,0)</f>
        <v>0</v>
      </c>
      <c r="AW94">
        <f>IF(EXACT(Asistencia!L99,"FL"),1,0)</f>
        <v>0</v>
      </c>
      <c r="AX94">
        <f t="shared" si="63"/>
        <v>0</v>
      </c>
      <c r="AY94">
        <f>IF(EXACT(Asistencia!F99,"DL"),1,0)</f>
        <v>0</v>
      </c>
      <c r="AZ94">
        <f>IF(EXACT(Asistencia!G99,"DL"),1,0)</f>
        <v>0</v>
      </c>
      <c r="BA94">
        <f>IF(EXACT(Asistencia!H99,"DL"),1,0)</f>
        <v>0</v>
      </c>
      <c r="BB94">
        <f>IF(EXACT(Asistencia!I99,"DL"),1,0)</f>
        <v>0</v>
      </c>
      <c r="BC94">
        <f>IF(EXACT(Asistencia!J99,"DL"),1,0)</f>
        <v>0</v>
      </c>
      <c r="BD94">
        <f>IF(EXACT(Asistencia!K99,"DL"),1,0)</f>
        <v>0</v>
      </c>
      <c r="BE94">
        <f>IF(EXACT(Asistencia!L99,"DL"),1,0)</f>
        <v>0</v>
      </c>
      <c r="BF94">
        <f t="shared" si="64"/>
        <v>0</v>
      </c>
      <c r="BG94">
        <f>IF(ISNUMBER(Asistencia!M99),Asistencia!M99,0)</f>
        <v>0</v>
      </c>
      <c r="BH94">
        <f>IF(ISNUMBER(Asistencia!N99),Asistencia!N99,0)</f>
        <v>0</v>
      </c>
      <c r="BI94">
        <f>IF(ISNUMBER(Asistencia!O99),Asistencia!O99,0)</f>
        <v>0</v>
      </c>
      <c r="BJ94">
        <f>IF(ISNUMBER(Asistencia!P99),Asistencia!P99,0)</f>
        <v>0</v>
      </c>
      <c r="BK94" t="str">
        <f>IF(Asistencia!F99="","",Asistencia!F99)</f>
        <v/>
      </c>
      <c r="BL94" t="str">
        <f>IF(Asistencia!G99="","",Asistencia!G99)</f>
        <v/>
      </c>
      <c r="BM94" t="str">
        <f>IF(Asistencia!H99="","",Asistencia!H99)</f>
        <v/>
      </c>
      <c r="BN94" t="str">
        <f>IF(Asistencia!I99="","",Asistencia!I99)</f>
        <v/>
      </c>
      <c r="BO94" t="str">
        <f>IF(Asistencia!J99="","",Asistencia!J99)</f>
        <v/>
      </c>
      <c r="BP94" t="str">
        <f>IF(Asistencia!K99="","",Asistencia!K99)</f>
        <v/>
      </c>
      <c r="BQ94" t="str">
        <f>IF(Asistencia!L99="","",Asistencia!L99)</f>
        <v/>
      </c>
    </row>
    <row r="95" spans="1:69" ht="15.75" customHeight="1" x14ac:dyDescent="0.25">
      <c r="A95" s="46" t="str">
        <f t="shared" si="42"/>
        <v/>
      </c>
      <c r="B95" s="47" t="str">
        <f t="shared" si="43"/>
        <v/>
      </c>
      <c r="C95" s="47"/>
      <c r="D95" s="47"/>
      <c r="E95" s="46" t="str">
        <f t="shared" si="44"/>
        <v/>
      </c>
      <c r="F95" s="45" t="str">
        <f t="shared" si="45"/>
        <v/>
      </c>
      <c r="G95" s="44" t="str">
        <f t="shared" si="46"/>
        <v/>
      </c>
      <c r="H95" s="44" t="str">
        <f t="shared" si="47"/>
        <v/>
      </c>
      <c r="I95" s="44" t="str">
        <f t="shared" si="48"/>
        <v/>
      </c>
      <c r="J95" s="44" t="str">
        <f t="shared" si="49"/>
        <v/>
      </c>
      <c r="K95" s="44" t="str">
        <f t="shared" si="50"/>
        <v/>
      </c>
      <c r="L95" s="44" t="str">
        <f t="shared" si="51"/>
        <v/>
      </c>
      <c r="M95" s="43" t="str">
        <f t="shared" si="52"/>
        <v/>
      </c>
      <c r="N95" s="41" t="str">
        <f t="shared" si="53"/>
        <v/>
      </c>
      <c r="O95" s="41" t="str">
        <f t="shared" si="54"/>
        <v/>
      </c>
      <c r="P95" s="41" t="str">
        <f t="shared" si="55"/>
        <v/>
      </c>
      <c r="Q95" s="41" t="str">
        <f t="shared" si="56"/>
        <v/>
      </c>
      <c r="R95" s="41" t="str">
        <f t="shared" si="57"/>
        <v/>
      </c>
      <c r="S95" s="41"/>
      <c r="T95" s="48"/>
      <c r="U95" s="41" t="str">
        <f t="shared" si="58"/>
        <v/>
      </c>
      <c r="V95" s="41"/>
      <c r="W95" s="42" t="str">
        <f t="shared" si="59"/>
        <v/>
      </c>
      <c r="Y95" t="str">
        <f>IFERROR(MATCH(91,$AH$5:$AH$323,0),"")</f>
        <v/>
      </c>
      <c r="Z95" t="str">
        <f t="shared" si="60"/>
        <v/>
      </c>
      <c r="AA95" t="str">
        <f t="shared" si="61"/>
        <v/>
      </c>
      <c r="AB95" t="str">
        <f>IF(Asistencia!A100="","",Asistencia!A100)</f>
        <v/>
      </c>
      <c r="AC95" t="str">
        <f>IF(Asistencia!A100="","",SUBSTITUTE(SUBSTITUTE(SUBSTITUTE(SUBSTITUTE(SUBSTITUTE(SUBSTITUTE(SUBSTITUTE(UPPER(TRIM(Asistencia!A100)),"Á","A"),"É","E"),"Í","I"),"Ó","O"),"Ú","U"),"Ñ","N"),"  "," "))</f>
        <v/>
      </c>
      <c r="AD95" t="str">
        <f>IF(Asistencia!E100="","",Asistencia!E100)</f>
        <v/>
      </c>
      <c r="AE95" t="str">
        <f>IF(Asistencia!D100="","",UPPER(TRIM(Asistencia!D100)))</f>
        <v/>
      </c>
      <c r="AF95" t="s">
        <v>190</v>
      </c>
      <c r="AG95">
        <f>IF(AND(AA95&lt;&gt;"",COUNTIF($AA$5:AA95,AA95)=1),1,0)</f>
        <v>0</v>
      </c>
      <c r="AH95" t="str">
        <f>IF(AG95=1,SUM($AG$5:AG95),"")</f>
        <v/>
      </c>
      <c r="AI95">
        <f>IF(OR(EXACT(Asistencia!F100,"A"),EXACT(Asistencia!F100,"R"),EXACT(Asistencia!F100,"DL"),EXACT(Asistencia!F100,"FL"),EXACT(Asistencia!F100,"FE"),EXACT(Asistencia!F100,"PCS"),EXACT(Asistencia!F100,"V")),1,0)</f>
        <v>0</v>
      </c>
      <c r="AJ95">
        <f>IF(OR(EXACT(Asistencia!G100,"A"),EXACT(Asistencia!G100,"R"),EXACT(Asistencia!G100,"DL"),EXACT(Asistencia!G100,"FL"),EXACT(Asistencia!G100,"FE"),EXACT(Asistencia!G100,"PCS"),EXACT(Asistencia!G100,"V")),1,0)</f>
        <v>0</v>
      </c>
      <c r="AK95">
        <f>IF(OR(EXACT(Asistencia!H100,"A"),EXACT(Asistencia!H100,"R"),EXACT(Asistencia!H100,"DL"),EXACT(Asistencia!H100,"FL"),EXACT(Asistencia!H100,"FE"),EXACT(Asistencia!H100,"PCS"),EXACT(Asistencia!H100,"V")),1,0)</f>
        <v>0</v>
      </c>
      <c r="AL95">
        <f>IF(OR(EXACT(Asistencia!I100,"A"),EXACT(Asistencia!I100,"R"),EXACT(Asistencia!I100,"DL"),EXACT(Asistencia!I100,"FL"),EXACT(Asistencia!I100,"FE"),EXACT(Asistencia!I100,"PCS"),EXACT(Asistencia!I100,"V")),1,0)</f>
        <v>0</v>
      </c>
      <c r="AM95">
        <f>IF(OR(EXACT(Asistencia!J100,"A"),EXACT(Asistencia!J100,"R"),EXACT(Asistencia!J100,"DL"),EXACT(Asistencia!J100,"FL"),EXACT(Asistencia!J100,"FE"),EXACT(Asistencia!J100,"PCS"),EXACT(Asistencia!J100,"V")),1,0)</f>
        <v>0</v>
      </c>
      <c r="AN95">
        <f>IF(OR(EXACT(Asistencia!K100,"A"),EXACT(Asistencia!K100,"R"),EXACT(Asistencia!K100,"DL"),EXACT(Asistencia!K100,"FL"),EXACT(Asistencia!K100,"FE"),EXACT(Asistencia!K100,"PCS"),EXACT(Asistencia!K100,"V")),1,0)</f>
        <v>0</v>
      </c>
      <c r="AO95">
        <f>IF(OR(EXACT(Asistencia!L100,"A"),EXACT(Asistencia!L100,"R"),EXACT(Asistencia!L100,"DL"),EXACT(Asistencia!L100,"FL"),EXACT(Asistencia!L100,"FE"),EXACT(Asistencia!L100,"PCS"),EXACT(Asistencia!L100,"V")),1,0)</f>
        <v>0</v>
      </c>
      <c r="AP95">
        <f t="shared" si="62"/>
        <v>0</v>
      </c>
      <c r="AQ95">
        <f>IF(EXACT(Asistencia!F100,"FL"),1,0)</f>
        <v>0</v>
      </c>
      <c r="AR95">
        <f>IF(EXACT(Asistencia!G100,"FL"),1,0)</f>
        <v>0</v>
      </c>
      <c r="AS95">
        <f>IF(EXACT(Asistencia!H100,"FL"),1,0)</f>
        <v>0</v>
      </c>
      <c r="AT95">
        <f>IF(EXACT(Asistencia!I100,"FL"),1,0)</f>
        <v>0</v>
      </c>
      <c r="AU95">
        <f>IF(EXACT(Asistencia!J100,"FL"),1,0)</f>
        <v>0</v>
      </c>
      <c r="AV95">
        <f>IF(EXACT(Asistencia!K100,"FL"),1,0)</f>
        <v>0</v>
      </c>
      <c r="AW95">
        <f>IF(EXACT(Asistencia!L100,"FL"),1,0)</f>
        <v>0</v>
      </c>
      <c r="AX95">
        <f t="shared" si="63"/>
        <v>0</v>
      </c>
      <c r="AY95">
        <f>IF(EXACT(Asistencia!F100,"DL"),1,0)</f>
        <v>0</v>
      </c>
      <c r="AZ95">
        <f>IF(EXACT(Asistencia!G100,"DL"),1,0)</f>
        <v>0</v>
      </c>
      <c r="BA95">
        <f>IF(EXACT(Asistencia!H100,"DL"),1,0)</f>
        <v>0</v>
      </c>
      <c r="BB95">
        <f>IF(EXACT(Asistencia!I100,"DL"),1,0)</f>
        <v>0</v>
      </c>
      <c r="BC95">
        <f>IF(EXACT(Asistencia!J100,"DL"),1,0)</f>
        <v>0</v>
      </c>
      <c r="BD95">
        <f>IF(EXACT(Asistencia!K100,"DL"),1,0)</f>
        <v>0</v>
      </c>
      <c r="BE95">
        <f>IF(EXACT(Asistencia!L100,"DL"),1,0)</f>
        <v>0</v>
      </c>
      <c r="BF95">
        <f t="shared" si="64"/>
        <v>0</v>
      </c>
      <c r="BG95">
        <f>IF(ISNUMBER(Asistencia!M100),Asistencia!M100,0)</f>
        <v>0</v>
      </c>
      <c r="BH95">
        <f>IF(ISNUMBER(Asistencia!N100),Asistencia!N100,0)</f>
        <v>0</v>
      </c>
      <c r="BI95">
        <f>IF(ISNUMBER(Asistencia!O100),Asistencia!O100,0)</f>
        <v>0</v>
      </c>
      <c r="BJ95">
        <f>IF(ISNUMBER(Asistencia!P100),Asistencia!P100,0)</f>
        <v>0</v>
      </c>
      <c r="BK95" t="str">
        <f>IF(Asistencia!F100="","",Asistencia!F100)</f>
        <v/>
      </c>
      <c r="BL95" t="str">
        <f>IF(Asistencia!G100="","",Asistencia!G100)</f>
        <v/>
      </c>
      <c r="BM95" t="str">
        <f>IF(Asistencia!H100="","",Asistencia!H100)</f>
        <v/>
      </c>
      <c r="BN95" t="str">
        <f>IF(Asistencia!I100="","",Asistencia!I100)</f>
        <v/>
      </c>
      <c r="BO95" t="str">
        <f>IF(Asistencia!J100="","",Asistencia!J100)</f>
        <v/>
      </c>
      <c r="BP95" t="str">
        <f>IF(Asistencia!K100="","",Asistencia!K100)</f>
        <v/>
      </c>
      <c r="BQ95" t="str">
        <f>IF(Asistencia!L100="","",Asistencia!L100)</f>
        <v/>
      </c>
    </row>
    <row r="96" spans="1:69" ht="15.75" customHeight="1" x14ac:dyDescent="0.25">
      <c r="A96" s="46" t="str">
        <f t="shared" si="42"/>
        <v/>
      </c>
      <c r="B96" s="47" t="str">
        <f t="shared" si="43"/>
        <v/>
      </c>
      <c r="C96" s="47"/>
      <c r="D96" s="47"/>
      <c r="E96" s="46" t="str">
        <f t="shared" si="44"/>
        <v/>
      </c>
      <c r="F96" s="45" t="str">
        <f t="shared" si="45"/>
        <v/>
      </c>
      <c r="G96" s="44" t="str">
        <f t="shared" si="46"/>
        <v/>
      </c>
      <c r="H96" s="44" t="str">
        <f t="shared" si="47"/>
        <v/>
      </c>
      <c r="I96" s="44" t="str">
        <f t="shared" si="48"/>
        <v/>
      </c>
      <c r="J96" s="44" t="str">
        <f t="shared" si="49"/>
        <v/>
      </c>
      <c r="K96" s="44" t="str">
        <f t="shared" si="50"/>
        <v/>
      </c>
      <c r="L96" s="44" t="str">
        <f t="shared" si="51"/>
        <v/>
      </c>
      <c r="M96" s="43" t="str">
        <f t="shared" si="52"/>
        <v/>
      </c>
      <c r="N96" s="41" t="str">
        <f t="shared" si="53"/>
        <v/>
      </c>
      <c r="O96" s="41" t="str">
        <f t="shared" si="54"/>
        <v/>
      </c>
      <c r="P96" s="41" t="str">
        <f t="shared" si="55"/>
        <v/>
      </c>
      <c r="Q96" s="41" t="str">
        <f t="shared" si="56"/>
        <v/>
      </c>
      <c r="R96" s="41" t="str">
        <f t="shared" si="57"/>
        <v/>
      </c>
      <c r="S96" s="41"/>
      <c r="T96" s="48"/>
      <c r="U96" s="41" t="str">
        <f t="shared" si="58"/>
        <v/>
      </c>
      <c r="V96" s="41"/>
      <c r="W96" s="42" t="str">
        <f t="shared" si="59"/>
        <v/>
      </c>
      <c r="Y96" t="str">
        <f>IFERROR(MATCH(92,$AH$5:$AH$323,0),"")</f>
        <v/>
      </c>
      <c r="Z96" t="str">
        <f t="shared" si="60"/>
        <v/>
      </c>
      <c r="AA96" t="str">
        <f t="shared" si="61"/>
        <v/>
      </c>
      <c r="AB96" t="str">
        <f>IF(Asistencia!A101="","",Asistencia!A101)</f>
        <v/>
      </c>
      <c r="AC96" t="str">
        <f>IF(Asistencia!A101="","",SUBSTITUTE(SUBSTITUTE(SUBSTITUTE(SUBSTITUTE(SUBSTITUTE(SUBSTITUTE(SUBSTITUTE(UPPER(TRIM(Asistencia!A101)),"Á","A"),"É","E"),"Í","I"),"Ó","O"),"Ú","U"),"Ñ","N"),"  "," "))</f>
        <v/>
      </c>
      <c r="AD96" t="str">
        <f>IF(Asistencia!E101="","",Asistencia!E101)</f>
        <v/>
      </c>
      <c r="AE96" t="str">
        <f>IF(Asistencia!D101="","",UPPER(TRIM(Asistencia!D101)))</f>
        <v/>
      </c>
      <c r="AF96" t="s">
        <v>190</v>
      </c>
      <c r="AG96">
        <f>IF(AND(AA96&lt;&gt;"",COUNTIF($AA$5:AA96,AA96)=1),1,0)</f>
        <v>0</v>
      </c>
      <c r="AH96" t="str">
        <f>IF(AG96=1,SUM($AG$5:AG96),"")</f>
        <v/>
      </c>
      <c r="AI96">
        <f>IF(OR(EXACT(Asistencia!F101,"A"),EXACT(Asistencia!F101,"R"),EXACT(Asistencia!F101,"DL"),EXACT(Asistencia!F101,"FL"),EXACT(Asistencia!F101,"FE"),EXACT(Asistencia!F101,"PCS"),EXACT(Asistencia!F101,"V")),1,0)</f>
        <v>0</v>
      </c>
      <c r="AJ96">
        <f>IF(OR(EXACT(Asistencia!G101,"A"),EXACT(Asistencia!G101,"R"),EXACT(Asistencia!G101,"DL"),EXACT(Asistencia!G101,"FL"),EXACT(Asistencia!G101,"FE"),EXACT(Asistencia!G101,"PCS"),EXACT(Asistencia!G101,"V")),1,0)</f>
        <v>0</v>
      </c>
      <c r="AK96">
        <f>IF(OR(EXACT(Asistencia!H101,"A"),EXACT(Asistencia!H101,"R"),EXACT(Asistencia!H101,"DL"),EXACT(Asistencia!H101,"FL"),EXACT(Asistencia!H101,"FE"),EXACT(Asistencia!H101,"PCS"),EXACT(Asistencia!H101,"V")),1,0)</f>
        <v>0</v>
      </c>
      <c r="AL96">
        <f>IF(OR(EXACT(Asistencia!I101,"A"),EXACT(Asistencia!I101,"R"),EXACT(Asistencia!I101,"DL"),EXACT(Asistencia!I101,"FL"),EXACT(Asistencia!I101,"FE"),EXACT(Asistencia!I101,"PCS"),EXACT(Asistencia!I101,"V")),1,0)</f>
        <v>0</v>
      </c>
      <c r="AM96">
        <f>IF(OR(EXACT(Asistencia!J101,"A"),EXACT(Asistencia!J101,"R"),EXACT(Asistencia!J101,"DL"),EXACT(Asistencia!J101,"FL"),EXACT(Asistencia!J101,"FE"),EXACT(Asistencia!J101,"PCS"),EXACT(Asistencia!J101,"V")),1,0)</f>
        <v>0</v>
      </c>
      <c r="AN96">
        <f>IF(OR(EXACT(Asistencia!K101,"A"),EXACT(Asistencia!K101,"R"),EXACT(Asistencia!K101,"DL"),EXACT(Asistencia!K101,"FL"),EXACT(Asistencia!K101,"FE"),EXACT(Asistencia!K101,"PCS"),EXACT(Asistencia!K101,"V")),1,0)</f>
        <v>0</v>
      </c>
      <c r="AO96">
        <f>IF(OR(EXACT(Asistencia!L101,"A"),EXACT(Asistencia!L101,"R"),EXACT(Asistencia!L101,"DL"),EXACT(Asistencia!L101,"FL"),EXACT(Asistencia!L101,"FE"),EXACT(Asistencia!L101,"PCS"),EXACT(Asistencia!L101,"V")),1,0)</f>
        <v>0</v>
      </c>
      <c r="AP96">
        <f t="shared" si="62"/>
        <v>0</v>
      </c>
      <c r="AQ96">
        <f>IF(EXACT(Asistencia!F101,"FL"),1,0)</f>
        <v>0</v>
      </c>
      <c r="AR96">
        <f>IF(EXACT(Asistencia!G101,"FL"),1,0)</f>
        <v>0</v>
      </c>
      <c r="AS96">
        <f>IF(EXACT(Asistencia!H101,"FL"),1,0)</f>
        <v>0</v>
      </c>
      <c r="AT96">
        <f>IF(EXACT(Asistencia!I101,"FL"),1,0)</f>
        <v>0</v>
      </c>
      <c r="AU96">
        <f>IF(EXACT(Asistencia!J101,"FL"),1,0)</f>
        <v>0</v>
      </c>
      <c r="AV96">
        <f>IF(EXACT(Asistencia!K101,"FL"),1,0)</f>
        <v>0</v>
      </c>
      <c r="AW96">
        <f>IF(EXACT(Asistencia!L101,"FL"),1,0)</f>
        <v>0</v>
      </c>
      <c r="AX96">
        <f t="shared" si="63"/>
        <v>0</v>
      </c>
      <c r="AY96">
        <f>IF(EXACT(Asistencia!F101,"DL"),1,0)</f>
        <v>0</v>
      </c>
      <c r="AZ96">
        <f>IF(EXACT(Asistencia!G101,"DL"),1,0)</f>
        <v>0</v>
      </c>
      <c r="BA96">
        <f>IF(EXACT(Asistencia!H101,"DL"),1,0)</f>
        <v>0</v>
      </c>
      <c r="BB96">
        <f>IF(EXACT(Asistencia!I101,"DL"),1,0)</f>
        <v>0</v>
      </c>
      <c r="BC96">
        <f>IF(EXACT(Asistencia!J101,"DL"),1,0)</f>
        <v>0</v>
      </c>
      <c r="BD96">
        <f>IF(EXACT(Asistencia!K101,"DL"),1,0)</f>
        <v>0</v>
      </c>
      <c r="BE96">
        <f>IF(EXACT(Asistencia!L101,"DL"),1,0)</f>
        <v>0</v>
      </c>
      <c r="BF96">
        <f t="shared" si="64"/>
        <v>0</v>
      </c>
      <c r="BG96">
        <f>IF(ISNUMBER(Asistencia!M101),Asistencia!M101,0)</f>
        <v>0</v>
      </c>
      <c r="BH96">
        <f>IF(ISNUMBER(Asistencia!N101),Asistencia!N101,0)</f>
        <v>0</v>
      </c>
      <c r="BI96">
        <f>IF(ISNUMBER(Asistencia!O101),Asistencia!O101,0)</f>
        <v>0</v>
      </c>
      <c r="BJ96">
        <f>IF(ISNUMBER(Asistencia!P101),Asistencia!P101,0)</f>
        <v>0</v>
      </c>
      <c r="BK96" t="str">
        <f>IF(Asistencia!F101="","",Asistencia!F101)</f>
        <v/>
      </c>
      <c r="BL96" t="str">
        <f>IF(Asistencia!G101="","",Asistencia!G101)</f>
        <v/>
      </c>
      <c r="BM96" t="str">
        <f>IF(Asistencia!H101="","",Asistencia!H101)</f>
        <v/>
      </c>
      <c r="BN96" t="str">
        <f>IF(Asistencia!I101="","",Asistencia!I101)</f>
        <v/>
      </c>
      <c r="BO96" t="str">
        <f>IF(Asistencia!J101="","",Asistencia!J101)</f>
        <v/>
      </c>
      <c r="BP96" t="str">
        <f>IF(Asistencia!K101="","",Asistencia!K101)</f>
        <v/>
      </c>
      <c r="BQ96" t="str">
        <f>IF(Asistencia!L101="","",Asistencia!L101)</f>
        <v/>
      </c>
    </row>
    <row r="97" spans="1:69" ht="15.75" customHeight="1" x14ac:dyDescent="0.25">
      <c r="A97" s="46" t="str">
        <f t="shared" si="42"/>
        <v/>
      </c>
      <c r="B97" s="47" t="str">
        <f t="shared" si="43"/>
        <v/>
      </c>
      <c r="C97" s="47"/>
      <c r="D97" s="47"/>
      <c r="E97" s="46" t="str">
        <f t="shared" si="44"/>
        <v/>
      </c>
      <c r="F97" s="45" t="str">
        <f t="shared" si="45"/>
        <v/>
      </c>
      <c r="G97" s="44" t="str">
        <f t="shared" si="46"/>
        <v/>
      </c>
      <c r="H97" s="44" t="str">
        <f t="shared" si="47"/>
        <v/>
      </c>
      <c r="I97" s="44" t="str">
        <f t="shared" si="48"/>
        <v/>
      </c>
      <c r="J97" s="44" t="str">
        <f t="shared" si="49"/>
        <v/>
      </c>
      <c r="K97" s="44" t="str">
        <f t="shared" si="50"/>
        <v/>
      </c>
      <c r="L97" s="44" t="str">
        <f t="shared" si="51"/>
        <v/>
      </c>
      <c r="M97" s="43" t="str">
        <f t="shared" si="52"/>
        <v/>
      </c>
      <c r="N97" s="41" t="str">
        <f t="shared" si="53"/>
        <v/>
      </c>
      <c r="O97" s="41" t="str">
        <f t="shared" si="54"/>
        <v/>
      </c>
      <c r="P97" s="41" t="str">
        <f t="shared" si="55"/>
        <v/>
      </c>
      <c r="Q97" s="41" t="str">
        <f t="shared" si="56"/>
        <v/>
      </c>
      <c r="R97" s="41" t="str">
        <f t="shared" si="57"/>
        <v/>
      </c>
      <c r="S97" s="41"/>
      <c r="T97" s="48"/>
      <c r="U97" s="41" t="str">
        <f t="shared" si="58"/>
        <v/>
      </c>
      <c r="V97" s="41"/>
      <c r="W97" s="42" t="str">
        <f t="shared" si="59"/>
        <v/>
      </c>
      <c r="Y97" t="str">
        <f>IFERROR(MATCH(93,$AH$5:$AH$323,0),"")</f>
        <v/>
      </c>
      <c r="Z97" t="str">
        <f t="shared" si="60"/>
        <v/>
      </c>
      <c r="AA97" t="str">
        <f t="shared" si="61"/>
        <v/>
      </c>
      <c r="AB97" t="str">
        <f>IF(Asistencia!A102="","",Asistencia!A102)</f>
        <v/>
      </c>
      <c r="AC97" t="str">
        <f>IF(Asistencia!A102="","",SUBSTITUTE(SUBSTITUTE(SUBSTITUTE(SUBSTITUTE(SUBSTITUTE(SUBSTITUTE(SUBSTITUTE(UPPER(TRIM(Asistencia!A102)),"Á","A"),"É","E"),"Í","I"),"Ó","O"),"Ú","U"),"Ñ","N"),"  "," "))</f>
        <v/>
      </c>
      <c r="AD97" t="str">
        <f>IF(Asistencia!E102="","",Asistencia!E102)</f>
        <v/>
      </c>
      <c r="AE97" t="str">
        <f>IF(Asistencia!D102="","",UPPER(TRIM(Asistencia!D102)))</f>
        <v/>
      </c>
      <c r="AF97" t="s">
        <v>190</v>
      </c>
      <c r="AG97">
        <f>IF(AND(AA97&lt;&gt;"",COUNTIF($AA$5:AA97,AA97)=1),1,0)</f>
        <v>0</v>
      </c>
      <c r="AH97" t="str">
        <f>IF(AG97=1,SUM($AG$5:AG97),"")</f>
        <v/>
      </c>
      <c r="AI97">
        <f>IF(OR(EXACT(Asistencia!F102,"A"),EXACT(Asistencia!F102,"R"),EXACT(Asistencia!F102,"DL"),EXACT(Asistencia!F102,"FL"),EXACT(Asistencia!F102,"FE"),EXACT(Asistencia!F102,"PCS"),EXACT(Asistencia!F102,"V")),1,0)</f>
        <v>0</v>
      </c>
      <c r="AJ97">
        <f>IF(OR(EXACT(Asistencia!G102,"A"),EXACT(Asistencia!G102,"R"),EXACT(Asistencia!G102,"DL"),EXACT(Asistencia!G102,"FL"),EXACT(Asistencia!G102,"FE"),EXACT(Asistencia!G102,"PCS"),EXACT(Asistencia!G102,"V")),1,0)</f>
        <v>0</v>
      </c>
      <c r="AK97">
        <f>IF(OR(EXACT(Asistencia!H102,"A"),EXACT(Asistencia!H102,"R"),EXACT(Asistencia!H102,"DL"),EXACT(Asistencia!H102,"FL"),EXACT(Asistencia!H102,"FE"),EXACT(Asistencia!H102,"PCS"),EXACT(Asistencia!H102,"V")),1,0)</f>
        <v>0</v>
      </c>
      <c r="AL97">
        <f>IF(OR(EXACT(Asistencia!I102,"A"),EXACT(Asistencia!I102,"R"),EXACT(Asistencia!I102,"DL"),EXACT(Asistencia!I102,"FL"),EXACT(Asistencia!I102,"FE"),EXACT(Asistencia!I102,"PCS"),EXACT(Asistencia!I102,"V")),1,0)</f>
        <v>0</v>
      </c>
      <c r="AM97">
        <f>IF(OR(EXACT(Asistencia!J102,"A"),EXACT(Asistencia!J102,"R"),EXACT(Asistencia!J102,"DL"),EXACT(Asistencia!J102,"FL"),EXACT(Asistencia!J102,"FE"),EXACT(Asistencia!J102,"PCS"),EXACT(Asistencia!J102,"V")),1,0)</f>
        <v>0</v>
      </c>
      <c r="AN97">
        <f>IF(OR(EXACT(Asistencia!K102,"A"),EXACT(Asistencia!K102,"R"),EXACT(Asistencia!K102,"DL"),EXACT(Asistencia!K102,"FL"),EXACT(Asistencia!K102,"FE"),EXACT(Asistencia!K102,"PCS"),EXACT(Asistencia!K102,"V")),1,0)</f>
        <v>0</v>
      </c>
      <c r="AO97">
        <f>IF(OR(EXACT(Asistencia!L102,"A"),EXACT(Asistencia!L102,"R"),EXACT(Asistencia!L102,"DL"),EXACT(Asistencia!L102,"FL"),EXACT(Asistencia!L102,"FE"),EXACT(Asistencia!L102,"PCS"),EXACT(Asistencia!L102,"V")),1,0)</f>
        <v>0</v>
      </c>
      <c r="AP97">
        <f t="shared" si="62"/>
        <v>0</v>
      </c>
      <c r="AQ97">
        <f>IF(EXACT(Asistencia!F102,"FL"),1,0)</f>
        <v>0</v>
      </c>
      <c r="AR97">
        <f>IF(EXACT(Asistencia!G102,"FL"),1,0)</f>
        <v>0</v>
      </c>
      <c r="AS97">
        <f>IF(EXACT(Asistencia!H102,"FL"),1,0)</f>
        <v>0</v>
      </c>
      <c r="AT97">
        <f>IF(EXACT(Asistencia!I102,"FL"),1,0)</f>
        <v>0</v>
      </c>
      <c r="AU97">
        <f>IF(EXACT(Asistencia!J102,"FL"),1,0)</f>
        <v>0</v>
      </c>
      <c r="AV97">
        <f>IF(EXACT(Asistencia!K102,"FL"),1,0)</f>
        <v>0</v>
      </c>
      <c r="AW97">
        <f>IF(EXACT(Asistencia!L102,"FL"),1,0)</f>
        <v>0</v>
      </c>
      <c r="AX97">
        <f t="shared" si="63"/>
        <v>0</v>
      </c>
      <c r="AY97">
        <f>IF(EXACT(Asistencia!F102,"DL"),1,0)</f>
        <v>0</v>
      </c>
      <c r="AZ97">
        <f>IF(EXACT(Asistencia!G102,"DL"),1,0)</f>
        <v>0</v>
      </c>
      <c r="BA97">
        <f>IF(EXACT(Asistencia!H102,"DL"),1,0)</f>
        <v>0</v>
      </c>
      <c r="BB97">
        <f>IF(EXACT(Asistencia!I102,"DL"),1,0)</f>
        <v>0</v>
      </c>
      <c r="BC97">
        <f>IF(EXACT(Asistencia!J102,"DL"),1,0)</f>
        <v>0</v>
      </c>
      <c r="BD97">
        <f>IF(EXACT(Asistencia!K102,"DL"),1,0)</f>
        <v>0</v>
      </c>
      <c r="BE97">
        <f>IF(EXACT(Asistencia!L102,"DL"),1,0)</f>
        <v>0</v>
      </c>
      <c r="BF97">
        <f t="shared" si="64"/>
        <v>0</v>
      </c>
      <c r="BG97">
        <f>IF(ISNUMBER(Asistencia!M102),Asistencia!M102,0)</f>
        <v>0</v>
      </c>
      <c r="BH97">
        <f>IF(ISNUMBER(Asistencia!N102),Asistencia!N102,0)</f>
        <v>0</v>
      </c>
      <c r="BI97">
        <f>IF(ISNUMBER(Asistencia!O102),Asistencia!O102,0)</f>
        <v>0</v>
      </c>
      <c r="BJ97">
        <f>IF(ISNUMBER(Asistencia!P102),Asistencia!P102,0)</f>
        <v>0</v>
      </c>
      <c r="BK97" t="str">
        <f>IF(Asistencia!F102="","",Asistencia!F102)</f>
        <v/>
      </c>
      <c r="BL97" t="str">
        <f>IF(Asistencia!G102="","",Asistencia!G102)</f>
        <v/>
      </c>
      <c r="BM97" t="str">
        <f>IF(Asistencia!H102="","",Asistencia!H102)</f>
        <v/>
      </c>
      <c r="BN97" t="str">
        <f>IF(Asistencia!I102="","",Asistencia!I102)</f>
        <v/>
      </c>
      <c r="BO97" t="str">
        <f>IF(Asistencia!J102="","",Asistencia!J102)</f>
        <v/>
      </c>
      <c r="BP97" t="str">
        <f>IF(Asistencia!K102="","",Asistencia!K102)</f>
        <v/>
      </c>
      <c r="BQ97" t="str">
        <f>IF(Asistencia!L102="","",Asistencia!L102)</f>
        <v/>
      </c>
    </row>
    <row r="98" spans="1:69" ht="15.75" customHeight="1" x14ac:dyDescent="0.25">
      <c r="A98" s="46" t="str">
        <f t="shared" si="42"/>
        <v/>
      </c>
      <c r="B98" s="47" t="str">
        <f t="shared" si="43"/>
        <v/>
      </c>
      <c r="C98" s="47"/>
      <c r="D98" s="47"/>
      <c r="E98" s="46" t="str">
        <f t="shared" si="44"/>
        <v/>
      </c>
      <c r="F98" s="45" t="str">
        <f t="shared" si="45"/>
        <v/>
      </c>
      <c r="G98" s="44" t="str">
        <f t="shared" si="46"/>
        <v/>
      </c>
      <c r="H98" s="44" t="str">
        <f t="shared" si="47"/>
        <v/>
      </c>
      <c r="I98" s="44" t="str">
        <f t="shared" si="48"/>
        <v/>
      </c>
      <c r="J98" s="44" t="str">
        <f t="shared" si="49"/>
        <v/>
      </c>
      <c r="K98" s="44" t="str">
        <f t="shared" si="50"/>
        <v/>
      </c>
      <c r="L98" s="44" t="str">
        <f t="shared" si="51"/>
        <v/>
      </c>
      <c r="M98" s="43" t="str">
        <f t="shared" si="52"/>
        <v/>
      </c>
      <c r="N98" s="41" t="str">
        <f t="shared" si="53"/>
        <v/>
      </c>
      <c r="O98" s="41" t="str">
        <f t="shared" si="54"/>
        <v/>
      </c>
      <c r="P98" s="41" t="str">
        <f t="shared" si="55"/>
        <v/>
      </c>
      <c r="Q98" s="41" t="str">
        <f t="shared" si="56"/>
        <v/>
      </c>
      <c r="R98" s="41" t="str">
        <f t="shared" si="57"/>
        <v/>
      </c>
      <c r="S98" s="41"/>
      <c r="T98" s="48"/>
      <c r="U98" s="41" t="str">
        <f t="shared" si="58"/>
        <v/>
      </c>
      <c r="V98" s="41"/>
      <c r="W98" s="42" t="str">
        <f t="shared" si="59"/>
        <v/>
      </c>
      <c r="Y98" t="str">
        <f>IFERROR(MATCH(94,$AH$5:$AH$323,0),"")</f>
        <v/>
      </c>
      <c r="Z98" t="str">
        <f t="shared" si="60"/>
        <v/>
      </c>
      <c r="AA98" t="str">
        <f t="shared" si="61"/>
        <v/>
      </c>
      <c r="AB98" t="str">
        <f>IF(Asistencia!A103="","",Asistencia!A103)</f>
        <v/>
      </c>
      <c r="AC98" t="str">
        <f>IF(Asistencia!A103="","",SUBSTITUTE(SUBSTITUTE(SUBSTITUTE(SUBSTITUTE(SUBSTITUTE(SUBSTITUTE(SUBSTITUTE(UPPER(TRIM(Asistencia!A103)),"Á","A"),"É","E"),"Í","I"),"Ó","O"),"Ú","U"),"Ñ","N"),"  "," "))</f>
        <v/>
      </c>
      <c r="AD98" t="str">
        <f>IF(Asistencia!E103="","",Asistencia!E103)</f>
        <v/>
      </c>
      <c r="AE98" t="str">
        <f>IF(Asistencia!D103="","",UPPER(TRIM(Asistencia!D103)))</f>
        <v/>
      </c>
      <c r="AF98" t="s">
        <v>190</v>
      </c>
      <c r="AG98">
        <f>IF(AND(AA98&lt;&gt;"",COUNTIF($AA$5:AA98,AA98)=1),1,0)</f>
        <v>0</v>
      </c>
      <c r="AH98" t="str">
        <f>IF(AG98=1,SUM($AG$5:AG98),"")</f>
        <v/>
      </c>
      <c r="AI98">
        <f>IF(OR(EXACT(Asistencia!F103,"A"),EXACT(Asistencia!F103,"R"),EXACT(Asistencia!F103,"DL"),EXACT(Asistencia!F103,"FL"),EXACT(Asistencia!F103,"FE"),EXACT(Asistencia!F103,"PCS"),EXACT(Asistencia!F103,"V")),1,0)</f>
        <v>0</v>
      </c>
      <c r="AJ98">
        <f>IF(OR(EXACT(Asistencia!G103,"A"),EXACT(Asistencia!G103,"R"),EXACT(Asistencia!G103,"DL"),EXACT(Asistencia!G103,"FL"),EXACT(Asistencia!G103,"FE"),EXACT(Asistencia!G103,"PCS"),EXACT(Asistencia!G103,"V")),1,0)</f>
        <v>0</v>
      </c>
      <c r="AK98">
        <f>IF(OR(EXACT(Asistencia!H103,"A"),EXACT(Asistencia!H103,"R"),EXACT(Asistencia!H103,"DL"),EXACT(Asistencia!H103,"FL"),EXACT(Asistencia!H103,"FE"),EXACT(Asistencia!H103,"PCS"),EXACT(Asistencia!H103,"V")),1,0)</f>
        <v>0</v>
      </c>
      <c r="AL98">
        <f>IF(OR(EXACT(Asistencia!I103,"A"),EXACT(Asistencia!I103,"R"),EXACT(Asistencia!I103,"DL"),EXACT(Asistencia!I103,"FL"),EXACT(Asistencia!I103,"FE"),EXACT(Asistencia!I103,"PCS"),EXACT(Asistencia!I103,"V")),1,0)</f>
        <v>0</v>
      </c>
      <c r="AM98">
        <f>IF(OR(EXACT(Asistencia!J103,"A"),EXACT(Asistencia!J103,"R"),EXACT(Asistencia!J103,"DL"),EXACT(Asistencia!J103,"FL"),EXACT(Asistencia!J103,"FE"),EXACT(Asistencia!J103,"PCS"),EXACT(Asistencia!J103,"V")),1,0)</f>
        <v>0</v>
      </c>
      <c r="AN98">
        <f>IF(OR(EXACT(Asistencia!K103,"A"),EXACT(Asistencia!K103,"R"),EXACT(Asistencia!K103,"DL"),EXACT(Asistencia!K103,"FL"),EXACT(Asistencia!K103,"FE"),EXACT(Asistencia!K103,"PCS"),EXACT(Asistencia!K103,"V")),1,0)</f>
        <v>0</v>
      </c>
      <c r="AO98">
        <f>IF(OR(EXACT(Asistencia!L103,"A"),EXACT(Asistencia!L103,"R"),EXACT(Asistencia!L103,"DL"),EXACT(Asistencia!L103,"FL"),EXACT(Asistencia!L103,"FE"),EXACT(Asistencia!L103,"PCS"),EXACT(Asistencia!L103,"V")),1,0)</f>
        <v>0</v>
      </c>
      <c r="AP98">
        <f t="shared" si="62"/>
        <v>0</v>
      </c>
      <c r="AQ98">
        <f>IF(EXACT(Asistencia!F103,"FL"),1,0)</f>
        <v>0</v>
      </c>
      <c r="AR98">
        <f>IF(EXACT(Asistencia!G103,"FL"),1,0)</f>
        <v>0</v>
      </c>
      <c r="AS98">
        <f>IF(EXACT(Asistencia!H103,"FL"),1,0)</f>
        <v>0</v>
      </c>
      <c r="AT98">
        <f>IF(EXACT(Asistencia!I103,"FL"),1,0)</f>
        <v>0</v>
      </c>
      <c r="AU98">
        <f>IF(EXACT(Asistencia!J103,"FL"),1,0)</f>
        <v>0</v>
      </c>
      <c r="AV98">
        <f>IF(EXACT(Asistencia!K103,"FL"),1,0)</f>
        <v>0</v>
      </c>
      <c r="AW98">
        <f>IF(EXACT(Asistencia!L103,"FL"),1,0)</f>
        <v>0</v>
      </c>
      <c r="AX98">
        <f t="shared" si="63"/>
        <v>0</v>
      </c>
      <c r="AY98">
        <f>IF(EXACT(Asistencia!F103,"DL"),1,0)</f>
        <v>0</v>
      </c>
      <c r="AZ98">
        <f>IF(EXACT(Asistencia!G103,"DL"),1,0)</f>
        <v>0</v>
      </c>
      <c r="BA98">
        <f>IF(EXACT(Asistencia!H103,"DL"),1,0)</f>
        <v>0</v>
      </c>
      <c r="BB98">
        <f>IF(EXACT(Asistencia!I103,"DL"),1,0)</f>
        <v>0</v>
      </c>
      <c r="BC98">
        <f>IF(EXACT(Asistencia!J103,"DL"),1,0)</f>
        <v>0</v>
      </c>
      <c r="BD98">
        <f>IF(EXACT(Asistencia!K103,"DL"),1,0)</f>
        <v>0</v>
      </c>
      <c r="BE98">
        <f>IF(EXACT(Asistencia!L103,"DL"),1,0)</f>
        <v>0</v>
      </c>
      <c r="BF98">
        <f t="shared" si="64"/>
        <v>0</v>
      </c>
      <c r="BG98">
        <f>IF(ISNUMBER(Asistencia!M103),Asistencia!M103,0)</f>
        <v>0</v>
      </c>
      <c r="BH98">
        <f>IF(ISNUMBER(Asistencia!N103),Asistencia!N103,0)</f>
        <v>0</v>
      </c>
      <c r="BI98">
        <f>IF(ISNUMBER(Asistencia!O103),Asistencia!O103,0)</f>
        <v>0</v>
      </c>
      <c r="BJ98">
        <f>IF(ISNUMBER(Asistencia!P103),Asistencia!P103,0)</f>
        <v>0</v>
      </c>
      <c r="BK98" t="str">
        <f>IF(Asistencia!F103="","",Asistencia!F103)</f>
        <v/>
      </c>
      <c r="BL98" t="str">
        <f>IF(Asistencia!G103="","",Asistencia!G103)</f>
        <v/>
      </c>
      <c r="BM98" t="str">
        <f>IF(Asistencia!H103="","",Asistencia!H103)</f>
        <v/>
      </c>
      <c r="BN98" t="str">
        <f>IF(Asistencia!I103="","",Asistencia!I103)</f>
        <v/>
      </c>
      <c r="BO98" t="str">
        <f>IF(Asistencia!J103="","",Asistencia!J103)</f>
        <v/>
      </c>
      <c r="BP98" t="str">
        <f>IF(Asistencia!K103="","",Asistencia!K103)</f>
        <v/>
      </c>
      <c r="BQ98" t="str">
        <f>IF(Asistencia!L103="","",Asistencia!L103)</f>
        <v/>
      </c>
    </row>
    <row r="99" spans="1:69" ht="15.75" customHeight="1" x14ac:dyDescent="0.25">
      <c r="A99" s="46" t="str">
        <f t="shared" si="42"/>
        <v/>
      </c>
      <c r="B99" s="47" t="str">
        <f t="shared" si="43"/>
        <v/>
      </c>
      <c r="C99" s="47"/>
      <c r="D99" s="47"/>
      <c r="E99" s="46" t="str">
        <f t="shared" si="44"/>
        <v/>
      </c>
      <c r="F99" s="45" t="str">
        <f t="shared" si="45"/>
        <v/>
      </c>
      <c r="G99" s="44" t="str">
        <f t="shared" si="46"/>
        <v/>
      </c>
      <c r="H99" s="44" t="str">
        <f t="shared" si="47"/>
        <v/>
      </c>
      <c r="I99" s="44" t="str">
        <f t="shared" si="48"/>
        <v/>
      </c>
      <c r="J99" s="44" t="str">
        <f t="shared" si="49"/>
        <v/>
      </c>
      <c r="K99" s="44" t="str">
        <f t="shared" si="50"/>
        <v/>
      </c>
      <c r="L99" s="44" t="str">
        <f t="shared" si="51"/>
        <v/>
      </c>
      <c r="M99" s="43" t="str">
        <f t="shared" si="52"/>
        <v/>
      </c>
      <c r="N99" s="41" t="str">
        <f t="shared" si="53"/>
        <v/>
      </c>
      <c r="O99" s="41" t="str">
        <f t="shared" si="54"/>
        <v/>
      </c>
      <c r="P99" s="41" t="str">
        <f t="shared" si="55"/>
        <v/>
      </c>
      <c r="Q99" s="41" t="str">
        <f t="shared" si="56"/>
        <v/>
      </c>
      <c r="R99" s="41" t="str">
        <f t="shared" si="57"/>
        <v/>
      </c>
      <c r="S99" s="41"/>
      <c r="T99" s="48"/>
      <c r="U99" s="41" t="str">
        <f t="shared" si="58"/>
        <v/>
      </c>
      <c r="V99" s="41"/>
      <c r="W99" s="42" t="str">
        <f t="shared" si="59"/>
        <v/>
      </c>
      <c r="Y99" t="str">
        <f>IFERROR(MATCH(95,$AH$5:$AH$323,0),"")</f>
        <v/>
      </c>
      <c r="Z99" t="str">
        <f t="shared" si="60"/>
        <v/>
      </c>
      <c r="AA99" t="str">
        <f t="shared" si="61"/>
        <v/>
      </c>
      <c r="AB99" t="str">
        <f>IF(Asistencia!A104="","",Asistencia!A104)</f>
        <v/>
      </c>
      <c r="AC99" t="str">
        <f>IF(Asistencia!A104="","",SUBSTITUTE(SUBSTITUTE(SUBSTITUTE(SUBSTITUTE(SUBSTITUTE(SUBSTITUTE(SUBSTITUTE(UPPER(TRIM(Asistencia!A104)),"Á","A"),"É","E"),"Í","I"),"Ó","O"),"Ú","U"),"Ñ","N"),"  "," "))</f>
        <v/>
      </c>
      <c r="AD99" t="str">
        <f>IF(Asistencia!E104="","",Asistencia!E104)</f>
        <v/>
      </c>
      <c r="AE99" t="str">
        <f>IF(Asistencia!D104="","",UPPER(TRIM(Asistencia!D104)))</f>
        <v/>
      </c>
      <c r="AF99" t="s">
        <v>190</v>
      </c>
      <c r="AG99">
        <f>IF(AND(AA99&lt;&gt;"",COUNTIF($AA$5:AA99,AA99)=1),1,0)</f>
        <v>0</v>
      </c>
      <c r="AH99" t="str">
        <f>IF(AG99=1,SUM($AG$5:AG99),"")</f>
        <v/>
      </c>
      <c r="AI99">
        <f>IF(OR(EXACT(Asistencia!F104,"A"),EXACT(Asistencia!F104,"R"),EXACT(Asistencia!F104,"DL"),EXACT(Asistencia!F104,"FL"),EXACT(Asistencia!F104,"FE"),EXACT(Asistencia!F104,"PCS"),EXACT(Asistencia!F104,"V")),1,0)</f>
        <v>0</v>
      </c>
      <c r="AJ99">
        <f>IF(OR(EXACT(Asistencia!G104,"A"),EXACT(Asistencia!G104,"R"),EXACT(Asistencia!G104,"DL"),EXACT(Asistencia!G104,"FL"),EXACT(Asistencia!G104,"FE"),EXACT(Asistencia!G104,"PCS"),EXACT(Asistencia!G104,"V")),1,0)</f>
        <v>0</v>
      </c>
      <c r="AK99">
        <f>IF(OR(EXACT(Asistencia!H104,"A"),EXACT(Asistencia!H104,"R"),EXACT(Asistencia!H104,"DL"),EXACT(Asistencia!H104,"FL"),EXACT(Asistencia!H104,"FE"),EXACT(Asistencia!H104,"PCS"),EXACT(Asistencia!H104,"V")),1,0)</f>
        <v>0</v>
      </c>
      <c r="AL99">
        <f>IF(OR(EXACT(Asistencia!I104,"A"),EXACT(Asistencia!I104,"R"),EXACT(Asistencia!I104,"DL"),EXACT(Asistencia!I104,"FL"),EXACT(Asistencia!I104,"FE"),EXACT(Asistencia!I104,"PCS"),EXACT(Asistencia!I104,"V")),1,0)</f>
        <v>0</v>
      </c>
      <c r="AM99">
        <f>IF(OR(EXACT(Asistencia!J104,"A"),EXACT(Asistencia!J104,"R"),EXACT(Asistencia!J104,"DL"),EXACT(Asistencia!J104,"FL"),EXACT(Asistencia!J104,"FE"),EXACT(Asistencia!J104,"PCS"),EXACT(Asistencia!J104,"V")),1,0)</f>
        <v>0</v>
      </c>
      <c r="AN99">
        <f>IF(OR(EXACT(Asistencia!K104,"A"),EXACT(Asistencia!K104,"R"),EXACT(Asistencia!K104,"DL"),EXACT(Asistencia!K104,"FL"),EXACT(Asistencia!K104,"FE"),EXACT(Asistencia!K104,"PCS"),EXACT(Asistencia!K104,"V")),1,0)</f>
        <v>0</v>
      </c>
      <c r="AO99">
        <f>IF(OR(EXACT(Asistencia!L104,"A"),EXACT(Asistencia!L104,"R"),EXACT(Asistencia!L104,"DL"),EXACT(Asistencia!L104,"FL"),EXACT(Asistencia!L104,"FE"),EXACT(Asistencia!L104,"PCS"),EXACT(Asistencia!L104,"V")),1,0)</f>
        <v>0</v>
      </c>
      <c r="AP99">
        <f t="shared" si="62"/>
        <v>0</v>
      </c>
      <c r="AQ99">
        <f>IF(EXACT(Asistencia!F104,"FL"),1,0)</f>
        <v>0</v>
      </c>
      <c r="AR99">
        <f>IF(EXACT(Asistencia!G104,"FL"),1,0)</f>
        <v>0</v>
      </c>
      <c r="AS99">
        <f>IF(EXACT(Asistencia!H104,"FL"),1,0)</f>
        <v>0</v>
      </c>
      <c r="AT99">
        <f>IF(EXACT(Asistencia!I104,"FL"),1,0)</f>
        <v>0</v>
      </c>
      <c r="AU99">
        <f>IF(EXACT(Asistencia!J104,"FL"),1,0)</f>
        <v>0</v>
      </c>
      <c r="AV99">
        <f>IF(EXACT(Asistencia!K104,"FL"),1,0)</f>
        <v>0</v>
      </c>
      <c r="AW99">
        <f>IF(EXACT(Asistencia!L104,"FL"),1,0)</f>
        <v>0</v>
      </c>
      <c r="AX99">
        <f t="shared" si="63"/>
        <v>0</v>
      </c>
      <c r="AY99">
        <f>IF(EXACT(Asistencia!F104,"DL"),1,0)</f>
        <v>0</v>
      </c>
      <c r="AZ99">
        <f>IF(EXACT(Asistencia!G104,"DL"),1,0)</f>
        <v>0</v>
      </c>
      <c r="BA99">
        <f>IF(EXACT(Asistencia!H104,"DL"),1,0)</f>
        <v>0</v>
      </c>
      <c r="BB99">
        <f>IF(EXACT(Asistencia!I104,"DL"),1,0)</f>
        <v>0</v>
      </c>
      <c r="BC99">
        <f>IF(EXACT(Asistencia!J104,"DL"),1,0)</f>
        <v>0</v>
      </c>
      <c r="BD99">
        <f>IF(EXACT(Asistencia!K104,"DL"),1,0)</f>
        <v>0</v>
      </c>
      <c r="BE99">
        <f>IF(EXACT(Asistencia!L104,"DL"),1,0)</f>
        <v>0</v>
      </c>
      <c r="BF99">
        <f t="shared" si="64"/>
        <v>0</v>
      </c>
      <c r="BG99">
        <f>IF(ISNUMBER(Asistencia!M104),Asistencia!M104,0)</f>
        <v>0</v>
      </c>
      <c r="BH99">
        <f>IF(ISNUMBER(Asistencia!N104),Asistencia!N104,0)</f>
        <v>0</v>
      </c>
      <c r="BI99">
        <f>IF(ISNUMBER(Asistencia!O104),Asistencia!O104,0)</f>
        <v>0</v>
      </c>
      <c r="BJ99">
        <f>IF(ISNUMBER(Asistencia!P104),Asistencia!P104,0)</f>
        <v>0</v>
      </c>
      <c r="BK99" t="str">
        <f>IF(Asistencia!F104="","",Asistencia!F104)</f>
        <v/>
      </c>
      <c r="BL99" t="str">
        <f>IF(Asistencia!G104="","",Asistencia!G104)</f>
        <v/>
      </c>
      <c r="BM99" t="str">
        <f>IF(Asistencia!H104="","",Asistencia!H104)</f>
        <v/>
      </c>
      <c r="BN99" t="str">
        <f>IF(Asistencia!I104="","",Asistencia!I104)</f>
        <v/>
      </c>
      <c r="BO99" t="str">
        <f>IF(Asistencia!J104="","",Asistencia!J104)</f>
        <v/>
      </c>
      <c r="BP99" t="str">
        <f>IF(Asistencia!K104="","",Asistencia!K104)</f>
        <v/>
      </c>
      <c r="BQ99" t="str">
        <f>IF(Asistencia!L104="","",Asistencia!L104)</f>
        <v/>
      </c>
    </row>
    <row r="100" spans="1:69" ht="15.75" customHeight="1" x14ac:dyDescent="0.25">
      <c r="A100" s="46" t="str">
        <f t="shared" si="42"/>
        <v/>
      </c>
      <c r="B100" s="47" t="str">
        <f t="shared" si="43"/>
        <v/>
      </c>
      <c r="C100" s="47"/>
      <c r="D100" s="47"/>
      <c r="E100" s="46" t="str">
        <f t="shared" si="44"/>
        <v/>
      </c>
      <c r="F100" s="45" t="str">
        <f t="shared" si="45"/>
        <v/>
      </c>
      <c r="G100" s="44" t="str">
        <f t="shared" si="46"/>
        <v/>
      </c>
      <c r="H100" s="44" t="str">
        <f t="shared" si="47"/>
        <v/>
      </c>
      <c r="I100" s="44" t="str">
        <f t="shared" si="48"/>
        <v/>
      </c>
      <c r="J100" s="44" t="str">
        <f t="shared" si="49"/>
        <v/>
      </c>
      <c r="K100" s="44" t="str">
        <f t="shared" si="50"/>
        <v/>
      </c>
      <c r="L100" s="44" t="str">
        <f t="shared" si="51"/>
        <v/>
      </c>
      <c r="M100" s="43" t="str">
        <f t="shared" si="52"/>
        <v/>
      </c>
      <c r="N100" s="41" t="str">
        <f t="shared" si="53"/>
        <v/>
      </c>
      <c r="O100" s="41" t="str">
        <f t="shared" si="54"/>
        <v/>
      </c>
      <c r="P100" s="41" t="str">
        <f t="shared" si="55"/>
        <v/>
      </c>
      <c r="Q100" s="41" t="str">
        <f t="shared" si="56"/>
        <v/>
      </c>
      <c r="R100" s="41" t="str">
        <f t="shared" si="57"/>
        <v/>
      </c>
      <c r="S100" s="41"/>
      <c r="T100" s="48"/>
      <c r="U100" s="41" t="str">
        <f t="shared" si="58"/>
        <v/>
      </c>
      <c r="V100" s="41"/>
      <c r="W100" s="42" t="str">
        <f t="shared" si="59"/>
        <v/>
      </c>
      <c r="Y100" t="str">
        <f>IFERROR(MATCH(96,$AH$5:$AH$323,0),"")</f>
        <v/>
      </c>
      <c r="Z100" t="str">
        <f t="shared" si="60"/>
        <v/>
      </c>
      <c r="AA100" t="str">
        <f t="shared" si="61"/>
        <v/>
      </c>
      <c r="AB100" t="str">
        <f>IF(Asistencia!A105="","",Asistencia!A105)</f>
        <v/>
      </c>
      <c r="AC100" t="str">
        <f>IF(Asistencia!A105="","",SUBSTITUTE(SUBSTITUTE(SUBSTITUTE(SUBSTITUTE(SUBSTITUTE(SUBSTITUTE(SUBSTITUTE(UPPER(TRIM(Asistencia!A105)),"Á","A"),"É","E"),"Í","I"),"Ó","O"),"Ú","U"),"Ñ","N"),"  "," "))</f>
        <v/>
      </c>
      <c r="AD100" t="str">
        <f>IF(Asistencia!E105="","",Asistencia!E105)</f>
        <v/>
      </c>
      <c r="AE100" t="str">
        <f>IF(Asistencia!D105="","",UPPER(TRIM(Asistencia!D105)))</f>
        <v/>
      </c>
      <c r="AF100" t="s">
        <v>190</v>
      </c>
      <c r="AG100">
        <f>IF(AND(AA100&lt;&gt;"",COUNTIF($AA$5:AA100,AA100)=1),1,0)</f>
        <v>0</v>
      </c>
      <c r="AH100" t="str">
        <f>IF(AG100=1,SUM($AG$5:AG100),"")</f>
        <v/>
      </c>
      <c r="AI100">
        <f>IF(OR(EXACT(Asistencia!F105,"A"),EXACT(Asistencia!F105,"R"),EXACT(Asistencia!F105,"DL"),EXACT(Asistencia!F105,"FL"),EXACT(Asistencia!F105,"FE"),EXACT(Asistencia!F105,"PCS"),EXACT(Asistencia!F105,"V")),1,0)</f>
        <v>0</v>
      </c>
      <c r="AJ100">
        <f>IF(OR(EXACT(Asistencia!G105,"A"),EXACT(Asistencia!G105,"R"),EXACT(Asistencia!G105,"DL"),EXACT(Asistencia!G105,"FL"),EXACT(Asistencia!G105,"FE"),EXACT(Asistencia!G105,"PCS"),EXACT(Asistencia!G105,"V")),1,0)</f>
        <v>0</v>
      </c>
      <c r="AK100">
        <f>IF(OR(EXACT(Asistencia!H105,"A"),EXACT(Asistencia!H105,"R"),EXACT(Asistencia!H105,"DL"),EXACT(Asistencia!H105,"FL"),EXACT(Asistencia!H105,"FE"),EXACT(Asistencia!H105,"PCS"),EXACT(Asistencia!H105,"V")),1,0)</f>
        <v>0</v>
      </c>
      <c r="AL100">
        <f>IF(OR(EXACT(Asistencia!I105,"A"),EXACT(Asistencia!I105,"R"),EXACT(Asistencia!I105,"DL"),EXACT(Asistencia!I105,"FL"),EXACT(Asistencia!I105,"FE"),EXACT(Asistencia!I105,"PCS"),EXACT(Asistencia!I105,"V")),1,0)</f>
        <v>0</v>
      </c>
      <c r="AM100">
        <f>IF(OR(EXACT(Asistencia!J105,"A"),EXACT(Asistencia!J105,"R"),EXACT(Asistencia!J105,"DL"),EXACT(Asistencia!J105,"FL"),EXACT(Asistencia!J105,"FE"),EXACT(Asistencia!J105,"PCS"),EXACT(Asistencia!J105,"V")),1,0)</f>
        <v>0</v>
      </c>
      <c r="AN100">
        <f>IF(OR(EXACT(Asistencia!K105,"A"),EXACT(Asistencia!K105,"R"),EXACT(Asistencia!K105,"DL"),EXACT(Asistencia!K105,"FL"),EXACT(Asistencia!K105,"FE"),EXACT(Asistencia!K105,"PCS"),EXACT(Asistencia!K105,"V")),1,0)</f>
        <v>0</v>
      </c>
      <c r="AO100">
        <f>IF(OR(EXACT(Asistencia!L105,"A"),EXACT(Asistencia!L105,"R"),EXACT(Asistencia!L105,"DL"),EXACT(Asistencia!L105,"FL"),EXACT(Asistencia!L105,"FE"),EXACT(Asistencia!L105,"PCS"),EXACT(Asistencia!L105,"V")),1,0)</f>
        <v>0</v>
      </c>
      <c r="AP100">
        <f t="shared" si="62"/>
        <v>0</v>
      </c>
      <c r="AQ100">
        <f>IF(EXACT(Asistencia!F105,"FL"),1,0)</f>
        <v>0</v>
      </c>
      <c r="AR100">
        <f>IF(EXACT(Asistencia!G105,"FL"),1,0)</f>
        <v>0</v>
      </c>
      <c r="AS100">
        <f>IF(EXACT(Asistencia!H105,"FL"),1,0)</f>
        <v>0</v>
      </c>
      <c r="AT100">
        <f>IF(EXACT(Asistencia!I105,"FL"),1,0)</f>
        <v>0</v>
      </c>
      <c r="AU100">
        <f>IF(EXACT(Asistencia!J105,"FL"),1,0)</f>
        <v>0</v>
      </c>
      <c r="AV100">
        <f>IF(EXACT(Asistencia!K105,"FL"),1,0)</f>
        <v>0</v>
      </c>
      <c r="AW100">
        <f>IF(EXACT(Asistencia!L105,"FL"),1,0)</f>
        <v>0</v>
      </c>
      <c r="AX100">
        <f t="shared" si="63"/>
        <v>0</v>
      </c>
      <c r="AY100">
        <f>IF(EXACT(Asistencia!F105,"DL"),1,0)</f>
        <v>0</v>
      </c>
      <c r="AZ100">
        <f>IF(EXACT(Asistencia!G105,"DL"),1,0)</f>
        <v>0</v>
      </c>
      <c r="BA100">
        <f>IF(EXACT(Asistencia!H105,"DL"),1,0)</f>
        <v>0</v>
      </c>
      <c r="BB100">
        <f>IF(EXACT(Asistencia!I105,"DL"),1,0)</f>
        <v>0</v>
      </c>
      <c r="BC100">
        <f>IF(EXACT(Asistencia!J105,"DL"),1,0)</f>
        <v>0</v>
      </c>
      <c r="BD100">
        <f>IF(EXACT(Asistencia!K105,"DL"),1,0)</f>
        <v>0</v>
      </c>
      <c r="BE100">
        <f>IF(EXACT(Asistencia!L105,"DL"),1,0)</f>
        <v>0</v>
      </c>
      <c r="BF100">
        <f t="shared" si="64"/>
        <v>0</v>
      </c>
      <c r="BG100">
        <f>IF(ISNUMBER(Asistencia!M105),Asistencia!M105,0)</f>
        <v>0</v>
      </c>
      <c r="BH100">
        <f>IF(ISNUMBER(Asistencia!N105),Asistencia!N105,0)</f>
        <v>0</v>
      </c>
      <c r="BI100">
        <f>IF(ISNUMBER(Asistencia!O105),Asistencia!O105,0)</f>
        <v>0</v>
      </c>
      <c r="BJ100">
        <f>IF(ISNUMBER(Asistencia!P105),Asistencia!P105,0)</f>
        <v>0</v>
      </c>
      <c r="BK100" t="str">
        <f>IF(Asistencia!F105="","",Asistencia!F105)</f>
        <v/>
      </c>
      <c r="BL100" t="str">
        <f>IF(Asistencia!G105="","",Asistencia!G105)</f>
        <v/>
      </c>
      <c r="BM100" t="str">
        <f>IF(Asistencia!H105="","",Asistencia!H105)</f>
        <v/>
      </c>
      <c r="BN100" t="str">
        <f>IF(Asistencia!I105="","",Asistencia!I105)</f>
        <v/>
      </c>
      <c r="BO100" t="str">
        <f>IF(Asistencia!J105="","",Asistencia!J105)</f>
        <v/>
      </c>
      <c r="BP100" t="str">
        <f>IF(Asistencia!K105="","",Asistencia!K105)</f>
        <v/>
      </c>
      <c r="BQ100" t="str">
        <f>IF(Asistencia!L105="","",Asistencia!L105)</f>
        <v/>
      </c>
    </row>
    <row r="101" spans="1:69" ht="15.75" customHeight="1" x14ac:dyDescent="0.25">
      <c r="A101" s="46" t="str">
        <f t="shared" ref="A101:A124" si="65">IF(Y101="","",INDEX($AB$5:$AB$323,Y101))</f>
        <v/>
      </c>
      <c r="B101" s="47" t="str">
        <f t="shared" ref="B101:B124" si="66">IF(Y101="","",INDEX($AD$5:$AD$323,Y101))</f>
        <v/>
      </c>
      <c r="C101" s="47"/>
      <c r="D101" s="47"/>
      <c r="E101" s="46" t="str">
        <f t="shared" ref="E101:E124" si="67">IF($A101="","",_xlfn.TEXTJOIN(" / ",TRUE(),IF(SUMIFS($AP$5:$AP$323,$AA$5:$AA$323,$Z101,$AF$5:$AF$323,"ARMIDA")&gt;0,IFERROR("ARMIDA-"&amp;INDEX($AE$5:$AE$323,MATCH($Z101&amp;"ARMIDA",$AA$5:$AA$323&amp;$AF$5:$AF$323,0)),"ARMIDA"),""),IF(SUMIFS($AP$5:$AP$323,$AA$5:$AA$323,$Z101,$AF$5:$AF$323,"AURIGA")&gt;0,IFERROR("AURIGA-"&amp;INDEX($AE$5:$AE$323,MATCH($Z101&amp;"AURIGA",$AA$5:$AA$323&amp;$AF$5:$AF$323,0)),"AURIGA"),""),IF(SUMIFS($AP$5:$AP$323,$AA$5:$AA$323,$Z101,$AF$5:$AF$323,"AURORA")&gt;0,IFERROR("AURORA-"&amp;INDEX($AE$5:$AE$323,MATCH($Z101&amp;"AURORA",$AA$5:$AA$323&amp;$AF$5:$AF$323,0)),"AURORA"),""),IF(SUMIFS($AP$5:$AP$323,$AA$5:$AA$323,$Z101,$AF$5:$AF$323,"CITICA")&gt;0,IFERROR("CITICA-"&amp;INDEX($AE$5:$AE$323,MATCH($Z101&amp;"CITICA",$AA$5:$AA$323&amp;$AF$5:$AF$323,0)),"CITICA"),""),IF(SUMIFS($AP$5:$AP$323,$AA$5:$AA$323,$Z101,$AF$5:$AF$323,"GM")&gt;0,IFERROR("GM-"&amp;INDEX($AE$5:$AE$323,MATCH($Z101&amp;"GM",$AA$5:$AA$323&amp;$AF$5:$AF$323,0)),"GM"),""),IF(SUMIFS($AP$5:$AP$323,$AA$5:$AA$323,$Z101,$AF$5:$AF$323,"TORRE BALZAK")&gt;0,IFERROR("TORRE BALZAK-"&amp;INDEX($AE$5:$AE$323,MATCH($Z101&amp;"TORRE BALZAK",$AA$5:$AA$323&amp;$AF$5:$AF$323,0)),"TORRE BALZAK"),""),IF(SUMIFS($AP$5:$AP$323,$AA$5:$AA$323,$Z101,$AF$5:$AF$323,"TORRE OLMA")&gt;0,IFERROR("TORRE OLMA-"&amp;INDEX($AE$5:$AE$323,MATCH($Z101&amp;"TORRE OLMA",$AA$5:$AA$323&amp;$AF$5:$AF$323,0)),"TORRE OLMA"),""),IF(SUMIFS($AP$5:$AP$323,$AA$5:$AA$323,$Z101,$AF$5:$AF$323,"OTROS")&gt;0,IFERROR("OTROS-"&amp;INDEX($AE$5:$AE$323,MATCH($Z101&amp;"OTROS",$AA$5:$AA$323&amp;$AF$5:$AF$323,0)),"OTROS"),"")))</f>
        <v/>
      </c>
      <c r="F101" s="45" t="str">
        <f t="shared" ref="F101:F124" si="68">IF($A101="","",IFERROR(INDEX($BK$5:$BK$323,MATCH($Z101,$AA$5:$AA$323,0)),"-"))</f>
        <v/>
      </c>
      <c r="G101" s="44" t="str">
        <f t="shared" ref="G101:G124" si="69">IF($A101="","",IFERROR(INDEX($BL$5:$BL$323,MATCH($Z101,$AA$5:$AA$323,0)),"-"))</f>
        <v/>
      </c>
      <c r="H101" s="44" t="str">
        <f t="shared" ref="H101:H124" si="70">IF($A101="","",IFERROR(INDEX($BM$5:$BM$323,MATCH($Z101,$AA$5:$AA$323,0)),"-"))</f>
        <v/>
      </c>
      <c r="I101" s="44" t="str">
        <f t="shared" ref="I101:I124" si="71">IF($A101="","",IFERROR(INDEX($BN$5:$BN$323,MATCH($Z101,$AA$5:$AA$323,0)),"-"))</f>
        <v/>
      </c>
      <c r="J101" s="44" t="str">
        <f t="shared" ref="J101:J124" si="72">IF($A101="","",IFERROR(INDEX($BO$5:$BO$323,MATCH($Z101,$AA$5:$AA$323,0)),"-"))</f>
        <v/>
      </c>
      <c r="K101" s="44" t="str">
        <f t="shared" ref="K101:K124" si="73">IF($A101="","",IFERROR(INDEX($BP$5:$BP$323,MATCH($Z101,$AA$5:$AA$323,0)),"-"))</f>
        <v/>
      </c>
      <c r="L101" s="44" t="str">
        <f t="shared" ref="L101:L124" si="74">IF($A101="","",IFERROR(INDEX($BQ$5:$BQ$323,MATCH($Z101,$AA$5:$AA$323,0)),"-"))</f>
        <v/>
      </c>
      <c r="M101" s="43" t="str">
        <f t="shared" ref="M101:M124" si="75">IF($A101="","",(--(SUMIF($AA$5:$AA$323,$Z101,$AI$5:$AI$323)&gt;0))+(--(SUMIF($AA$5:$AA$323,$Z101,$AJ$5:$AJ$323)&gt;0))+(--(SUMIF($AA$5:$AA$323,$Z101,$AK$5:$AK$323)&gt;0))+(--(SUMIF($AA$5:$AA$323,$Z101,$AL$5:$AL$323)&gt;0))+(--(SUMIF($AA$5:$AA$323,$Z101,$AM$5:$AM$323)&gt;0))+(--(SUMIF($AA$5:$AA$323,$Z101,$AN$5:$AN$323)&gt;0))+(--(SUMIF($AA$5:$AA$323,$Z101,$AO$5:$AO$323)&gt;0)))</f>
        <v/>
      </c>
      <c r="N101" s="41" t="str">
        <f t="shared" ref="N101:N132" si="76">IF($A101="","",MAX(0,M101-6))</f>
        <v/>
      </c>
      <c r="O101" s="41" t="str">
        <f t="shared" ref="O101:O124" si="77">IF($A101="","",SUMIF($AA$5:$AA$323,$Z101,$AP$5:$AP$323)-M101)</f>
        <v/>
      </c>
      <c r="P101" s="41" t="str">
        <f t="shared" ref="P101:P124" si="78">IF($A101="","",SUMIF($AA$5:$AA$323,$Z101,$BG$5:$BG$323))</f>
        <v/>
      </c>
      <c r="Q101" s="41" t="str">
        <f t="shared" ref="Q101:Q124" si="79">IF($A101="","",SUMIF($AA$5:$AA$323,$Z101,$BH$5:$BH$323))</f>
        <v/>
      </c>
      <c r="R101" s="41" t="str">
        <f t="shared" ref="R101:R124" si="80">IF($A101="","",SUMIF($AA$5:$AA$323,$Z101,$BI$5:$BI$323))</f>
        <v/>
      </c>
      <c r="S101" s="41"/>
      <c r="T101" s="48"/>
      <c r="U101" s="41" t="str">
        <f t="shared" ref="U101:U124" si="81">IF($A101="","",SUMIF($AA$5:$AA$323,$Z101,$BJ$5:$BJ$323))</f>
        <v/>
      </c>
      <c r="V101" s="41"/>
      <c r="W101" s="42" t="str">
        <f t="shared" ref="W101:W124" si="82">IF($A101="","",_xlfn.TEXTJOIN(" | ",TRUE(),IF(N101&gt;0,"+ de 6 días: revisar adicionales",""),IF(O101&gt;0,"Doble evento mismo día: revisar turno/pago",""),IF(SUMIF($AA$5:$AA$323,$Z101,$AX$5:$AX$323)&gt;((--(SUMIF($AA$5:$AA$323,$Z101,$AQ$5:$AQ$323)&gt;0))+(--(SUMIF($AA$5:$AA$323,$Z101,$AR$5:$AR$323)&gt;0))+(--(SUMIF($AA$5:$AA$323,$Z101,$AS$5:$AS$323)&gt;0))+(--(SUMIF($AA$5:$AA$323,$Z101,$AT$5:$AT$323)&gt;0))+(--(SUMIF($AA$5:$AA$323,$Z101,$AU$5:$AU$323)&gt;0))+(--(SUMIF($AA$5:$AA$323,$Z101,$AV$5:$AV$323)&gt;0))+(--(SUMIF($AA$5:$AA$323,$Z101,$AW$5:$AW$323)&gt;0))),"FL múltiple mismo día: revisar pago festivo",""),IF(SUMIF($AA$5:$AA$323,$Z101,$BF$5:$BF$323)&gt;((--(SUMIF($AA$5:$AA$323,$Z101,$AY$5:$AY$323)&gt;0))+(--(SUMIF($AA$5:$AA$323,$Z101,$AZ$5:$AZ$323)&gt;0))+(--(SUMIF($AA$5:$AA$323,$Z101,$BA$5:$BA$323)&gt;0))+(--(SUMIF($AA$5:$AA$323,$Z101,$BB$5:$BB$323)&gt;0))+(--(SUMIF($AA$5:$AA$323,$Z101,$BC$5:$BC$323)&gt;0))+(--(SUMIF($AA$5:$AA$323,$Z101,$BD$5:$BD$323)&gt;0))+(--(SUMIF($AA$5:$AA$323,$Z101,$BE$5:$BE$323)&gt;0))),"DL múltiple mismo día: revisar pago descanso","")))</f>
        <v/>
      </c>
      <c r="Y101" t="str">
        <f>IFERROR(MATCH(97,$AH$5:$AH$323,0),"")</f>
        <v/>
      </c>
      <c r="Z101" t="str">
        <f t="shared" ref="Z101:Z132" si="83">IF(Y101="","",INDEX($AA$5:$AA$323,Y101))</f>
        <v/>
      </c>
      <c r="AA101" t="str">
        <f t="shared" si="61"/>
        <v/>
      </c>
      <c r="AB101" t="str">
        <f>IF(Asistencia!A106="","",Asistencia!A106)</f>
        <v/>
      </c>
      <c r="AC101" t="str">
        <f>IF(Asistencia!A106="","",SUBSTITUTE(SUBSTITUTE(SUBSTITUTE(SUBSTITUTE(SUBSTITUTE(SUBSTITUTE(SUBSTITUTE(UPPER(TRIM(Asistencia!A106)),"Á","A"),"É","E"),"Í","I"),"Ó","O"),"Ú","U"),"Ñ","N"),"  "," "))</f>
        <v/>
      </c>
      <c r="AD101" t="str">
        <f>IF(Asistencia!E106="","",Asistencia!E106)</f>
        <v/>
      </c>
      <c r="AE101" t="str">
        <f>IF(Asistencia!D106="","",UPPER(TRIM(Asistencia!D106)))</f>
        <v/>
      </c>
      <c r="AF101" t="s">
        <v>190</v>
      </c>
      <c r="AG101">
        <f>IF(AND(AA101&lt;&gt;"",COUNTIF($AA$5:AA101,AA101)=1),1,0)</f>
        <v>0</v>
      </c>
      <c r="AH101" t="str">
        <f>IF(AG101=1,SUM($AG$5:AG101),"")</f>
        <v/>
      </c>
      <c r="AI101">
        <f>IF(OR(EXACT(Asistencia!F106,"A"),EXACT(Asistencia!F106,"R"),EXACT(Asistencia!F106,"DL"),EXACT(Asistencia!F106,"FL"),EXACT(Asistencia!F106,"FE"),EXACT(Asistencia!F106,"PCS"),EXACT(Asistencia!F106,"V")),1,0)</f>
        <v>0</v>
      </c>
      <c r="AJ101">
        <f>IF(OR(EXACT(Asistencia!G106,"A"),EXACT(Asistencia!G106,"R"),EXACT(Asistencia!G106,"DL"),EXACT(Asistencia!G106,"FL"),EXACT(Asistencia!G106,"FE"),EXACT(Asistencia!G106,"PCS"),EXACT(Asistencia!G106,"V")),1,0)</f>
        <v>0</v>
      </c>
      <c r="AK101">
        <f>IF(OR(EXACT(Asistencia!H106,"A"),EXACT(Asistencia!H106,"R"),EXACT(Asistencia!H106,"DL"),EXACT(Asistencia!H106,"FL"),EXACT(Asistencia!H106,"FE"),EXACT(Asistencia!H106,"PCS"),EXACT(Asistencia!H106,"V")),1,0)</f>
        <v>0</v>
      </c>
      <c r="AL101">
        <f>IF(OR(EXACT(Asistencia!I106,"A"),EXACT(Asistencia!I106,"R"),EXACT(Asistencia!I106,"DL"),EXACT(Asistencia!I106,"FL"),EXACT(Asistencia!I106,"FE"),EXACT(Asistencia!I106,"PCS"),EXACT(Asistencia!I106,"V")),1,0)</f>
        <v>0</v>
      </c>
      <c r="AM101">
        <f>IF(OR(EXACT(Asistencia!J106,"A"),EXACT(Asistencia!J106,"R"),EXACT(Asistencia!J106,"DL"),EXACT(Asistencia!J106,"FL"),EXACT(Asistencia!J106,"FE"),EXACT(Asistencia!J106,"PCS"),EXACT(Asistencia!J106,"V")),1,0)</f>
        <v>0</v>
      </c>
      <c r="AN101">
        <f>IF(OR(EXACT(Asistencia!K106,"A"),EXACT(Asistencia!K106,"R"),EXACT(Asistencia!K106,"DL"),EXACT(Asistencia!K106,"FL"),EXACT(Asistencia!K106,"FE"),EXACT(Asistencia!K106,"PCS"),EXACT(Asistencia!K106,"V")),1,0)</f>
        <v>0</v>
      </c>
      <c r="AO101">
        <f>IF(OR(EXACT(Asistencia!L106,"A"),EXACT(Asistencia!L106,"R"),EXACT(Asistencia!L106,"DL"),EXACT(Asistencia!L106,"FL"),EXACT(Asistencia!L106,"FE"),EXACT(Asistencia!L106,"PCS"),EXACT(Asistencia!L106,"V")),1,0)</f>
        <v>0</v>
      </c>
      <c r="AP101">
        <f t="shared" si="62"/>
        <v>0</v>
      </c>
      <c r="AQ101">
        <f>IF(EXACT(Asistencia!F106,"FL"),1,0)</f>
        <v>0</v>
      </c>
      <c r="AR101">
        <f>IF(EXACT(Asistencia!G106,"FL"),1,0)</f>
        <v>0</v>
      </c>
      <c r="AS101">
        <f>IF(EXACT(Asistencia!H106,"FL"),1,0)</f>
        <v>0</v>
      </c>
      <c r="AT101">
        <f>IF(EXACT(Asistencia!I106,"FL"),1,0)</f>
        <v>0</v>
      </c>
      <c r="AU101">
        <f>IF(EXACT(Asistencia!J106,"FL"),1,0)</f>
        <v>0</v>
      </c>
      <c r="AV101">
        <f>IF(EXACT(Asistencia!K106,"FL"),1,0)</f>
        <v>0</v>
      </c>
      <c r="AW101">
        <f>IF(EXACT(Asistencia!L106,"FL"),1,0)</f>
        <v>0</v>
      </c>
      <c r="AX101">
        <f t="shared" si="63"/>
        <v>0</v>
      </c>
      <c r="AY101">
        <f>IF(EXACT(Asistencia!F106,"DL"),1,0)</f>
        <v>0</v>
      </c>
      <c r="AZ101">
        <f>IF(EXACT(Asistencia!G106,"DL"),1,0)</f>
        <v>0</v>
      </c>
      <c r="BA101">
        <f>IF(EXACT(Asistencia!H106,"DL"),1,0)</f>
        <v>0</v>
      </c>
      <c r="BB101">
        <f>IF(EXACT(Asistencia!I106,"DL"),1,0)</f>
        <v>0</v>
      </c>
      <c r="BC101">
        <f>IF(EXACT(Asistencia!J106,"DL"),1,0)</f>
        <v>0</v>
      </c>
      <c r="BD101">
        <f>IF(EXACT(Asistencia!K106,"DL"),1,0)</f>
        <v>0</v>
      </c>
      <c r="BE101">
        <f>IF(EXACT(Asistencia!L106,"DL"),1,0)</f>
        <v>0</v>
      </c>
      <c r="BF101">
        <f t="shared" si="64"/>
        <v>0</v>
      </c>
      <c r="BG101">
        <f>IF(ISNUMBER(Asistencia!M106),Asistencia!M106,0)</f>
        <v>0</v>
      </c>
      <c r="BH101">
        <f>IF(ISNUMBER(Asistencia!N106),Asistencia!N106,0)</f>
        <v>0</v>
      </c>
      <c r="BI101">
        <f>IF(ISNUMBER(Asistencia!O106),Asistencia!O106,0)</f>
        <v>0</v>
      </c>
      <c r="BJ101">
        <f>IF(ISNUMBER(Asistencia!P106),Asistencia!P106,0)</f>
        <v>0</v>
      </c>
      <c r="BK101" t="str">
        <f>IF(Asistencia!F106="","",Asistencia!F106)</f>
        <v/>
      </c>
      <c r="BL101" t="str">
        <f>IF(Asistencia!G106="","",Asistencia!G106)</f>
        <v/>
      </c>
      <c r="BM101" t="str">
        <f>IF(Asistencia!H106="","",Asistencia!H106)</f>
        <v/>
      </c>
      <c r="BN101" t="str">
        <f>IF(Asistencia!I106="","",Asistencia!I106)</f>
        <v/>
      </c>
      <c r="BO101" t="str">
        <f>IF(Asistencia!J106="","",Asistencia!J106)</f>
        <v/>
      </c>
      <c r="BP101" t="str">
        <f>IF(Asistencia!K106="","",Asistencia!K106)</f>
        <v/>
      </c>
      <c r="BQ101" t="str">
        <f>IF(Asistencia!L106="","",Asistencia!L106)</f>
        <v/>
      </c>
    </row>
    <row r="102" spans="1:69" ht="15.75" customHeight="1" x14ac:dyDescent="0.25">
      <c r="A102" s="46" t="str">
        <f t="shared" si="65"/>
        <v/>
      </c>
      <c r="B102" s="47" t="str">
        <f t="shared" si="66"/>
        <v/>
      </c>
      <c r="C102" s="47"/>
      <c r="D102" s="47"/>
      <c r="E102" s="46" t="str">
        <f t="shared" si="67"/>
        <v/>
      </c>
      <c r="F102" s="45" t="str">
        <f t="shared" si="68"/>
        <v/>
      </c>
      <c r="G102" s="44" t="str">
        <f t="shared" si="69"/>
        <v/>
      </c>
      <c r="H102" s="44" t="str">
        <f t="shared" si="70"/>
        <v/>
      </c>
      <c r="I102" s="44" t="str">
        <f t="shared" si="71"/>
        <v/>
      </c>
      <c r="J102" s="44" t="str">
        <f t="shared" si="72"/>
        <v/>
      </c>
      <c r="K102" s="44" t="str">
        <f t="shared" si="73"/>
        <v/>
      </c>
      <c r="L102" s="44" t="str">
        <f t="shared" si="74"/>
        <v/>
      </c>
      <c r="M102" s="43" t="str">
        <f t="shared" si="75"/>
        <v/>
      </c>
      <c r="N102" s="41" t="str">
        <f t="shared" si="76"/>
        <v/>
      </c>
      <c r="O102" s="41" t="str">
        <f t="shared" si="77"/>
        <v/>
      </c>
      <c r="P102" s="41" t="str">
        <f t="shared" si="78"/>
        <v/>
      </c>
      <c r="Q102" s="41" t="str">
        <f t="shared" si="79"/>
        <v/>
      </c>
      <c r="R102" s="41" t="str">
        <f t="shared" si="80"/>
        <v/>
      </c>
      <c r="S102" s="41"/>
      <c r="T102" s="48"/>
      <c r="U102" s="41" t="str">
        <f t="shared" si="81"/>
        <v/>
      </c>
      <c r="V102" s="41"/>
      <c r="W102" s="42" t="str">
        <f t="shared" si="82"/>
        <v/>
      </c>
      <c r="Y102" t="str">
        <f>IFERROR(MATCH(98,$AH$5:$AH$323,0),"")</f>
        <v/>
      </c>
      <c r="Z102" t="str">
        <f t="shared" si="83"/>
        <v/>
      </c>
      <c r="AA102" t="str">
        <f t="shared" si="61"/>
        <v/>
      </c>
      <c r="AB102" t="str">
        <f>IF(Asistencia!A107="","",Asistencia!A107)</f>
        <v/>
      </c>
      <c r="AC102" t="str">
        <f>IF(Asistencia!A107="","",SUBSTITUTE(SUBSTITUTE(SUBSTITUTE(SUBSTITUTE(SUBSTITUTE(SUBSTITUTE(SUBSTITUTE(UPPER(TRIM(Asistencia!A107)),"Á","A"),"É","E"),"Í","I"),"Ó","O"),"Ú","U"),"Ñ","N"),"  "," "))</f>
        <v/>
      </c>
      <c r="AD102" t="str">
        <f>IF(Asistencia!E107="","",Asistencia!E107)</f>
        <v/>
      </c>
      <c r="AE102" t="str">
        <f>IF(Asistencia!D107="","",UPPER(TRIM(Asistencia!D107)))</f>
        <v/>
      </c>
      <c r="AF102" t="s">
        <v>190</v>
      </c>
      <c r="AG102">
        <f>IF(AND(AA102&lt;&gt;"",COUNTIF($AA$5:AA102,AA102)=1),1,0)</f>
        <v>0</v>
      </c>
      <c r="AH102" t="str">
        <f>IF(AG102=1,SUM($AG$5:AG102),"")</f>
        <v/>
      </c>
      <c r="AI102">
        <f>IF(OR(EXACT(Asistencia!F107,"A"),EXACT(Asistencia!F107,"R"),EXACT(Asistencia!F107,"DL"),EXACT(Asistencia!F107,"FL"),EXACT(Asistencia!F107,"FE"),EXACT(Asistencia!F107,"PCS"),EXACT(Asistencia!F107,"V")),1,0)</f>
        <v>0</v>
      </c>
      <c r="AJ102">
        <f>IF(OR(EXACT(Asistencia!G107,"A"),EXACT(Asistencia!G107,"R"),EXACT(Asistencia!G107,"DL"),EXACT(Asistencia!G107,"FL"),EXACT(Asistencia!G107,"FE"),EXACT(Asistencia!G107,"PCS"),EXACT(Asistencia!G107,"V")),1,0)</f>
        <v>0</v>
      </c>
      <c r="AK102">
        <f>IF(OR(EXACT(Asistencia!H107,"A"),EXACT(Asistencia!H107,"R"),EXACT(Asistencia!H107,"DL"),EXACT(Asistencia!H107,"FL"),EXACT(Asistencia!H107,"FE"),EXACT(Asistencia!H107,"PCS"),EXACT(Asistencia!H107,"V")),1,0)</f>
        <v>0</v>
      </c>
      <c r="AL102">
        <f>IF(OR(EXACT(Asistencia!I107,"A"),EXACT(Asistencia!I107,"R"),EXACT(Asistencia!I107,"DL"),EXACT(Asistencia!I107,"FL"),EXACT(Asistencia!I107,"FE"),EXACT(Asistencia!I107,"PCS"),EXACT(Asistencia!I107,"V")),1,0)</f>
        <v>0</v>
      </c>
      <c r="AM102">
        <f>IF(OR(EXACT(Asistencia!J107,"A"),EXACT(Asistencia!J107,"R"),EXACT(Asistencia!J107,"DL"),EXACT(Asistencia!J107,"FL"),EXACT(Asistencia!J107,"FE"),EXACT(Asistencia!J107,"PCS"),EXACT(Asistencia!J107,"V")),1,0)</f>
        <v>0</v>
      </c>
      <c r="AN102">
        <f>IF(OR(EXACT(Asistencia!K107,"A"),EXACT(Asistencia!K107,"R"),EXACT(Asistencia!K107,"DL"),EXACT(Asistencia!K107,"FL"),EXACT(Asistencia!K107,"FE"),EXACT(Asistencia!K107,"PCS"),EXACT(Asistencia!K107,"V")),1,0)</f>
        <v>0</v>
      </c>
      <c r="AO102">
        <f>IF(OR(EXACT(Asistencia!L107,"A"),EXACT(Asistencia!L107,"R"),EXACT(Asistencia!L107,"DL"),EXACT(Asistencia!L107,"FL"),EXACT(Asistencia!L107,"FE"),EXACT(Asistencia!L107,"PCS"),EXACT(Asistencia!L107,"V")),1,0)</f>
        <v>0</v>
      </c>
      <c r="AP102">
        <f t="shared" si="62"/>
        <v>0</v>
      </c>
      <c r="AQ102">
        <f>IF(EXACT(Asistencia!F107,"FL"),1,0)</f>
        <v>0</v>
      </c>
      <c r="AR102">
        <f>IF(EXACT(Asistencia!G107,"FL"),1,0)</f>
        <v>0</v>
      </c>
      <c r="AS102">
        <f>IF(EXACT(Asistencia!H107,"FL"),1,0)</f>
        <v>0</v>
      </c>
      <c r="AT102">
        <f>IF(EXACT(Asistencia!I107,"FL"),1,0)</f>
        <v>0</v>
      </c>
      <c r="AU102">
        <f>IF(EXACT(Asistencia!J107,"FL"),1,0)</f>
        <v>0</v>
      </c>
      <c r="AV102">
        <f>IF(EXACT(Asistencia!K107,"FL"),1,0)</f>
        <v>0</v>
      </c>
      <c r="AW102">
        <f>IF(EXACT(Asistencia!L107,"FL"),1,0)</f>
        <v>0</v>
      </c>
      <c r="AX102">
        <f t="shared" si="63"/>
        <v>0</v>
      </c>
      <c r="AY102">
        <f>IF(EXACT(Asistencia!F107,"DL"),1,0)</f>
        <v>0</v>
      </c>
      <c r="AZ102">
        <f>IF(EXACT(Asistencia!G107,"DL"),1,0)</f>
        <v>0</v>
      </c>
      <c r="BA102">
        <f>IF(EXACT(Asistencia!H107,"DL"),1,0)</f>
        <v>0</v>
      </c>
      <c r="BB102">
        <f>IF(EXACT(Asistencia!I107,"DL"),1,0)</f>
        <v>0</v>
      </c>
      <c r="BC102">
        <f>IF(EXACT(Asistencia!J107,"DL"),1,0)</f>
        <v>0</v>
      </c>
      <c r="BD102">
        <f>IF(EXACT(Asistencia!K107,"DL"),1,0)</f>
        <v>0</v>
      </c>
      <c r="BE102">
        <f>IF(EXACT(Asistencia!L107,"DL"),1,0)</f>
        <v>0</v>
      </c>
      <c r="BF102">
        <f t="shared" si="64"/>
        <v>0</v>
      </c>
      <c r="BG102">
        <f>IF(ISNUMBER(Asistencia!M107),Asistencia!M107,0)</f>
        <v>0</v>
      </c>
      <c r="BH102">
        <f>IF(ISNUMBER(Asistencia!N107),Asistencia!N107,0)</f>
        <v>0</v>
      </c>
      <c r="BI102">
        <f>IF(ISNUMBER(Asistencia!O107),Asistencia!O107,0)</f>
        <v>0</v>
      </c>
      <c r="BJ102">
        <f>IF(ISNUMBER(Asistencia!P107),Asistencia!P107,0)</f>
        <v>0</v>
      </c>
      <c r="BK102" t="str">
        <f>IF(Asistencia!F107="","",Asistencia!F107)</f>
        <v/>
      </c>
      <c r="BL102" t="str">
        <f>IF(Asistencia!G107="","",Asistencia!G107)</f>
        <v/>
      </c>
      <c r="BM102" t="str">
        <f>IF(Asistencia!H107="","",Asistencia!H107)</f>
        <v/>
      </c>
      <c r="BN102" t="str">
        <f>IF(Asistencia!I107="","",Asistencia!I107)</f>
        <v/>
      </c>
      <c r="BO102" t="str">
        <f>IF(Asistencia!J107="","",Asistencia!J107)</f>
        <v/>
      </c>
      <c r="BP102" t="str">
        <f>IF(Asistencia!K107="","",Asistencia!K107)</f>
        <v/>
      </c>
      <c r="BQ102" t="str">
        <f>IF(Asistencia!L107="","",Asistencia!L107)</f>
        <v/>
      </c>
    </row>
    <row r="103" spans="1:69" ht="15.75" customHeight="1" x14ac:dyDescent="0.25">
      <c r="A103" s="46" t="str">
        <f t="shared" si="65"/>
        <v/>
      </c>
      <c r="B103" s="47" t="str">
        <f t="shared" si="66"/>
        <v/>
      </c>
      <c r="C103" s="47"/>
      <c r="D103" s="47"/>
      <c r="E103" s="46" t="str">
        <f t="shared" si="67"/>
        <v/>
      </c>
      <c r="F103" s="45" t="str">
        <f t="shared" si="68"/>
        <v/>
      </c>
      <c r="G103" s="44" t="str">
        <f t="shared" si="69"/>
        <v/>
      </c>
      <c r="H103" s="44" t="str">
        <f t="shared" si="70"/>
        <v/>
      </c>
      <c r="I103" s="44" t="str">
        <f t="shared" si="71"/>
        <v/>
      </c>
      <c r="J103" s="44" t="str">
        <f t="shared" si="72"/>
        <v/>
      </c>
      <c r="K103" s="44" t="str">
        <f t="shared" si="73"/>
        <v/>
      </c>
      <c r="L103" s="44" t="str">
        <f t="shared" si="74"/>
        <v/>
      </c>
      <c r="M103" s="43" t="str">
        <f t="shared" si="75"/>
        <v/>
      </c>
      <c r="N103" s="41" t="str">
        <f t="shared" si="76"/>
        <v/>
      </c>
      <c r="O103" s="41" t="str">
        <f t="shared" si="77"/>
        <v/>
      </c>
      <c r="P103" s="41" t="str">
        <f t="shared" si="78"/>
        <v/>
      </c>
      <c r="Q103" s="41" t="str">
        <f t="shared" si="79"/>
        <v/>
      </c>
      <c r="R103" s="41" t="str">
        <f t="shared" si="80"/>
        <v/>
      </c>
      <c r="S103" s="41"/>
      <c r="T103" s="48"/>
      <c r="U103" s="41" t="str">
        <f t="shared" si="81"/>
        <v/>
      </c>
      <c r="V103" s="41"/>
      <c r="W103" s="42" t="str">
        <f t="shared" si="82"/>
        <v/>
      </c>
      <c r="Y103" t="str">
        <f>IFERROR(MATCH(99,$AH$5:$AH$323,0),"")</f>
        <v/>
      </c>
      <c r="Z103" t="str">
        <f t="shared" si="83"/>
        <v/>
      </c>
      <c r="AA103" t="str">
        <f t="shared" si="61"/>
        <v/>
      </c>
      <c r="AB103" t="str">
        <f>IF(Asistencia!A108="","",Asistencia!A108)</f>
        <v/>
      </c>
      <c r="AC103" t="str">
        <f>IF(Asistencia!A108="","",SUBSTITUTE(SUBSTITUTE(SUBSTITUTE(SUBSTITUTE(SUBSTITUTE(SUBSTITUTE(SUBSTITUTE(UPPER(TRIM(Asistencia!A108)),"Á","A"),"É","E"),"Í","I"),"Ó","O"),"Ú","U"),"Ñ","N"),"  "," "))</f>
        <v/>
      </c>
      <c r="AD103" t="str">
        <f>IF(Asistencia!E108="","",Asistencia!E108)</f>
        <v/>
      </c>
      <c r="AE103" t="str">
        <f>IF(Asistencia!D108="","",UPPER(TRIM(Asistencia!D108)))</f>
        <v/>
      </c>
      <c r="AF103" t="s">
        <v>190</v>
      </c>
      <c r="AG103">
        <f>IF(AND(AA103&lt;&gt;"",COUNTIF($AA$5:AA103,AA103)=1),1,0)</f>
        <v>0</v>
      </c>
      <c r="AH103" t="str">
        <f>IF(AG103=1,SUM($AG$5:AG103),"")</f>
        <v/>
      </c>
      <c r="AI103">
        <f>IF(OR(EXACT(Asistencia!F108,"A"),EXACT(Asistencia!F108,"R"),EXACT(Asistencia!F108,"DL"),EXACT(Asistencia!F108,"FL"),EXACT(Asistencia!F108,"FE"),EXACT(Asistencia!F108,"PCS"),EXACT(Asistencia!F108,"V")),1,0)</f>
        <v>0</v>
      </c>
      <c r="AJ103">
        <f>IF(OR(EXACT(Asistencia!G108,"A"),EXACT(Asistencia!G108,"R"),EXACT(Asistencia!G108,"DL"),EXACT(Asistencia!G108,"FL"),EXACT(Asistencia!G108,"FE"),EXACT(Asistencia!G108,"PCS"),EXACT(Asistencia!G108,"V")),1,0)</f>
        <v>0</v>
      </c>
      <c r="AK103">
        <f>IF(OR(EXACT(Asistencia!H108,"A"),EXACT(Asistencia!H108,"R"),EXACT(Asistencia!H108,"DL"),EXACT(Asistencia!H108,"FL"),EXACT(Asistencia!H108,"FE"),EXACT(Asistencia!H108,"PCS"),EXACT(Asistencia!H108,"V")),1,0)</f>
        <v>0</v>
      </c>
      <c r="AL103">
        <f>IF(OR(EXACT(Asistencia!I108,"A"),EXACT(Asistencia!I108,"R"),EXACT(Asistencia!I108,"DL"),EXACT(Asistencia!I108,"FL"),EXACT(Asistencia!I108,"FE"),EXACT(Asistencia!I108,"PCS"),EXACT(Asistencia!I108,"V")),1,0)</f>
        <v>0</v>
      </c>
      <c r="AM103">
        <f>IF(OR(EXACT(Asistencia!J108,"A"),EXACT(Asistencia!J108,"R"),EXACT(Asistencia!J108,"DL"),EXACT(Asistencia!J108,"FL"),EXACT(Asistencia!J108,"FE"),EXACT(Asistencia!J108,"PCS"),EXACT(Asistencia!J108,"V")),1,0)</f>
        <v>0</v>
      </c>
      <c r="AN103">
        <f>IF(OR(EXACT(Asistencia!K108,"A"),EXACT(Asistencia!K108,"R"),EXACT(Asistencia!K108,"DL"),EXACT(Asistencia!K108,"FL"),EXACT(Asistencia!K108,"FE"),EXACT(Asistencia!K108,"PCS"),EXACT(Asistencia!K108,"V")),1,0)</f>
        <v>0</v>
      </c>
      <c r="AO103">
        <f>IF(OR(EXACT(Asistencia!L108,"A"),EXACT(Asistencia!L108,"R"),EXACT(Asistencia!L108,"DL"),EXACT(Asistencia!L108,"FL"),EXACT(Asistencia!L108,"FE"),EXACT(Asistencia!L108,"PCS"),EXACT(Asistencia!L108,"V")),1,0)</f>
        <v>0</v>
      </c>
      <c r="AP103">
        <f t="shared" si="62"/>
        <v>0</v>
      </c>
      <c r="AQ103">
        <f>IF(EXACT(Asistencia!F108,"FL"),1,0)</f>
        <v>0</v>
      </c>
      <c r="AR103">
        <f>IF(EXACT(Asistencia!G108,"FL"),1,0)</f>
        <v>0</v>
      </c>
      <c r="AS103">
        <f>IF(EXACT(Asistencia!H108,"FL"),1,0)</f>
        <v>0</v>
      </c>
      <c r="AT103">
        <f>IF(EXACT(Asistencia!I108,"FL"),1,0)</f>
        <v>0</v>
      </c>
      <c r="AU103">
        <f>IF(EXACT(Asistencia!J108,"FL"),1,0)</f>
        <v>0</v>
      </c>
      <c r="AV103">
        <f>IF(EXACT(Asistencia!K108,"FL"),1,0)</f>
        <v>0</v>
      </c>
      <c r="AW103">
        <f>IF(EXACT(Asistencia!L108,"FL"),1,0)</f>
        <v>0</v>
      </c>
      <c r="AX103">
        <f t="shared" si="63"/>
        <v>0</v>
      </c>
      <c r="AY103">
        <f>IF(EXACT(Asistencia!F108,"DL"),1,0)</f>
        <v>0</v>
      </c>
      <c r="AZ103">
        <f>IF(EXACT(Asistencia!G108,"DL"),1,0)</f>
        <v>0</v>
      </c>
      <c r="BA103">
        <f>IF(EXACT(Asistencia!H108,"DL"),1,0)</f>
        <v>0</v>
      </c>
      <c r="BB103">
        <f>IF(EXACT(Asistencia!I108,"DL"),1,0)</f>
        <v>0</v>
      </c>
      <c r="BC103">
        <f>IF(EXACT(Asistencia!J108,"DL"),1,0)</f>
        <v>0</v>
      </c>
      <c r="BD103">
        <f>IF(EXACT(Asistencia!K108,"DL"),1,0)</f>
        <v>0</v>
      </c>
      <c r="BE103">
        <f>IF(EXACT(Asistencia!L108,"DL"),1,0)</f>
        <v>0</v>
      </c>
      <c r="BF103">
        <f t="shared" si="64"/>
        <v>0</v>
      </c>
      <c r="BG103">
        <f>IF(ISNUMBER(Asistencia!M108),Asistencia!M108,0)</f>
        <v>0</v>
      </c>
      <c r="BH103">
        <f>IF(ISNUMBER(Asistencia!N108),Asistencia!N108,0)</f>
        <v>0</v>
      </c>
      <c r="BI103">
        <f>IF(ISNUMBER(Asistencia!O108),Asistencia!O108,0)</f>
        <v>0</v>
      </c>
      <c r="BJ103">
        <f>IF(ISNUMBER(Asistencia!P108),Asistencia!P108,0)</f>
        <v>0</v>
      </c>
      <c r="BK103" t="str">
        <f>IF(Asistencia!F108="","",Asistencia!F108)</f>
        <v/>
      </c>
      <c r="BL103" t="str">
        <f>IF(Asistencia!G108="","",Asistencia!G108)</f>
        <v/>
      </c>
      <c r="BM103" t="str">
        <f>IF(Asistencia!H108="","",Asistencia!H108)</f>
        <v/>
      </c>
      <c r="BN103" t="str">
        <f>IF(Asistencia!I108="","",Asistencia!I108)</f>
        <v/>
      </c>
      <c r="BO103" t="str">
        <f>IF(Asistencia!J108="","",Asistencia!J108)</f>
        <v/>
      </c>
      <c r="BP103" t="str">
        <f>IF(Asistencia!K108="","",Asistencia!K108)</f>
        <v/>
      </c>
      <c r="BQ103" t="str">
        <f>IF(Asistencia!L108="","",Asistencia!L108)</f>
        <v/>
      </c>
    </row>
    <row r="104" spans="1:69" ht="15.75" customHeight="1" x14ac:dyDescent="0.25">
      <c r="A104" s="46" t="str">
        <f t="shared" si="65"/>
        <v/>
      </c>
      <c r="B104" s="47" t="str">
        <f t="shared" si="66"/>
        <v/>
      </c>
      <c r="C104" s="47"/>
      <c r="D104" s="47"/>
      <c r="E104" s="46" t="str">
        <f t="shared" si="67"/>
        <v/>
      </c>
      <c r="F104" s="45" t="str">
        <f t="shared" si="68"/>
        <v/>
      </c>
      <c r="G104" s="44" t="str">
        <f t="shared" si="69"/>
        <v/>
      </c>
      <c r="H104" s="44" t="str">
        <f t="shared" si="70"/>
        <v/>
      </c>
      <c r="I104" s="44" t="str">
        <f t="shared" si="71"/>
        <v/>
      </c>
      <c r="J104" s="44" t="str">
        <f t="shared" si="72"/>
        <v/>
      </c>
      <c r="K104" s="44" t="str">
        <f t="shared" si="73"/>
        <v/>
      </c>
      <c r="L104" s="44" t="str">
        <f t="shared" si="74"/>
        <v/>
      </c>
      <c r="M104" s="43" t="str">
        <f t="shared" si="75"/>
        <v/>
      </c>
      <c r="N104" s="41" t="str">
        <f t="shared" si="76"/>
        <v/>
      </c>
      <c r="O104" s="41" t="str">
        <f t="shared" si="77"/>
        <v/>
      </c>
      <c r="P104" s="41" t="str">
        <f t="shared" si="78"/>
        <v/>
      </c>
      <c r="Q104" s="41" t="str">
        <f t="shared" si="79"/>
        <v/>
      </c>
      <c r="R104" s="41" t="str">
        <f t="shared" si="80"/>
        <v/>
      </c>
      <c r="S104" s="41"/>
      <c r="T104" s="48"/>
      <c r="U104" s="41" t="str">
        <f t="shared" si="81"/>
        <v/>
      </c>
      <c r="V104" s="41"/>
      <c r="W104" s="42" t="str">
        <f t="shared" si="82"/>
        <v/>
      </c>
      <c r="Y104" t="str">
        <f>IFERROR(MATCH(100,$AH$5:$AH$323,0),"")</f>
        <v/>
      </c>
      <c r="Z104" t="str">
        <f t="shared" si="83"/>
        <v/>
      </c>
      <c r="AA104" t="str">
        <f t="shared" si="61"/>
        <v/>
      </c>
      <c r="AB104" t="str">
        <f>IF(Asistencia!A109="","",Asistencia!A109)</f>
        <v/>
      </c>
      <c r="AC104" t="str">
        <f>IF(Asistencia!A109="","",SUBSTITUTE(SUBSTITUTE(SUBSTITUTE(SUBSTITUTE(SUBSTITUTE(SUBSTITUTE(SUBSTITUTE(UPPER(TRIM(Asistencia!A109)),"Á","A"),"É","E"),"Í","I"),"Ó","O"),"Ú","U"),"Ñ","N"),"  "," "))</f>
        <v/>
      </c>
      <c r="AD104" t="str">
        <f>IF(Asistencia!E109="","",Asistencia!E109)</f>
        <v/>
      </c>
      <c r="AE104" t="str">
        <f>IF(Asistencia!D109="","",UPPER(TRIM(Asistencia!D109)))</f>
        <v/>
      </c>
      <c r="AF104" t="s">
        <v>190</v>
      </c>
      <c r="AG104">
        <f>IF(AND(AA104&lt;&gt;"",COUNTIF($AA$5:AA104,AA104)=1),1,0)</f>
        <v>0</v>
      </c>
      <c r="AH104" t="str">
        <f>IF(AG104=1,SUM($AG$5:AG104),"")</f>
        <v/>
      </c>
      <c r="AI104">
        <f>IF(OR(EXACT(Asistencia!F109,"A"),EXACT(Asistencia!F109,"R"),EXACT(Asistencia!F109,"DL"),EXACT(Asistencia!F109,"FL"),EXACT(Asistencia!F109,"FE"),EXACT(Asistencia!F109,"PCS"),EXACT(Asistencia!F109,"V")),1,0)</f>
        <v>0</v>
      </c>
      <c r="AJ104">
        <f>IF(OR(EXACT(Asistencia!G109,"A"),EXACT(Asistencia!G109,"R"),EXACT(Asistencia!G109,"DL"),EXACT(Asistencia!G109,"FL"),EXACT(Asistencia!G109,"FE"),EXACT(Asistencia!G109,"PCS"),EXACT(Asistencia!G109,"V")),1,0)</f>
        <v>0</v>
      </c>
      <c r="AK104">
        <f>IF(OR(EXACT(Asistencia!H109,"A"),EXACT(Asistencia!H109,"R"),EXACT(Asistencia!H109,"DL"),EXACT(Asistencia!H109,"FL"),EXACT(Asistencia!H109,"FE"),EXACT(Asistencia!H109,"PCS"),EXACT(Asistencia!H109,"V")),1,0)</f>
        <v>0</v>
      </c>
      <c r="AL104">
        <f>IF(OR(EXACT(Asistencia!I109,"A"),EXACT(Asistencia!I109,"R"),EXACT(Asistencia!I109,"DL"),EXACT(Asistencia!I109,"FL"),EXACT(Asistencia!I109,"FE"),EXACT(Asistencia!I109,"PCS"),EXACT(Asistencia!I109,"V")),1,0)</f>
        <v>0</v>
      </c>
      <c r="AM104">
        <f>IF(OR(EXACT(Asistencia!J109,"A"),EXACT(Asistencia!J109,"R"),EXACT(Asistencia!J109,"DL"),EXACT(Asistencia!J109,"FL"),EXACT(Asistencia!J109,"FE"),EXACT(Asistencia!J109,"PCS"),EXACT(Asistencia!J109,"V")),1,0)</f>
        <v>0</v>
      </c>
      <c r="AN104">
        <f>IF(OR(EXACT(Asistencia!K109,"A"),EXACT(Asistencia!K109,"R"),EXACT(Asistencia!K109,"DL"),EXACT(Asistencia!K109,"FL"),EXACT(Asistencia!K109,"FE"),EXACT(Asistencia!K109,"PCS"),EXACT(Asistencia!K109,"V")),1,0)</f>
        <v>0</v>
      </c>
      <c r="AO104">
        <f>IF(OR(EXACT(Asistencia!L109,"A"),EXACT(Asistencia!L109,"R"),EXACT(Asistencia!L109,"DL"),EXACT(Asistencia!L109,"FL"),EXACT(Asistencia!L109,"FE"),EXACT(Asistencia!L109,"PCS"),EXACT(Asistencia!L109,"V")),1,0)</f>
        <v>0</v>
      </c>
      <c r="AP104">
        <f t="shared" si="62"/>
        <v>0</v>
      </c>
      <c r="AQ104">
        <f>IF(EXACT(Asistencia!F109,"FL"),1,0)</f>
        <v>0</v>
      </c>
      <c r="AR104">
        <f>IF(EXACT(Asistencia!G109,"FL"),1,0)</f>
        <v>0</v>
      </c>
      <c r="AS104">
        <f>IF(EXACT(Asistencia!H109,"FL"),1,0)</f>
        <v>0</v>
      </c>
      <c r="AT104">
        <f>IF(EXACT(Asistencia!I109,"FL"),1,0)</f>
        <v>0</v>
      </c>
      <c r="AU104">
        <f>IF(EXACT(Asistencia!J109,"FL"),1,0)</f>
        <v>0</v>
      </c>
      <c r="AV104">
        <f>IF(EXACT(Asistencia!K109,"FL"),1,0)</f>
        <v>0</v>
      </c>
      <c r="AW104">
        <f>IF(EXACT(Asistencia!L109,"FL"),1,0)</f>
        <v>0</v>
      </c>
      <c r="AX104">
        <f t="shared" si="63"/>
        <v>0</v>
      </c>
      <c r="AY104">
        <f>IF(EXACT(Asistencia!F109,"DL"),1,0)</f>
        <v>0</v>
      </c>
      <c r="AZ104">
        <f>IF(EXACT(Asistencia!G109,"DL"),1,0)</f>
        <v>0</v>
      </c>
      <c r="BA104">
        <f>IF(EXACT(Asistencia!H109,"DL"),1,0)</f>
        <v>0</v>
      </c>
      <c r="BB104">
        <f>IF(EXACT(Asistencia!I109,"DL"),1,0)</f>
        <v>0</v>
      </c>
      <c r="BC104">
        <f>IF(EXACT(Asistencia!J109,"DL"),1,0)</f>
        <v>0</v>
      </c>
      <c r="BD104">
        <f>IF(EXACT(Asistencia!K109,"DL"),1,0)</f>
        <v>0</v>
      </c>
      <c r="BE104">
        <f>IF(EXACT(Asistencia!L109,"DL"),1,0)</f>
        <v>0</v>
      </c>
      <c r="BF104">
        <f t="shared" si="64"/>
        <v>0</v>
      </c>
      <c r="BG104">
        <f>IF(ISNUMBER(Asistencia!M109),Asistencia!M109,0)</f>
        <v>0</v>
      </c>
      <c r="BH104">
        <f>IF(ISNUMBER(Asistencia!N109),Asistencia!N109,0)</f>
        <v>0</v>
      </c>
      <c r="BI104">
        <f>IF(ISNUMBER(Asistencia!O109),Asistencia!O109,0)</f>
        <v>0</v>
      </c>
      <c r="BJ104">
        <f>IF(ISNUMBER(Asistencia!P109),Asistencia!P109,0)</f>
        <v>0</v>
      </c>
      <c r="BK104" t="str">
        <f>IF(Asistencia!F109="","",Asistencia!F109)</f>
        <v/>
      </c>
      <c r="BL104" t="str">
        <f>IF(Asistencia!G109="","",Asistencia!G109)</f>
        <v/>
      </c>
      <c r="BM104" t="str">
        <f>IF(Asistencia!H109="","",Asistencia!H109)</f>
        <v/>
      </c>
      <c r="BN104" t="str">
        <f>IF(Asistencia!I109="","",Asistencia!I109)</f>
        <v/>
      </c>
      <c r="BO104" t="str">
        <f>IF(Asistencia!J109="","",Asistencia!J109)</f>
        <v/>
      </c>
      <c r="BP104" t="str">
        <f>IF(Asistencia!K109="","",Asistencia!K109)</f>
        <v/>
      </c>
      <c r="BQ104" t="str">
        <f>IF(Asistencia!L109="","",Asistencia!L109)</f>
        <v/>
      </c>
    </row>
    <row r="105" spans="1:69" ht="15.75" customHeight="1" x14ac:dyDescent="0.25">
      <c r="A105" s="46" t="str">
        <f t="shared" si="65"/>
        <v/>
      </c>
      <c r="B105" s="47" t="str">
        <f t="shared" si="66"/>
        <v/>
      </c>
      <c r="C105" s="47"/>
      <c r="D105" s="47"/>
      <c r="E105" s="46" t="str">
        <f t="shared" si="67"/>
        <v/>
      </c>
      <c r="F105" s="45" t="str">
        <f t="shared" si="68"/>
        <v/>
      </c>
      <c r="G105" s="44" t="str">
        <f t="shared" si="69"/>
        <v/>
      </c>
      <c r="H105" s="44" t="str">
        <f t="shared" si="70"/>
        <v/>
      </c>
      <c r="I105" s="44" t="str">
        <f t="shared" si="71"/>
        <v/>
      </c>
      <c r="J105" s="44" t="str">
        <f t="shared" si="72"/>
        <v/>
      </c>
      <c r="K105" s="44" t="str">
        <f t="shared" si="73"/>
        <v/>
      </c>
      <c r="L105" s="44" t="str">
        <f t="shared" si="74"/>
        <v/>
      </c>
      <c r="M105" s="43" t="str">
        <f t="shared" si="75"/>
        <v/>
      </c>
      <c r="N105" s="41" t="str">
        <f t="shared" si="76"/>
        <v/>
      </c>
      <c r="O105" s="41" t="str">
        <f t="shared" si="77"/>
        <v/>
      </c>
      <c r="P105" s="41" t="str">
        <f t="shared" si="78"/>
        <v/>
      </c>
      <c r="Q105" s="41" t="str">
        <f t="shared" si="79"/>
        <v/>
      </c>
      <c r="R105" s="41" t="str">
        <f t="shared" si="80"/>
        <v/>
      </c>
      <c r="S105" s="41"/>
      <c r="T105" s="48"/>
      <c r="U105" s="41" t="str">
        <f t="shared" si="81"/>
        <v/>
      </c>
      <c r="V105" s="41"/>
      <c r="W105" s="42" t="str">
        <f t="shared" si="82"/>
        <v/>
      </c>
      <c r="Y105" t="str">
        <f>IFERROR(MATCH(101,$AH$5:$AH$323,0),"")</f>
        <v/>
      </c>
      <c r="Z105" t="str">
        <f t="shared" si="83"/>
        <v/>
      </c>
      <c r="AA105" t="str">
        <f t="shared" si="61"/>
        <v/>
      </c>
      <c r="AB105" t="str">
        <f>IF(Asistencia!A110="","",Asistencia!A110)</f>
        <v/>
      </c>
      <c r="AC105" t="str">
        <f>IF(Asistencia!A110="","",SUBSTITUTE(SUBSTITUTE(SUBSTITUTE(SUBSTITUTE(SUBSTITUTE(SUBSTITUTE(SUBSTITUTE(UPPER(TRIM(Asistencia!A110)),"Á","A"),"É","E"),"Í","I"),"Ó","O"),"Ú","U"),"Ñ","N"),"  "," "))</f>
        <v/>
      </c>
      <c r="AD105" t="str">
        <f>IF(Asistencia!E110="","",Asistencia!E110)</f>
        <v/>
      </c>
      <c r="AE105" t="str">
        <f>IF(Asistencia!D110="","",UPPER(TRIM(Asistencia!D110)))</f>
        <v/>
      </c>
      <c r="AF105" t="s">
        <v>190</v>
      </c>
      <c r="AG105">
        <f>IF(AND(AA105&lt;&gt;"",COUNTIF($AA$5:AA105,AA105)=1),1,0)</f>
        <v>0</v>
      </c>
      <c r="AH105" t="str">
        <f>IF(AG105=1,SUM($AG$5:AG105),"")</f>
        <v/>
      </c>
      <c r="AI105">
        <f>IF(OR(EXACT(Asistencia!F110,"A"),EXACT(Asistencia!F110,"R"),EXACT(Asistencia!F110,"DL"),EXACT(Asistencia!F110,"FL"),EXACT(Asistencia!F110,"FE"),EXACT(Asistencia!F110,"PCS"),EXACT(Asistencia!F110,"V")),1,0)</f>
        <v>0</v>
      </c>
      <c r="AJ105">
        <f>IF(OR(EXACT(Asistencia!G110,"A"),EXACT(Asistencia!G110,"R"),EXACT(Asistencia!G110,"DL"),EXACT(Asistencia!G110,"FL"),EXACT(Asistencia!G110,"FE"),EXACT(Asistencia!G110,"PCS"),EXACT(Asistencia!G110,"V")),1,0)</f>
        <v>0</v>
      </c>
      <c r="AK105">
        <f>IF(OR(EXACT(Asistencia!H110,"A"),EXACT(Asistencia!H110,"R"),EXACT(Asistencia!H110,"DL"),EXACT(Asistencia!H110,"FL"),EXACT(Asistencia!H110,"FE"),EXACT(Asistencia!H110,"PCS"),EXACT(Asistencia!H110,"V")),1,0)</f>
        <v>0</v>
      </c>
      <c r="AL105">
        <f>IF(OR(EXACT(Asistencia!I110,"A"),EXACT(Asistencia!I110,"R"),EXACT(Asistencia!I110,"DL"),EXACT(Asistencia!I110,"FL"),EXACT(Asistencia!I110,"FE"),EXACT(Asistencia!I110,"PCS"),EXACT(Asistencia!I110,"V")),1,0)</f>
        <v>0</v>
      </c>
      <c r="AM105">
        <f>IF(OR(EXACT(Asistencia!J110,"A"),EXACT(Asistencia!J110,"R"),EXACT(Asistencia!J110,"DL"),EXACT(Asistencia!J110,"FL"),EXACT(Asistencia!J110,"FE"),EXACT(Asistencia!J110,"PCS"),EXACT(Asistencia!J110,"V")),1,0)</f>
        <v>0</v>
      </c>
      <c r="AN105">
        <f>IF(OR(EXACT(Asistencia!K110,"A"),EXACT(Asistencia!K110,"R"),EXACT(Asistencia!K110,"DL"),EXACT(Asistencia!K110,"FL"),EXACT(Asistencia!K110,"FE"),EXACT(Asistencia!K110,"PCS"),EXACT(Asistencia!K110,"V")),1,0)</f>
        <v>0</v>
      </c>
      <c r="AO105">
        <f>IF(OR(EXACT(Asistencia!L110,"A"),EXACT(Asistencia!L110,"R"),EXACT(Asistencia!L110,"DL"),EXACT(Asistencia!L110,"FL"),EXACT(Asistencia!L110,"FE"),EXACT(Asistencia!L110,"PCS"),EXACT(Asistencia!L110,"V")),1,0)</f>
        <v>0</v>
      </c>
      <c r="AP105">
        <f t="shared" si="62"/>
        <v>0</v>
      </c>
      <c r="AQ105">
        <f>IF(EXACT(Asistencia!F110,"FL"),1,0)</f>
        <v>0</v>
      </c>
      <c r="AR105">
        <f>IF(EXACT(Asistencia!G110,"FL"),1,0)</f>
        <v>0</v>
      </c>
      <c r="AS105">
        <f>IF(EXACT(Asistencia!H110,"FL"),1,0)</f>
        <v>0</v>
      </c>
      <c r="AT105">
        <f>IF(EXACT(Asistencia!I110,"FL"),1,0)</f>
        <v>0</v>
      </c>
      <c r="AU105">
        <f>IF(EXACT(Asistencia!J110,"FL"),1,0)</f>
        <v>0</v>
      </c>
      <c r="AV105">
        <f>IF(EXACT(Asistencia!K110,"FL"),1,0)</f>
        <v>0</v>
      </c>
      <c r="AW105">
        <f>IF(EXACT(Asistencia!L110,"FL"),1,0)</f>
        <v>0</v>
      </c>
      <c r="AX105">
        <f t="shared" si="63"/>
        <v>0</v>
      </c>
      <c r="AY105">
        <f>IF(EXACT(Asistencia!F110,"DL"),1,0)</f>
        <v>0</v>
      </c>
      <c r="AZ105">
        <f>IF(EXACT(Asistencia!G110,"DL"),1,0)</f>
        <v>0</v>
      </c>
      <c r="BA105">
        <f>IF(EXACT(Asistencia!H110,"DL"),1,0)</f>
        <v>0</v>
      </c>
      <c r="BB105">
        <f>IF(EXACT(Asistencia!I110,"DL"),1,0)</f>
        <v>0</v>
      </c>
      <c r="BC105">
        <f>IF(EXACT(Asistencia!J110,"DL"),1,0)</f>
        <v>0</v>
      </c>
      <c r="BD105">
        <f>IF(EXACT(Asistencia!K110,"DL"),1,0)</f>
        <v>0</v>
      </c>
      <c r="BE105">
        <f>IF(EXACT(Asistencia!L110,"DL"),1,0)</f>
        <v>0</v>
      </c>
      <c r="BF105">
        <f t="shared" si="64"/>
        <v>0</v>
      </c>
      <c r="BG105">
        <f>IF(ISNUMBER(Asistencia!M110),Asistencia!M110,0)</f>
        <v>0</v>
      </c>
      <c r="BH105">
        <f>IF(ISNUMBER(Asistencia!N110),Asistencia!N110,0)</f>
        <v>0</v>
      </c>
      <c r="BI105">
        <f>IF(ISNUMBER(Asistencia!O110),Asistencia!O110,0)</f>
        <v>0</v>
      </c>
      <c r="BJ105">
        <f>IF(ISNUMBER(Asistencia!P110),Asistencia!P110,0)</f>
        <v>0</v>
      </c>
      <c r="BK105" t="str">
        <f>IF(Asistencia!F110="","",Asistencia!F110)</f>
        <v/>
      </c>
      <c r="BL105" t="str">
        <f>IF(Asistencia!G110="","",Asistencia!G110)</f>
        <v/>
      </c>
      <c r="BM105" t="str">
        <f>IF(Asistencia!H110="","",Asistencia!H110)</f>
        <v/>
      </c>
      <c r="BN105" t="str">
        <f>IF(Asistencia!I110="","",Asistencia!I110)</f>
        <v/>
      </c>
      <c r="BO105" t="str">
        <f>IF(Asistencia!J110="","",Asistencia!J110)</f>
        <v/>
      </c>
      <c r="BP105" t="str">
        <f>IF(Asistencia!K110="","",Asistencia!K110)</f>
        <v/>
      </c>
      <c r="BQ105" t="str">
        <f>IF(Asistencia!L110="","",Asistencia!L110)</f>
        <v/>
      </c>
    </row>
    <row r="106" spans="1:69" ht="15.75" customHeight="1" x14ac:dyDescent="0.25">
      <c r="A106" s="46" t="str">
        <f t="shared" si="65"/>
        <v/>
      </c>
      <c r="B106" s="47" t="str">
        <f t="shared" si="66"/>
        <v/>
      </c>
      <c r="C106" s="47"/>
      <c r="D106" s="47"/>
      <c r="E106" s="46" t="str">
        <f t="shared" si="67"/>
        <v/>
      </c>
      <c r="F106" s="45" t="str">
        <f t="shared" si="68"/>
        <v/>
      </c>
      <c r="G106" s="44" t="str">
        <f t="shared" si="69"/>
        <v/>
      </c>
      <c r="H106" s="44" t="str">
        <f t="shared" si="70"/>
        <v/>
      </c>
      <c r="I106" s="44" t="str">
        <f t="shared" si="71"/>
        <v/>
      </c>
      <c r="J106" s="44" t="str">
        <f t="shared" si="72"/>
        <v/>
      </c>
      <c r="K106" s="44" t="str">
        <f t="shared" si="73"/>
        <v/>
      </c>
      <c r="L106" s="44" t="str">
        <f t="shared" si="74"/>
        <v/>
      </c>
      <c r="M106" s="43" t="str">
        <f t="shared" si="75"/>
        <v/>
      </c>
      <c r="N106" s="41" t="str">
        <f t="shared" si="76"/>
        <v/>
      </c>
      <c r="O106" s="41" t="str">
        <f t="shared" si="77"/>
        <v/>
      </c>
      <c r="P106" s="41" t="str">
        <f t="shared" si="78"/>
        <v/>
      </c>
      <c r="Q106" s="41" t="str">
        <f t="shared" si="79"/>
        <v/>
      </c>
      <c r="R106" s="41" t="str">
        <f t="shared" si="80"/>
        <v/>
      </c>
      <c r="S106" s="41"/>
      <c r="T106" s="48"/>
      <c r="U106" s="41" t="str">
        <f t="shared" si="81"/>
        <v/>
      </c>
      <c r="V106" s="41"/>
      <c r="W106" s="42" t="str">
        <f t="shared" si="82"/>
        <v/>
      </c>
      <c r="Y106" t="str">
        <f>IFERROR(MATCH(102,$AH$5:$AH$323,0),"")</f>
        <v/>
      </c>
      <c r="Z106" t="str">
        <f t="shared" si="83"/>
        <v/>
      </c>
      <c r="AA106" t="str">
        <f t="shared" si="61"/>
        <v/>
      </c>
      <c r="AB106" t="str">
        <f>IF(Asistencia!A111="","",Asistencia!A111)</f>
        <v/>
      </c>
      <c r="AC106" t="str">
        <f>IF(Asistencia!A111="","",SUBSTITUTE(SUBSTITUTE(SUBSTITUTE(SUBSTITUTE(SUBSTITUTE(SUBSTITUTE(SUBSTITUTE(UPPER(TRIM(Asistencia!A111)),"Á","A"),"É","E"),"Í","I"),"Ó","O"),"Ú","U"),"Ñ","N"),"  "," "))</f>
        <v/>
      </c>
      <c r="AD106" t="str">
        <f>IF(Asistencia!E111="","",Asistencia!E111)</f>
        <v/>
      </c>
      <c r="AE106" t="str">
        <f>IF(Asistencia!D111="","",UPPER(TRIM(Asistencia!D111)))</f>
        <v/>
      </c>
      <c r="AF106" t="s">
        <v>190</v>
      </c>
      <c r="AG106">
        <f>IF(AND(AA106&lt;&gt;"",COUNTIF($AA$5:AA106,AA106)=1),1,0)</f>
        <v>0</v>
      </c>
      <c r="AH106" t="str">
        <f>IF(AG106=1,SUM($AG$5:AG106),"")</f>
        <v/>
      </c>
      <c r="AI106">
        <f>IF(OR(EXACT(Asistencia!F111,"A"),EXACT(Asistencia!F111,"R"),EXACT(Asistencia!F111,"DL"),EXACT(Asistencia!F111,"FL"),EXACT(Asistencia!F111,"FE"),EXACT(Asistencia!F111,"PCS"),EXACT(Asistencia!F111,"V")),1,0)</f>
        <v>0</v>
      </c>
      <c r="AJ106">
        <f>IF(OR(EXACT(Asistencia!G111,"A"),EXACT(Asistencia!G111,"R"),EXACT(Asistencia!G111,"DL"),EXACT(Asistencia!G111,"FL"),EXACT(Asistencia!G111,"FE"),EXACT(Asistencia!G111,"PCS"),EXACT(Asistencia!G111,"V")),1,0)</f>
        <v>0</v>
      </c>
      <c r="AK106">
        <f>IF(OR(EXACT(Asistencia!H111,"A"),EXACT(Asistencia!H111,"R"),EXACT(Asistencia!H111,"DL"),EXACT(Asistencia!H111,"FL"),EXACT(Asistencia!H111,"FE"),EXACT(Asistencia!H111,"PCS"),EXACT(Asistencia!H111,"V")),1,0)</f>
        <v>0</v>
      </c>
      <c r="AL106">
        <f>IF(OR(EXACT(Asistencia!I111,"A"),EXACT(Asistencia!I111,"R"),EXACT(Asistencia!I111,"DL"),EXACT(Asistencia!I111,"FL"),EXACT(Asistencia!I111,"FE"),EXACT(Asistencia!I111,"PCS"),EXACT(Asistencia!I111,"V")),1,0)</f>
        <v>0</v>
      </c>
      <c r="AM106">
        <f>IF(OR(EXACT(Asistencia!J111,"A"),EXACT(Asistencia!J111,"R"),EXACT(Asistencia!J111,"DL"),EXACT(Asistencia!J111,"FL"),EXACT(Asistencia!J111,"FE"),EXACT(Asistencia!J111,"PCS"),EXACT(Asistencia!J111,"V")),1,0)</f>
        <v>0</v>
      </c>
      <c r="AN106">
        <f>IF(OR(EXACT(Asistencia!K111,"A"),EXACT(Asistencia!K111,"R"),EXACT(Asistencia!K111,"DL"),EXACT(Asistencia!K111,"FL"),EXACT(Asistencia!K111,"FE"),EXACT(Asistencia!K111,"PCS"),EXACT(Asistencia!K111,"V")),1,0)</f>
        <v>0</v>
      </c>
      <c r="AO106">
        <f>IF(OR(EXACT(Asistencia!L111,"A"),EXACT(Asistencia!L111,"R"),EXACT(Asistencia!L111,"DL"),EXACT(Asistencia!L111,"FL"),EXACT(Asistencia!L111,"FE"),EXACT(Asistencia!L111,"PCS"),EXACT(Asistencia!L111,"V")),1,0)</f>
        <v>0</v>
      </c>
      <c r="AP106">
        <f t="shared" si="62"/>
        <v>0</v>
      </c>
      <c r="AQ106">
        <f>IF(EXACT(Asistencia!F111,"FL"),1,0)</f>
        <v>0</v>
      </c>
      <c r="AR106">
        <f>IF(EXACT(Asistencia!G111,"FL"),1,0)</f>
        <v>0</v>
      </c>
      <c r="AS106">
        <f>IF(EXACT(Asistencia!H111,"FL"),1,0)</f>
        <v>0</v>
      </c>
      <c r="AT106">
        <f>IF(EXACT(Asistencia!I111,"FL"),1,0)</f>
        <v>0</v>
      </c>
      <c r="AU106">
        <f>IF(EXACT(Asistencia!J111,"FL"),1,0)</f>
        <v>0</v>
      </c>
      <c r="AV106">
        <f>IF(EXACT(Asistencia!K111,"FL"),1,0)</f>
        <v>0</v>
      </c>
      <c r="AW106">
        <f>IF(EXACT(Asistencia!L111,"FL"),1,0)</f>
        <v>0</v>
      </c>
      <c r="AX106">
        <f t="shared" si="63"/>
        <v>0</v>
      </c>
      <c r="AY106">
        <f>IF(EXACT(Asistencia!F111,"DL"),1,0)</f>
        <v>0</v>
      </c>
      <c r="AZ106">
        <f>IF(EXACT(Asistencia!G111,"DL"),1,0)</f>
        <v>0</v>
      </c>
      <c r="BA106">
        <f>IF(EXACT(Asistencia!H111,"DL"),1,0)</f>
        <v>0</v>
      </c>
      <c r="BB106">
        <f>IF(EXACT(Asistencia!I111,"DL"),1,0)</f>
        <v>0</v>
      </c>
      <c r="BC106">
        <f>IF(EXACT(Asistencia!J111,"DL"),1,0)</f>
        <v>0</v>
      </c>
      <c r="BD106">
        <f>IF(EXACT(Asistencia!K111,"DL"),1,0)</f>
        <v>0</v>
      </c>
      <c r="BE106">
        <f>IF(EXACT(Asistencia!L111,"DL"),1,0)</f>
        <v>0</v>
      </c>
      <c r="BF106">
        <f t="shared" si="64"/>
        <v>0</v>
      </c>
      <c r="BG106">
        <f>IF(ISNUMBER(Asistencia!M111),Asistencia!M111,0)</f>
        <v>0</v>
      </c>
      <c r="BH106">
        <f>IF(ISNUMBER(Asistencia!N111),Asistencia!N111,0)</f>
        <v>0</v>
      </c>
      <c r="BI106">
        <f>IF(ISNUMBER(Asistencia!O111),Asistencia!O111,0)</f>
        <v>0</v>
      </c>
      <c r="BJ106">
        <f>IF(ISNUMBER(Asistencia!P111),Asistencia!P111,0)</f>
        <v>0</v>
      </c>
      <c r="BK106" t="str">
        <f>IF(Asistencia!F111="","",Asistencia!F111)</f>
        <v/>
      </c>
      <c r="BL106" t="str">
        <f>IF(Asistencia!G111="","",Asistencia!G111)</f>
        <v/>
      </c>
      <c r="BM106" t="str">
        <f>IF(Asistencia!H111="","",Asistencia!H111)</f>
        <v/>
      </c>
      <c r="BN106" t="str">
        <f>IF(Asistencia!I111="","",Asistencia!I111)</f>
        <v/>
      </c>
      <c r="BO106" t="str">
        <f>IF(Asistencia!J111="","",Asistencia!J111)</f>
        <v/>
      </c>
      <c r="BP106" t="str">
        <f>IF(Asistencia!K111="","",Asistencia!K111)</f>
        <v/>
      </c>
      <c r="BQ106" t="str">
        <f>IF(Asistencia!L111="","",Asistencia!L111)</f>
        <v/>
      </c>
    </row>
    <row r="107" spans="1:69" ht="15.75" customHeight="1" x14ac:dyDescent="0.25">
      <c r="A107" s="46" t="str">
        <f t="shared" si="65"/>
        <v/>
      </c>
      <c r="B107" s="47" t="str">
        <f t="shared" si="66"/>
        <v/>
      </c>
      <c r="C107" s="47"/>
      <c r="D107" s="47"/>
      <c r="E107" s="46" t="str">
        <f t="shared" si="67"/>
        <v/>
      </c>
      <c r="F107" s="45" t="str">
        <f t="shared" si="68"/>
        <v/>
      </c>
      <c r="G107" s="44" t="str">
        <f t="shared" si="69"/>
        <v/>
      </c>
      <c r="H107" s="44" t="str">
        <f t="shared" si="70"/>
        <v/>
      </c>
      <c r="I107" s="44" t="str">
        <f t="shared" si="71"/>
        <v/>
      </c>
      <c r="J107" s="44" t="str">
        <f t="shared" si="72"/>
        <v/>
      </c>
      <c r="K107" s="44" t="str">
        <f t="shared" si="73"/>
        <v/>
      </c>
      <c r="L107" s="44" t="str">
        <f t="shared" si="74"/>
        <v/>
      </c>
      <c r="M107" s="43" t="str">
        <f t="shared" si="75"/>
        <v/>
      </c>
      <c r="N107" s="41" t="str">
        <f t="shared" si="76"/>
        <v/>
      </c>
      <c r="O107" s="41" t="str">
        <f t="shared" si="77"/>
        <v/>
      </c>
      <c r="P107" s="41" t="str">
        <f t="shared" si="78"/>
        <v/>
      </c>
      <c r="Q107" s="41" t="str">
        <f t="shared" si="79"/>
        <v/>
      </c>
      <c r="R107" s="41" t="str">
        <f t="shared" si="80"/>
        <v/>
      </c>
      <c r="S107" s="41"/>
      <c r="T107" s="48"/>
      <c r="U107" s="41" t="str">
        <f t="shared" si="81"/>
        <v/>
      </c>
      <c r="V107" s="41"/>
      <c r="W107" s="42" t="str">
        <f t="shared" si="82"/>
        <v/>
      </c>
      <c r="Y107" t="str">
        <f>IFERROR(MATCH(103,$AH$5:$AH$323,0),"")</f>
        <v/>
      </c>
      <c r="Z107" t="str">
        <f t="shared" si="83"/>
        <v/>
      </c>
      <c r="AA107" t="str">
        <f t="shared" si="61"/>
        <v/>
      </c>
      <c r="AB107" t="str">
        <f>IF(Asistencia!A112="","",Asistencia!A112)</f>
        <v/>
      </c>
      <c r="AC107" t="str">
        <f>IF(Asistencia!A112="","",SUBSTITUTE(SUBSTITUTE(SUBSTITUTE(SUBSTITUTE(SUBSTITUTE(SUBSTITUTE(SUBSTITUTE(UPPER(TRIM(Asistencia!A112)),"Á","A"),"É","E"),"Í","I"),"Ó","O"),"Ú","U"),"Ñ","N"),"  "," "))</f>
        <v/>
      </c>
      <c r="AD107" t="str">
        <f>IF(Asistencia!E112="","",Asistencia!E112)</f>
        <v/>
      </c>
      <c r="AE107" t="str">
        <f>IF(Asistencia!D112="","",UPPER(TRIM(Asistencia!D112)))</f>
        <v/>
      </c>
      <c r="AF107" t="s">
        <v>190</v>
      </c>
      <c r="AG107">
        <f>IF(AND(AA107&lt;&gt;"",COUNTIF($AA$5:AA107,AA107)=1),1,0)</f>
        <v>0</v>
      </c>
      <c r="AH107" t="str">
        <f>IF(AG107=1,SUM($AG$5:AG107),"")</f>
        <v/>
      </c>
      <c r="AI107">
        <f>IF(OR(EXACT(Asistencia!F112,"A"),EXACT(Asistencia!F112,"R"),EXACT(Asistencia!F112,"DL"),EXACT(Asistencia!F112,"FL"),EXACT(Asistencia!F112,"FE"),EXACT(Asistencia!F112,"PCS"),EXACT(Asistencia!F112,"V")),1,0)</f>
        <v>0</v>
      </c>
      <c r="AJ107">
        <f>IF(OR(EXACT(Asistencia!G112,"A"),EXACT(Asistencia!G112,"R"),EXACT(Asistencia!G112,"DL"),EXACT(Asistencia!G112,"FL"),EXACT(Asistencia!G112,"FE"),EXACT(Asistencia!G112,"PCS"),EXACT(Asistencia!G112,"V")),1,0)</f>
        <v>0</v>
      </c>
      <c r="AK107">
        <f>IF(OR(EXACT(Asistencia!H112,"A"),EXACT(Asistencia!H112,"R"),EXACT(Asistencia!H112,"DL"),EXACT(Asistencia!H112,"FL"),EXACT(Asistencia!H112,"FE"),EXACT(Asistencia!H112,"PCS"),EXACT(Asistencia!H112,"V")),1,0)</f>
        <v>0</v>
      </c>
      <c r="AL107">
        <f>IF(OR(EXACT(Asistencia!I112,"A"),EXACT(Asistencia!I112,"R"),EXACT(Asistencia!I112,"DL"),EXACT(Asistencia!I112,"FL"),EXACT(Asistencia!I112,"FE"),EXACT(Asistencia!I112,"PCS"),EXACT(Asistencia!I112,"V")),1,0)</f>
        <v>0</v>
      </c>
      <c r="AM107">
        <f>IF(OR(EXACT(Asistencia!J112,"A"),EXACT(Asistencia!J112,"R"),EXACT(Asistencia!J112,"DL"),EXACT(Asistencia!J112,"FL"),EXACT(Asistencia!J112,"FE"),EXACT(Asistencia!J112,"PCS"),EXACT(Asistencia!J112,"V")),1,0)</f>
        <v>0</v>
      </c>
      <c r="AN107">
        <f>IF(OR(EXACT(Asistencia!K112,"A"),EXACT(Asistencia!K112,"R"),EXACT(Asistencia!K112,"DL"),EXACT(Asistencia!K112,"FL"),EXACT(Asistencia!K112,"FE"),EXACT(Asistencia!K112,"PCS"),EXACT(Asistencia!K112,"V")),1,0)</f>
        <v>0</v>
      </c>
      <c r="AO107">
        <f>IF(OR(EXACT(Asistencia!L112,"A"),EXACT(Asistencia!L112,"R"),EXACT(Asistencia!L112,"DL"),EXACT(Asistencia!L112,"FL"),EXACT(Asistencia!L112,"FE"),EXACT(Asistencia!L112,"PCS"),EXACT(Asistencia!L112,"V")),1,0)</f>
        <v>0</v>
      </c>
      <c r="AP107">
        <f t="shared" si="62"/>
        <v>0</v>
      </c>
      <c r="AQ107">
        <f>IF(EXACT(Asistencia!F112,"FL"),1,0)</f>
        <v>0</v>
      </c>
      <c r="AR107">
        <f>IF(EXACT(Asistencia!G112,"FL"),1,0)</f>
        <v>0</v>
      </c>
      <c r="AS107">
        <f>IF(EXACT(Asistencia!H112,"FL"),1,0)</f>
        <v>0</v>
      </c>
      <c r="AT107">
        <f>IF(EXACT(Asistencia!I112,"FL"),1,0)</f>
        <v>0</v>
      </c>
      <c r="AU107">
        <f>IF(EXACT(Asistencia!J112,"FL"),1,0)</f>
        <v>0</v>
      </c>
      <c r="AV107">
        <f>IF(EXACT(Asistencia!K112,"FL"),1,0)</f>
        <v>0</v>
      </c>
      <c r="AW107">
        <f>IF(EXACT(Asistencia!L112,"FL"),1,0)</f>
        <v>0</v>
      </c>
      <c r="AX107">
        <f t="shared" si="63"/>
        <v>0</v>
      </c>
      <c r="AY107">
        <f>IF(EXACT(Asistencia!F112,"DL"),1,0)</f>
        <v>0</v>
      </c>
      <c r="AZ107">
        <f>IF(EXACT(Asistencia!G112,"DL"),1,0)</f>
        <v>0</v>
      </c>
      <c r="BA107">
        <f>IF(EXACT(Asistencia!H112,"DL"),1,0)</f>
        <v>0</v>
      </c>
      <c r="BB107">
        <f>IF(EXACT(Asistencia!I112,"DL"),1,0)</f>
        <v>0</v>
      </c>
      <c r="BC107">
        <f>IF(EXACT(Asistencia!J112,"DL"),1,0)</f>
        <v>0</v>
      </c>
      <c r="BD107">
        <f>IF(EXACT(Asistencia!K112,"DL"),1,0)</f>
        <v>0</v>
      </c>
      <c r="BE107">
        <f>IF(EXACT(Asistencia!L112,"DL"),1,0)</f>
        <v>0</v>
      </c>
      <c r="BF107">
        <f t="shared" si="64"/>
        <v>0</v>
      </c>
      <c r="BG107">
        <f>IF(ISNUMBER(Asistencia!M112),Asistencia!M112,0)</f>
        <v>0</v>
      </c>
      <c r="BH107">
        <f>IF(ISNUMBER(Asistencia!N112),Asistencia!N112,0)</f>
        <v>0</v>
      </c>
      <c r="BI107">
        <f>IF(ISNUMBER(Asistencia!O112),Asistencia!O112,0)</f>
        <v>0</v>
      </c>
      <c r="BJ107">
        <f>IF(ISNUMBER(Asistencia!P112),Asistencia!P112,0)</f>
        <v>0</v>
      </c>
      <c r="BK107" t="str">
        <f>IF(Asistencia!F112="","",Asistencia!F112)</f>
        <v/>
      </c>
      <c r="BL107" t="str">
        <f>IF(Asistencia!G112="","",Asistencia!G112)</f>
        <v/>
      </c>
      <c r="BM107" t="str">
        <f>IF(Asistencia!H112="","",Asistencia!H112)</f>
        <v/>
      </c>
      <c r="BN107" t="str">
        <f>IF(Asistencia!I112="","",Asistencia!I112)</f>
        <v/>
      </c>
      <c r="BO107" t="str">
        <f>IF(Asistencia!J112="","",Asistencia!J112)</f>
        <v/>
      </c>
      <c r="BP107" t="str">
        <f>IF(Asistencia!K112="","",Asistencia!K112)</f>
        <v/>
      </c>
      <c r="BQ107" t="str">
        <f>IF(Asistencia!L112="","",Asistencia!L112)</f>
        <v/>
      </c>
    </row>
    <row r="108" spans="1:69" ht="15.75" customHeight="1" x14ac:dyDescent="0.25">
      <c r="A108" s="46" t="str">
        <f t="shared" si="65"/>
        <v/>
      </c>
      <c r="B108" s="47" t="str">
        <f t="shared" si="66"/>
        <v/>
      </c>
      <c r="C108" s="47"/>
      <c r="D108" s="47"/>
      <c r="E108" s="46" t="str">
        <f t="shared" si="67"/>
        <v/>
      </c>
      <c r="F108" s="45" t="str">
        <f t="shared" si="68"/>
        <v/>
      </c>
      <c r="G108" s="44" t="str">
        <f t="shared" si="69"/>
        <v/>
      </c>
      <c r="H108" s="44" t="str">
        <f t="shared" si="70"/>
        <v/>
      </c>
      <c r="I108" s="44" t="str">
        <f t="shared" si="71"/>
        <v/>
      </c>
      <c r="J108" s="44" t="str">
        <f t="shared" si="72"/>
        <v/>
      </c>
      <c r="K108" s="44" t="str">
        <f t="shared" si="73"/>
        <v/>
      </c>
      <c r="L108" s="44" t="str">
        <f t="shared" si="74"/>
        <v/>
      </c>
      <c r="M108" s="43" t="str">
        <f t="shared" si="75"/>
        <v/>
      </c>
      <c r="N108" s="41" t="str">
        <f t="shared" si="76"/>
        <v/>
      </c>
      <c r="O108" s="41" t="str">
        <f t="shared" si="77"/>
        <v/>
      </c>
      <c r="P108" s="41" t="str">
        <f t="shared" si="78"/>
        <v/>
      </c>
      <c r="Q108" s="41" t="str">
        <f t="shared" si="79"/>
        <v/>
      </c>
      <c r="R108" s="41" t="str">
        <f t="shared" si="80"/>
        <v/>
      </c>
      <c r="S108" s="41"/>
      <c r="T108" s="48"/>
      <c r="U108" s="41" t="str">
        <f t="shared" si="81"/>
        <v/>
      </c>
      <c r="V108" s="41"/>
      <c r="W108" s="42" t="str">
        <f t="shared" si="82"/>
        <v/>
      </c>
      <c r="Y108" t="str">
        <f>IFERROR(MATCH(104,$AH$5:$AH$323,0),"")</f>
        <v/>
      </c>
      <c r="Z108" t="str">
        <f t="shared" si="83"/>
        <v/>
      </c>
      <c r="AA108" t="str">
        <f t="shared" si="61"/>
        <v/>
      </c>
      <c r="AB108" t="str">
        <f>IF(Asistencia!A113="","",Asistencia!A113)</f>
        <v/>
      </c>
      <c r="AC108" t="str">
        <f>IF(Asistencia!A113="","",SUBSTITUTE(SUBSTITUTE(SUBSTITUTE(SUBSTITUTE(SUBSTITUTE(SUBSTITUTE(SUBSTITUTE(UPPER(TRIM(Asistencia!A113)),"Á","A"),"É","E"),"Í","I"),"Ó","O"),"Ú","U"),"Ñ","N"),"  "," "))</f>
        <v/>
      </c>
      <c r="AD108" t="str">
        <f>IF(Asistencia!E113="","",Asistencia!E113)</f>
        <v/>
      </c>
      <c r="AE108" t="str">
        <f>IF(Asistencia!D113="","",UPPER(TRIM(Asistencia!D113)))</f>
        <v/>
      </c>
      <c r="AF108" t="s">
        <v>190</v>
      </c>
      <c r="AG108">
        <f>IF(AND(AA108&lt;&gt;"",COUNTIF($AA$5:AA108,AA108)=1),1,0)</f>
        <v>0</v>
      </c>
      <c r="AH108" t="str">
        <f>IF(AG108=1,SUM($AG$5:AG108),"")</f>
        <v/>
      </c>
      <c r="AI108">
        <f>IF(OR(EXACT(Asistencia!F113,"A"),EXACT(Asistencia!F113,"R"),EXACT(Asistencia!F113,"DL"),EXACT(Asistencia!F113,"FL"),EXACT(Asistencia!F113,"FE"),EXACT(Asistencia!F113,"PCS"),EXACT(Asistencia!F113,"V")),1,0)</f>
        <v>0</v>
      </c>
      <c r="AJ108">
        <f>IF(OR(EXACT(Asistencia!G113,"A"),EXACT(Asistencia!G113,"R"),EXACT(Asistencia!G113,"DL"),EXACT(Asistencia!G113,"FL"),EXACT(Asistencia!G113,"FE"),EXACT(Asistencia!G113,"PCS"),EXACT(Asistencia!G113,"V")),1,0)</f>
        <v>0</v>
      </c>
      <c r="AK108">
        <f>IF(OR(EXACT(Asistencia!H113,"A"),EXACT(Asistencia!H113,"R"),EXACT(Asistencia!H113,"DL"),EXACT(Asistencia!H113,"FL"),EXACT(Asistencia!H113,"FE"),EXACT(Asistencia!H113,"PCS"),EXACT(Asistencia!H113,"V")),1,0)</f>
        <v>0</v>
      </c>
      <c r="AL108">
        <f>IF(OR(EXACT(Asistencia!I113,"A"),EXACT(Asistencia!I113,"R"),EXACT(Asistencia!I113,"DL"),EXACT(Asistencia!I113,"FL"),EXACT(Asistencia!I113,"FE"),EXACT(Asistencia!I113,"PCS"),EXACT(Asistencia!I113,"V")),1,0)</f>
        <v>0</v>
      </c>
      <c r="AM108">
        <f>IF(OR(EXACT(Asistencia!J113,"A"),EXACT(Asistencia!J113,"R"),EXACT(Asistencia!J113,"DL"),EXACT(Asistencia!J113,"FL"),EXACT(Asistencia!J113,"FE"),EXACT(Asistencia!J113,"PCS"),EXACT(Asistencia!J113,"V")),1,0)</f>
        <v>0</v>
      </c>
      <c r="AN108">
        <f>IF(OR(EXACT(Asistencia!K113,"A"),EXACT(Asistencia!K113,"R"),EXACT(Asistencia!K113,"DL"),EXACT(Asistencia!K113,"FL"),EXACT(Asistencia!K113,"FE"),EXACT(Asistencia!K113,"PCS"),EXACT(Asistencia!K113,"V")),1,0)</f>
        <v>0</v>
      </c>
      <c r="AO108">
        <f>IF(OR(EXACT(Asistencia!L113,"A"),EXACT(Asistencia!L113,"R"),EXACT(Asistencia!L113,"DL"),EXACT(Asistencia!L113,"FL"),EXACT(Asistencia!L113,"FE"),EXACT(Asistencia!L113,"PCS"),EXACT(Asistencia!L113,"V")),1,0)</f>
        <v>0</v>
      </c>
      <c r="AP108">
        <f t="shared" si="62"/>
        <v>0</v>
      </c>
      <c r="AQ108">
        <f>IF(EXACT(Asistencia!F113,"FL"),1,0)</f>
        <v>0</v>
      </c>
      <c r="AR108">
        <f>IF(EXACT(Asistencia!G113,"FL"),1,0)</f>
        <v>0</v>
      </c>
      <c r="AS108">
        <f>IF(EXACT(Asistencia!H113,"FL"),1,0)</f>
        <v>0</v>
      </c>
      <c r="AT108">
        <f>IF(EXACT(Asistencia!I113,"FL"),1,0)</f>
        <v>0</v>
      </c>
      <c r="AU108">
        <f>IF(EXACT(Asistencia!J113,"FL"),1,0)</f>
        <v>0</v>
      </c>
      <c r="AV108">
        <f>IF(EXACT(Asistencia!K113,"FL"),1,0)</f>
        <v>0</v>
      </c>
      <c r="AW108">
        <f>IF(EXACT(Asistencia!L113,"FL"),1,0)</f>
        <v>0</v>
      </c>
      <c r="AX108">
        <f t="shared" si="63"/>
        <v>0</v>
      </c>
      <c r="AY108">
        <f>IF(EXACT(Asistencia!F113,"DL"),1,0)</f>
        <v>0</v>
      </c>
      <c r="AZ108">
        <f>IF(EXACT(Asistencia!G113,"DL"),1,0)</f>
        <v>0</v>
      </c>
      <c r="BA108">
        <f>IF(EXACT(Asistencia!H113,"DL"),1,0)</f>
        <v>0</v>
      </c>
      <c r="BB108">
        <f>IF(EXACT(Asistencia!I113,"DL"),1,0)</f>
        <v>0</v>
      </c>
      <c r="BC108">
        <f>IF(EXACT(Asistencia!J113,"DL"),1,0)</f>
        <v>0</v>
      </c>
      <c r="BD108">
        <f>IF(EXACT(Asistencia!K113,"DL"),1,0)</f>
        <v>0</v>
      </c>
      <c r="BE108">
        <f>IF(EXACT(Asistencia!L113,"DL"),1,0)</f>
        <v>0</v>
      </c>
      <c r="BF108">
        <f t="shared" si="64"/>
        <v>0</v>
      </c>
      <c r="BG108">
        <f>IF(ISNUMBER(Asistencia!M113),Asistencia!M113,0)</f>
        <v>0</v>
      </c>
      <c r="BH108">
        <f>IF(ISNUMBER(Asistencia!N113),Asistencia!N113,0)</f>
        <v>0</v>
      </c>
      <c r="BI108">
        <f>IF(ISNUMBER(Asistencia!O113),Asistencia!O113,0)</f>
        <v>0</v>
      </c>
      <c r="BJ108">
        <f>IF(ISNUMBER(Asistencia!P113),Asistencia!P113,0)</f>
        <v>0</v>
      </c>
      <c r="BK108" t="str">
        <f>IF(Asistencia!F113="","",Asistencia!F113)</f>
        <v/>
      </c>
      <c r="BL108" t="str">
        <f>IF(Asistencia!G113="","",Asistencia!G113)</f>
        <v/>
      </c>
      <c r="BM108" t="str">
        <f>IF(Asistencia!H113="","",Asistencia!H113)</f>
        <v/>
      </c>
      <c r="BN108" t="str">
        <f>IF(Asistencia!I113="","",Asistencia!I113)</f>
        <v/>
      </c>
      <c r="BO108" t="str">
        <f>IF(Asistencia!J113="","",Asistencia!J113)</f>
        <v/>
      </c>
      <c r="BP108" t="str">
        <f>IF(Asistencia!K113="","",Asistencia!K113)</f>
        <v/>
      </c>
      <c r="BQ108" t="str">
        <f>IF(Asistencia!L113="","",Asistencia!L113)</f>
        <v/>
      </c>
    </row>
    <row r="109" spans="1:69" ht="15.75" customHeight="1" x14ac:dyDescent="0.25">
      <c r="A109" s="46" t="str">
        <f t="shared" si="65"/>
        <v/>
      </c>
      <c r="B109" s="47" t="str">
        <f t="shared" si="66"/>
        <v/>
      </c>
      <c r="C109" s="47"/>
      <c r="D109" s="47"/>
      <c r="E109" s="46" t="str">
        <f t="shared" si="67"/>
        <v/>
      </c>
      <c r="F109" s="45" t="str">
        <f t="shared" si="68"/>
        <v/>
      </c>
      <c r="G109" s="44" t="str">
        <f t="shared" si="69"/>
        <v/>
      </c>
      <c r="H109" s="44" t="str">
        <f t="shared" si="70"/>
        <v/>
      </c>
      <c r="I109" s="44" t="str">
        <f t="shared" si="71"/>
        <v/>
      </c>
      <c r="J109" s="44" t="str">
        <f t="shared" si="72"/>
        <v/>
      </c>
      <c r="K109" s="44" t="str">
        <f t="shared" si="73"/>
        <v/>
      </c>
      <c r="L109" s="44" t="str">
        <f t="shared" si="74"/>
        <v/>
      </c>
      <c r="M109" s="43" t="str">
        <f t="shared" si="75"/>
        <v/>
      </c>
      <c r="N109" s="41" t="str">
        <f t="shared" si="76"/>
        <v/>
      </c>
      <c r="O109" s="41" t="str">
        <f t="shared" si="77"/>
        <v/>
      </c>
      <c r="P109" s="41" t="str">
        <f t="shared" si="78"/>
        <v/>
      </c>
      <c r="Q109" s="41" t="str">
        <f t="shared" si="79"/>
        <v/>
      </c>
      <c r="R109" s="41" t="str">
        <f t="shared" si="80"/>
        <v/>
      </c>
      <c r="S109" s="41"/>
      <c r="T109" s="48"/>
      <c r="U109" s="41" t="str">
        <f t="shared" si="81"/>
        <v/>
      </c>
      <c r="V109" s="41"/>
      <c r="W109" s="42" t="str">
        <f t="shared" si="82"/>
        <v/>
      </c>
      <c r="Y109" t="str">
        <f>IFERROR(MATCH(105,$AH$5:$AH$323,0),"")</f>
        <v/>
      </c>
      <c r="Z109" t="str">
        <f t="shared" si="83"/>
        <v/>
      </c>
      <c r="AA109" t="str">
        <f t="shared" si="61"/>
        <v/>
      </c>
      <c r="AB109" t="str">
        <f>IF(Asistencia!A114="","",Asistencia!A114)</f>
        <v/>
      </c>
      <c r="AC109" t="str">
        <f>IF(Asistencia!A114="","",SUBSTITUTE(SUBSTITUTE(SUBSTITUTE(SUBSTITUTE(SUBSTITUTE(SUBSTITUTE(SUBSTITUTE(UPPER(TRIM(Asistencia!A114)),"Á","A"),"É","E"),"Í","I"),"Ó","O"),"Ú","U"),"Ñ","N"),"  "," "))</f>
        <v/>
      </c>
      <c r="AD109" t="str">
        <f>IF(Asistencia!E114="","",Asistencia!E114)</f>
        <v/>
      </c>
      <c r="AE109" t="str">
        <f>IF(Asistencia!D114="","",UPPER(TRIM(Asistencia!D114)))</f>
        <v/>
      </c>
      <c r="AF109" t="s">
        <v>190</v>
      </c>
      <c r="AG109">
        <f>IF(AND(AA109&lt;&gt;"",COUNTIF($AA$5:AA109,AA109)=1),1,0)</f>
        <v>0</v>
      </c>
      <c r="AH109" t="str">
        <f>IF(AG109=1,SUM($AG$5:AG109),"")</f>
        <v/>
      </c>
      <c r="AI109">
        <f>IF(OR(EXACT(Asistencia!F114,"A"),EXACT(Asistencia!F114,"R"),EXACT(Asistencia!F114,"DL"),EXACT(Asistencia!F114,"FL"),EXACT(Asistencia!F114,"FE"),EXACT(Asistencia!F114,"PCS"),EXACT(Asistencia!F114,"V")),1,0)</f>
        <v>0</v>
      </c>
      <c r="AJ109">
        <f>IF(OR(EXACT(Asistencia!G114,"A"),EXACT(Asistencia!G114,"R"),EXACT(Asistencia!G114,"DL"),EXACT(Asistencia!G114,"FL"),EXACT(Asistencia!G114,"FE"),EXACT(Asistencia!G114,"PCS"),EXACT(Asistencia!G114,"V")),1,0)</f>
        <v>0</v>
      </c>
      <c r="AK109">
        <f>IF(OR(EXACT(Asistencia!H114,"A"),EXACT(Asistencia!H114,"R"),EXACT(Asistencia!H114,"DL"),EXACT(Asistencia!H114,"FL"),EXACT(Asistencia!H114,"FE"),EXACT(Asistencia!H114,"PCS"),EXACT(Asistencia!H114,"V")),1,0)</f>
        <v>0</v>
      </c>
      <c r="AL109">
        <f>IF(OR(EXACT(Asistencia!I114,"A"),EXACT(Asistencia!I114,"R"),EXACT(Asistencia!I114,"DL"),EXACT(Asistencia!I114,"FL"),EXACT(Asistencia!I114,"FE"),EXACT(Asistencia!I114,"PCS"),EXACT(Asistencia!I114,"V")),1,0)</f>
        <v>0</v>
      </c>
      <c r="AM109">
        <f>IF(OR(EXACT(Asistencia!J114,"A"),EXACT(Asistencia!J114,"R"),EXACT(Asistencia!J114,"DL"),EXACT(Asistencia!J114,"FL"),EXACT(Asistencia!J114,"FE"),EXACT(Asistencia!J114,"PCS"),EXACT(Asistencia!J114,"V")),1,0)</f>
        <v>0</v>
      </c>
      <c r="AN109">
        <f>IF(OR(EXACT(Asistencia!K114,"A"),EXACT(Asistencia!K114,"R"),EXACT(Asistencia!K114,"DL"),EXACT(Asistencia!K114,"FL"),EXACT(Asistencia!K114,"FE"),EXACT(Asistencia!K114,"PCS"),EXACT(Asistencia!K114,"V")),1,0)</f>
        <v>0</v>
      </c>
      <c r="AO109">
        <f>IF(OR(EXACT(Asistencia!L114,"A"),EXACT(Asistencia!L114,"R"),EXACT(Asistencia!L114,"DL"),EXACT(Asistencia!L114,"FL"),EXACT(Asistencia!L114,"FE"),EXACT(Asistencia!L114,"PCS"),EXACT(Asistencia!L114,"V")),1,0)</f>
        <v>0</v>
      </c>
      <c r="AP109">
        <f t="shared" si="62"/>
        <v>0</v>
      </c>
      <c r="AQ109">
        <f>IF(EXACT(Asistencia!F114,"FL"),1,0)</f>
        <v>0</v>
      </c>
      <c r="AR109">
        <f>IF(EXACT(Asistencia!G114,"FL"),1,0)</f>
        <v>0</v>
      </c>
      <c r="AS109">
        <f>IF(EXACT(Asistencia!H114,"FL"),1,0)</f>
        <v>0</v>
      </c>
      <c r="AT109">
        <f>IF(EXACT(Asistencia!I114,"FL"),1,0)</f>
        <v>0</v>
      </c>
      <c r="AU109">
        <f>IF(EXACT(Asistencia!J114,"FL"),1,0)</f>
        <v>0</v>
      </c>
      <c r="AV109">
        <f>IF(EXACT(Asistencia!K114,"FL"),1,0)</f>
        <v>0</v>
      </c>
      <c r="AW109">
        <f>IF(EXACT(Asistencia!L114,"FL"),1,0)</f>
        <v>0</v>
      </c>
      <c r="AX109">
        <f t="shared" si="63"/>
        <v>0</v>
      </c>
      <c r="AY109">
        <f>IF(EXACT(Asistencia!F114,"DL"),1,0)</f>
        <v>0</v>
      </c>
      <c r="AZ109">
        <f>IF(EXACT(Asistencia!G114,"DL"),1,0)</f>
        <v>0</v>
      </c>
      <c r="BA109">
        <f>IF(EXACT(Asistencia!H114,"DL"),1,0)</f>
        <v>0</v>
      </c>
      <c r="BB109">
        <f>IF(EXACT(Asistencia!I114,"DL"),1,0)</f>
        <v>0</v>
      </c>
      <c r="BC109">
        <f>IF(EXACT(Asistencia!J114,"DL"),1,0)</f>
        <v>0</v>
      </c>
      <c r="BD109">
        <f>IF(EXACT(Asistencia!K114,"DL"),1,0)</f>
        <v>0</v>
      </c>
      <c r="BE109">
        <f>IF(EXACT(Asistencia!L114,"DL"),1,0)</f>
        <v>0</v>
      </c>
      <c r="BF109">
        <f t="shared" si="64"/>
        <v>0</v>
      </c>
      <c r="BG109">
        <f>IF(ISNUMBER(Asistencia!M114),Asistencia!M114,0)</f>
        <v>0</v>
      </c>
      <c r="BH109">
        <f>IF(ISNUMBER(Asistencia!N114),Asistencia!N114,0)</f>
        <v>0</v>
      </c>
      <c r="BI109">
        <f>IF(ISNUMBER(Asistencia!O114),Asistencia!O114,0)</f>
        <v>0</v>
      </c>
      <c r="BJ109">
        <f>IF(ISNUMBER(Asistencia!P114),Asistencia!P114,0)</f>
        <v>0</v>
      </c>
      <c r="BK109" t="str">
        <f>IF(Asistencia!F114="","",Asistencia!F114)</f>
        <v/>
      </c>
      <c r="BL109" t="str">
        <f>IF(Asistencia!G114="","",Asistencia!G114)</f>
        <v/>
      </c>
      <c r="BM109" t="str">
        <f>IF(Asistencia!H114="","",Asistencia!H114)</f>
        <v/>
      </c>
      <c r="BN109" t="str">
        <f>IF(Asistencia!I114="","",Asistencia!I114)</f>
        <v/>
      </c>
      <c r="BO109" t="str">
        <f>IF(Asistencia!J114="","",Asistencia!J114)</f>
        <v/>
      </c>
      <c r="BP109" t="str">
        <f>IF(Asistencia!K114="","",Asistencia!K114)</f>
        <v/>
      </c>
      <c r="BQ109" t="str">
        <f>IF(Asistencia!L114="","",Asistencia!L114)</f>
        <v/>
      </c>
    </row>
    <row r="110" spans="1:69" ht="15.75" customHeight="1" x14ac:dyDescent="0.25">
      <c r="A110" s="46" t="str">
        <f t="shared" si="65"/>
        <v/>
      </c>
      <c r="B110" s="47" t="str">
        <f t="shared" si="66"/>
        <v/>
      </c>
      <c r="C110" s="47"/>
      <c r="D110" s="47"/>
      <c r="E110" s="46" t="str">
        <f t="shared" si="67"/>
        <v/>
      </c>
      <c r="F110" s="45" t="str">
        <f t="shared" si="68"/>
        <v/>
      </c>
      <c r="G110" s="44" t="str">
        <f t="shared" si="69"/>
        <v/>
      </c>
      <c r="H110" s="44" t="str">
        <f t="shared" si="70"/>
        <v/>
      </c>
      <c r="I110" s="44" t="str">
        <f t="shared" si="71"/>
        <v/>
      </c>
      <c r="J110" s="44" t="str">
        <f t="shared" si="72"/>
        <v/>
      </c>
      <c r="K110" s="44" t="str">
        <f t="shared" si="73"/>
        <v/>
      </c>
      <c r="L110" s="44" t="str">
        <f t="shared" si="74"/>
        <v/>
      </c>
      <c r="M110" s="43" t="str">
        <f t="shared" si="75"/>
        <v/>
      </c>
      <c r="N110" s="41" t="str">
        <f t="shared" si="76"/>
        <v/>
      </c>
      <c r="O110" s="41" t="str">
        <f t="shared" si="77"/>
        <v/>
      </c>
      <c r="P110" s="41" t="str">
        <f t="shared" si="78"/>
        <v/>
      </c>
      <c r="Q110" s="41" t="str">
        <f t="shared" si="79"/>
        <v/>
      </c>
      <c r="R110" s="41" t="str">
        <f t="shared" si="80"/>
        <v/>
      </c>
      <c r="S110" s="41"/>
      <c r="T110" s="48"/>
      <c r="U110" s="41" t="str">
        <f t="shared" si="81"/>
        <v/>
      </c>
      <c r="V110" s="41"/>
      <c r="W110" s="42" t="str">
        <f t="shared" si="82"/>
        <v/>
      </c>
      <c r="Y110" t="str">
        <f>IFERROR(MATCH(106,$AH$5:$AH$323,0),"")</f>
        <v/>
      </c>
      <c r="Z110" t="str">
        <f t="shared" si="83"/>
        <v/>
      </c>
      <c r="AA110" t="str">
        <f t="shared" si="61"/>
        <v/>
      </c>
      <c r="AB110" t="str">
        <f>IF(Asistencia!A115="","",Asistencia!A115)</f>
        <v/>
      </c>
      <c r="AC110" t="str">
        <f>IF(Asistencia!A115="","",SUBSTITUTE(SUBSTITUTE(SUBSTITUTE(SUBSTITUTE(SUBSTITUTE(SUBSTITUTE(SUBSTITUTE(UPPER(TRIM(Asistencia!A115)),"Á","A"),"É","E"),"Í","I"),"Ó","O"),"Ú","U"),"Ñ","N"),"  "," "))</f>
        <v/>
      </c>
      <c r="AD110" t="str">
        <f>IF(Asistencia!E115="","",Asistencia!E115)</f>
        <v/>
      </c>
      <c r="AE110" t="str">
        <f>IF(Asistencia!D115="","",UPPER(TRIM(Asistencia!D115)))</f>
        <v/>
      </c>
      <c r="AF110" t="s">
        <v>190</v>
      </c>
      <c r="AG110">
        <f>IF(AND(AA110&lt;&gt;"",COUNTIF($AA$5:AA110,AA110)=1),1,0)</f>
        <v>0</v>
      </c>
      <c r="AH110" t="str">
        <f>IF(AG110=1,SUM($AG$5:AG110),"")</f>
        <v/>
      </c>
      <c r="AI110">
        <f>IF(OR(EXACT(Asistencia!F115,"A"),EXACT(Asistencia!F115,"R"),EXACT(Asistencia!F115,"DL"),EXACT(Asistencia!F115,"FL"),EXACT(Asistencia!F115,"FE"),EXACT(Asistencia!F115,"PCS"),EXACT(Asistencia!F115,"V")),1,0)</f>
        <v>0</v>
      </c>
      <c r="AJ110">
        <f>IF(OR(EXACT(Asistencia!G115,"A"),EXACT(Asistencia!G115,"R"),EXACT(Asistencia!G115,"DL"),EXACT(Asistencia!G115,"FL"),EXACT(Asistencia!G115,"FE"),EXACT(Asistencia!G115,"PCS"),EXACT(Asistencia!G115,"V")),1,0)</f>
        <v>0</v>
      </c>
      <c r="AK110">
        <f>IF(OR(EXACT(Asistencia!H115,"A"),EXACT(Asistencia!H115,"R"),EXACT(Asistencia!H115,"DL"),EXACT(Asistencia!H115,"FL"),EXACT(Asistencia!H115,"FE"),EXACT(Asistencia!H115,"PCS"),EXACT(Asistencia!H115,"V")),1,0)</f>
        <v>0</v>
      </c>
      <c r="AL110">
        <f>IF(OR(EXACT(Asistencia!I115,"A"),EXACT(Asistencia!I115,"R"),EXACT(Asistencia!I115,"DL"),EXACT(Asistencia!I115,"FL"),EXACT(Asistencia!I115,"FE"),EXACT(Asistencia!I115,"PCS"),EXACT(Asistencia!I115,"V")),1,0)</f>
        <v>0</v>
      </c>
      <c r="AM110">
        <f>IF(OR(EXACT(Asistencia!J115,"A"),EXACT(Asistencia!J115,"R"),EXACT(Asistencia!J115,"DL"),EXACT(Asistencia!J115,"FL"),EXACT(Asistencia!J115,"FE"),EXACT(Asistencia!J115,"PCS"),EXACT(Asistencia!J115,"V")),1,0)</f>
        <v>0</v>
      </c>
      <c r="AN110">
        <f>IF(OR(EXACT(Asistencia!K115,"A"),EXACT(Asistencia!K115,"R"),EXACT(Asistencia!K115,"DL"),EXACT(Asistencia!K115,"FL"),EXACT(Asistencia!K115,"FE"),EXACT(Asistencia!K115,"PCS"),EXACT(Asistencia!K115,"V")),1,0)</f>
        <v>0</v>
      </c>
      <c r="AO110">
        <f>IF(OR(EXACT(Asistencia!L115,"A"),EXACT(Asistencia!L115,"R"),EXACT(Asistencia!L115,"DL"),EXACT(Asistencia!L115,"FL"),EXACT(Asistencia!L115,"FE"),EXACT(Asistencia!L115,"PCS"),EXACT(Asistencia!L115,"V")),1,0)</f>
        <v>0</v>
      </c>
      <c r="AP110">
        <f t="shared" si="62"/>
        <v>0</v>
      </c>
      <c r="AQ110">
        <f>IF(EXACT(Asistencia!F115,"FL"),1,0)</f>
        <v>0</v>
      </c>
      <c r="AR110">
        <f>IF(EXACT(Asistencia!G115,"FL"),1,0)</f>
        <v>0</v>
      </c>
      <c r="AS110">
        <f>IF(EXACT(Asistencia!H115,"FL"),1,0)</f>
        <v>0</v>
      </c>
      <c r="AT110">
        <f>IF(EXACT(Asistencia!I115,"FL"),1,0)</f>
        <v>0</v>
      </c>
      <c r="AU110">
        <f>IF(EXACT(Asistencia!J115,"FL"),1,0)</f>
        <v>0</v>
      </c>
      <c r="AV110">
        <f>IF(EXACT(Asistencia!K115,"FL"),1,0)</f>
        <v>0</v>
      </c>
      <c r="AW110">
        <f>IF(EXACT(Asistencia!L115,"FL"),1,0)</f>
        <v>0</v>
      </c>
      <c r="AX110">
        <f t="shared" si="63"/>
        <v>0</v>
      </c>
      <c r="AY110">
        <f>IF(EXACT(Asistencia!F115,"DL"),1,0)</f>
        <v>0</v>
      </c>
      <c r="AZ110">
        <f>IF(EXACT(Asistencia!G115,"DL"),1,0)</f>
        <v>0</v>
      </c>
      <c r="BA110">
        <f>IF(EXACT(Asistencia!H115,"DL"),1,0)</f>
        <v>0</v>
      </c>
      <c r="BB110">
        <f>IF(EXACT(Asistencia!I115,"DL"),1,0)</f>
        <v>0</v>
      </c>
      <c r="BC110">
        <f>IF(EXACT(Asistencia!J115,"DL"),1,0)</f>
        <v>0</v>
      </c>
      <c r="BD110">
        <f>IF(EXACT(Asistencia!K115,"DL"),1,0)</f>
        <v>0</v>
      </c>
      <c r="BE110">
        <f>IF(EXACT(Asistencia!L115,"DL"),1,0)</f>
        <v>0</v>
      </c>
      <c r="BF110">
        <f t="shared" si="64"/>
        <v>0</v>
      </c>
      <c r="BG110">
        <f>IF(ISNUMBER(Asistencia!M115),Asistencia!M115,0)</f>
        <v>0</v>
      </c>
      <c r="BH110">
        <f>IF(ISNUMBER(Asistencia!N115),Asistencia!N115,0)</f>
        <v>0</v>
      </c>
      <c r="BI110">
        <f>IF(ISNUMBER(Asistencia!O115),Asistencia!O115,0)</f>
        <v>0</v>
      </c>
      <c r="BJ110">
        <f>IF(ISNUMBER(Asistencia!P115),Asistencia!P115,0)</f>
        <v>0</v>
      </c>
      <c r="BK110" t="str">
        <f>IF(Asistencia!F115="","",Asistencia!F115)</f>
        <v/>
      </c>
      <c r="BL110" t="str">
        <f>IF(Asistencia!G115="","",Asistencia!G115)</f>
        <v/>
      </c>
      <c r="BM110" t="str">
        <f>IF(Asistencia!H115="","",Asistencia!H115)</f>
        <v/>
      </c>
      <c r="BN110" t="str">
        <f>IF(Asistencia!I115="","",Asistencia!I115)</f>
        <v/>
      </c>
      <c r="BO110" t="str">
        <f>IF(Asistencia!J115="","",Asistencia!J115)</f>
        <v/>
      </c>
      <c r="BP110" t="str">
        <f>IF(Asistencia!K115="","",Asistencia!K115)</f>
        <v/>
      </c>
      <c r="BQ110" t="str">
        <f>IF(Asistencia!L115="","",Asistencia!L115)</f>
        <v/>
      </c>
    </row>
    <row r="111" spans="1:69" ht="15.75" customHeight="1" x14ac:dyDescent="0.25">
      <c r="A111" s="46" t="str">
        <f t="shared" si="65"/>
        <v/>
      </c>
      <c r="B111" s="47" t="str">
        <f t="shared" si="66"/>
        <v/>
      </c>
      <c r="C111" s="47"/>
      <c r="D111" s="47"/>
      <c r="E111" s="46" t="str">
        <f t="shared" si="67"/>
        <v/>
      </c>
      <c r="F111" s="45" t="str">
        <f t="shared" si="68"/>
        <v/>
      </c>
      <c r="G111" s="44" t="str">
        <f t="shared" si="69"/>
        <v/>
      </c>
      <c r="H111" s="44" t="str">
        <f t="shared" si="70"/>
        <v/>
      </c>
      <c r="I111" s="44" t="str">
        <f t="shared" si="71"/>
        <v/>
      </c>
      <c r="J111" s="44" t="str">
        <f t="shared" si="72"/>
        <v/>
      </c>
      <c r="K111" s="44" t="str">
        <f t="shared" si="73"/>
        <v/>
      </c>
      <c r="L111" s="44" t="str">
        <f t="shared" si="74"/>
        <v/>
      </c>
      <c r="M111" s="43" t="str">
        <f t="shared" si="75"/>
        <v/>
      </c>
      <c r="N111" s="41" t="str">
        <f t="shared" si="76"/>
        <v/>
      </c>
      <c r="O111" s="41" t="str">
        <f t="shared" si="77"/>
        <v/>
      </c>
      <c r="P111" s="41" t="str">
        <f t="shared" si="78"/>
        <v/>
      </c>
      <c r="Q111" s="41" t="str">
        <f t="shared" si="79"/>
        <v/>
      </c>
      <c r="R111" s="41" t="str">
        <f t="shared" si="80"/>
        <v/>
      </c>
      <c r="S111" s="41"/>
      <c r="T111" s="48"/>
      <c r="U111" s="41" t="str">
        <f t="shared" si="81"/>
        <v/>
      </c>
      <c r="V111" s="41"/>
      <c r="W111" s="42" t="str">
        <f t="shared" si="82"/>
        <v/>
      </c>
      <c r="Y111" t="str">
        <f>IFERROR(MATCH(107,$AH$5:$AH$323,0),"")</f>
        <v/>
      </c>
      <c r="Z111" t="str">
        <f t="shared" si="83"/>
        <v/>
      </c>
      <c r="AA111" t="str">
        <f t="shared" si="61"/>
        <v/>
      </c>
      <c r="AB111" t="str">
        <f>IF(Asistencia!A116="","",Asistencia!A116)</f>
        <v/>
      </c>
      <c r="AC111" t="str">
        <f>IF(Asistencia!A116="","",SUBSTITUTE(SUBSTITUTE(SUBSTITUTE(SUBSTITUTE(SUBSTITUTE(SUBSTITUTE(SUBSTITUTE(UPPER(TRIM(Asistencia!A116)),"Á","A"),"É","E"),"Í","I"),"Ó","O"),"Ú","U"),"Ñ","N"),"  "," "))</f>
        <v/>
      </c>
      <c r="AD111" t="str">
        <f>IF(Asistencia!E116="","",Asistencia!E116)</f>
        <v/>
      </c>
      <c r="AE111" t="str">
        <f>IF(Asistencia!D116="","",UPPER(TRIM(Asistencia!D116)))</f>
        <v/>
      </c>
      <c r="AF111" t="s">
        <v>190</v>
      </c>
      <c r="AG111">
        <f>IF(AND(AA111&lt;&gt;"",COUNTIF($AA$5:AA111,AA111)=1),1,0)</f>
        <v>0</v>
      </c>
      <c r="AH111" t="str">
        <f>IF(AG111=1,SUM($AG$5:AG111),"")</f>
        <v/>
      </c>
      <c r="AI111">
        <f>IF(OR(EXACT(Asistencia!F116,"A"),EXACT(Asistencia!F116,"R"),EXACT(Asistencia!F116,"DL"),EXACT(Asistencia!F116,"FL"),EXACT(Asistencia!F116,"FE"),EXACT(Asistencia!F116,"PCS"),EXACT(Asistencia!F116,"V")),1,0)</f>
        <v>0</v>
      </c>
      <c r="AJ111">
        <f>IF(OR(EXACT(Asistencia!G116,"A"),EXACT(Asistencia!G116,"R"),EXACT(Asistencia!G116,"DL"),EXACT(Asistencia!G116,"FL"),EXACT(Asistencia!G116,"FE"),EXACT(Asistencia!G116,"PCS"),EXACT(Asistencia!G116,"V")),1,0)</f>
        <v>0</v>
      </c>
      <c r="AK111">
        <f>IF(OR(EXACT(Asistencia!H116,"A"),EXACT(Asistencia!H116,"R"),EXACT(Asistencia!H116,"DL"),EXACT(Asistencia!H116,"FL"),EXACT(Asistencia!H116,"FE"),EXACT(Asistencia!H116,"PCS"),EXACT(Asistencia!H116,"V")),1,0)</f>
        <v>0</v>
      </c>
      <c r="AL111">
        <f>IF(OR(EXACT(Asistencia!I116,"A"),EXACT(Asistencia!I116,"R"),EXACT(Asistencia!I116,"DL"),EXACT(Asistencia!I116,"FL"),EXACT(Asistencia!I116,"FE"),EXACT(Asistencia!I116,"PCS"),EXACT(Asistencia!I116,"V")),1,0)</f>
        <v>0</v>
      </c>
      <c r="AM111">
        <f>IF(OR(EXACT(Asistencia!J116,"A"),EXACT(Asistencia!J116,"R"),EXACT(Asistencia!J116,"DL"),EXACT(Asistencia!J116,"FL"),EXACT(Asistencia!J116,"FE"),EXACT(Asistencia!J116,"PCS"),EXACT(Asistencia!J116,"V")),1,0)</f>
        <v>0</v>
      </c>
      <c r="AN111">
        <f>IF(OR(EXACT(Asistencia!K116,"A"),EXACT(Asistencia!K116,"R"),EXACT(Asistencia!K116,"DL"),EXACT(Asistencia!K116,"FL"),EXACT(Asistencia!K116,"FE"),EXACT(Asistencia!K116,"PCS"),EXACT(Asistencia!K116,"V")),1,0)</f>
        <v>0</v>
      </c>
      <c r="AO111">
        <f>IF(OR(EXACT(Asistencia!L116,"A"),EXACT(Asistencia!L116,"R"),EXACT(Asistencia!L116,"DL"),EXACT(Asistencia!L116,"FL"),EXACT(Asistencia!L116,"FE"),EXACT(Asistencia!L116,"PCS"),EXACT(Asistencia!L116,"V")),1,0)</f>
        <v>0</v>
      </c>
      <c r="AP111">
        <f t="shared" si="62"/>
        <v>0</v>
      </c>
      <c r="AQ111">
        <f>IF(EXACT(Asistencia!F116,"FL"),1,0)</f>
        <v>0</v>
      </c>
      <c r="AR111">
        <f>IF(EXACT(Asistencia!G116,"FL"),1,0)</f>
        <v>0</v>
      </c>
      <c r="AS111">
        <f>IF(EXACT(Asistencia!H116,"FL"),1,0)</f>
        <v>0</v>
      </c>
      <c r="AT111">
        <f>IF(EXACT(Asistencia!I116,"FL"),1,0)</f>
        <v>0</v>
      </c>
      <c r="AU111">
        <f>IF(EXACT(Asistencia!J116,"FL"),1,0)</f>
        <v>0</v>
      </c>
      <c r="AV111">
        <f>IF(EXACT(Asistencia!K116,"FL"),1,0)</f>
        <v>0</v>
      </c>
      <c r="AW111">
        <f>IF(EXACT(Asistencia!L116,"FL"),1,0)</f>
        <v>0</v>
      </c>
      <c r="AX111">
        <f t="shared" si="63"/>
        <v>0</v>
      </c>
      <c r="AY111">
        <f>IF(EXACT(Asistencia!F116,"DL"),1,0)</f>
        <v>0</v>
      </c>
      <c r="AZ111">
        <f>IF(EXACT(Asistencia!G116,"DL"),1,0)</f>
        <v>0</v>
      </c>
      <c r="BA111">
        <f>IF(EXACT(Asistencia!H116,"DL"),1,0)</f>
        <v>0</v>
      </c>
      <c r="BB111">
        <f>IF(EXACT(Asistencia!I116,"DL"),1,0)</f>
        <v>0</v>
      </c>
      <c r="BC111">
        <f>IF(EXACT(Asistencia!J116,"DL"),1,0)</f>
        <v>0</v>
      </c>
      <c r="BD111">
        <f>IF(EXACT(Asistencia!K116,"DL"),1,0)</f>
        <v>0</v>
      </c>
      <c r="BE111">
        <f>IF(EXACT(Asistencia!L116,"DL"),1,0)</f>
        <v>0</v>
      </c>
      <c r="BF111">
        <f t="shared" si="64"/>
        <v>0</v>
      </c>
      <c r="BG111">
        <f>IF(ISNUMBER(Asistencia!M116),Asistencia!M116,0)</f>
        <v>0</v>
      </c>
      <c r="BH111">
        <f>IF(ISNUMBER(Asistencia!N116),Asistencia!N116,0)</f>
        <v>0</v>
      </c>
      <c r="BI111">
        <f>IF(ISNUMBER(Asistencia!O116),Asistencia!O116,0)</f>
        <v>0</v>
      </c>
      <c r="BJ111">
        <f>IF(ISNUMBER(Asistencia!P116),Asistencia!P116,0)</f>
        <v>0</v>
      </c>
      <c r="BK111" t="str">
        <f>IF(Asistencia!F116="","",Asistencia!F116)</f>
        <v/>
      </c>
      <c r="BL111" t="str">
        <f>IF(Asistencia!G116="","",Asistencia!G116)</f>
        <v/>
      </c>
      <c r="BM111" t="str">
        <f>IF(Asistencia!H116="","",Asistencia!H116)</f>
        <v/>
      </c>
      <c r="BN111" t="str">
        <f>IF(Asistencia!I116="","",Asistencia!I116)</f>
        <v/>
      </c>
      <c r="BO111" t="str">
        <f>IF(Asistencia!J116="","",Asistencia!J116)</f>
        <v/>
      </c>
      <c r="BP111" t="str">
        <f>IF(Asistencia!K116="","",Asistencia!K116)</f>
        <v/>
      </c>
      <c r="BQ111" t="str">
        <f>IF(Asistencia!L116="","",Asistencia!L116)</f>
        <v/>
      </c>
    </row>
    <row r="112" spans="1:69" ht="15.75" customHeight="1" x14ac:dyDescent="0.25">
      <c r="A112" s="46" t="str">
        <f t="shared" si="65"/>
        <v/>
      </c>
      <c r="B112" s="47" t="str">
        <f t="shared" si="66"/>
        <v/>
      </c>
      <c r="C112" s="47"/>
      <c r="D112" s="47"/>
      <c r="E112" s="46" t="str">
        <f t="shared" si="67"/>
        <v/>
      </c>
      <c r="F112" s="45" t="str">
        <f t="shared" si="68"/>
        <v/>
      </c>
      <c r="G112" s="44" t="str">
        <f t="shared" si="69"/>
        <v/>
      </c>
      <c r="H112" s="44" t="str">
        <f t="shared" si="70"/>
        <v/>
      </c>
      <c r="I112" s="44" t="str">
        <f t="shared" si="71"/>
        <v/>
      </c>
      <c r="J112" s="44" t="str">
        <f t="shared" si="72"/>
        <v/>
      </c>
      <c r="K112" s="44" t="str">
        <f t="shared" si="73"/>
        <v/>
      </c>
      <c r="L112" s="44" t="str">
        <f t="shared" si="74"/>
        <v/>
      </c>
      <c r="M112" s="43" t="str">
        <f t="shared" si="75"/>
        <v/>
      </c>
      <c r="N112" s="41" t="str">
        <f t="shared" si="76"/>
        <v/>
      </c>
      <c r="O112" s="41" t="str">
        <f t="shared" si="77"/>
        <v/>
      </c>
      <c r="P112" s="41" t="str">
        <f t="shared" si="78"/>
        <v/>
      </c>
      <c r="Q112" s="41" t="str">
        <f t="shared" si="79"/>
        <v/>
      </c>
      <c r="R112" s="41" t="str">
        <f t="shared" si="80"/>
        <v/>
      </c>
      <c r="S112" s="41"/>
      <c r="T112" s="48"/>
      <c r="U112" s="41" t="str">
        <f t="shared" si="81"/>
        <v/>
      </c>
      <c r="V112" s="41"/>
      <c r="W112" s="42" t="str">
        <f t="shared" si="82"/>
        <v/>
      </c>
      <c r="Y112" t="str">
        <f>IFERROR(MATCH(108,$AH$5:$AH$323,0),"")</f>
        <v/>
      </c>
      <c r="Z112" t="str">
        <f t="shared" si="83"/>
        <v/>
      </c>
      <c r="AA112" t="str">
        <f t="shared" si="61"/>
        <v/>
      </c>
      <c r="AB112" t="str">
        <f>IF(Asistencia!A117="","",Asistencia!A117)</f>
        <v/>
      </c>
      <c r="AC112" t="str">
        <f>IF(Asistencia!A117="","",SUBSTITUTE(SUBSTITUTE(SUBSTITUTE(SUBSTITUTE(SUBSTITUTE(SUBSTITUTE(SUBSTITUTE(UPPER(TRIM(Asistencia!A117)),"Á","A"),"É","E"),"Í","I"),"Ó","O"),"Ú","U"),"Ñ","N"),"  "," "))</f>
        <v/>
      </c>
      <c r="AD112" t="str">
        <f>IF(Asistencia!E117="","",Asistencia!E117)</f>
        <v/>
      </c>
      <c r="AE112" t="str">
        <f>IF(Asistencia!D117="","",UPPER(TRIM(Asistencia!D117)))</f>
        <v/>
      </c>
      <c r="AF112" t="s">
        <v>190</v>
      </c>
      <c r="AG112">
        <f>IF(AND(AA112&lt;&gt;"",COUNTIF($AA$5:AA112,AA112)=1),1,0)</f>
        <v>0</v>
      </c>
      <c r="AH112" t="str">
        <f>IF(AG112=1,SUM($AG$5:AG112),"")</f>
        <v/>
      </c>
      <c r="AI112">
        <f>IF(OR(EXACT(Asistencia!F117,"A"),EXACT(Asistencia!F117,"R"),EXACT(Asistencia!F117,"DL"),EXACT(Asistencia!F117,"FL"),EXACT(Asistencia!F117,"FE"),EXACT(Asistencia!F117,"PCS"),EXACT(Asistencia!F117,"V")),1,0)</f>
        <v>0</v>
      </c>
      <c r="AJ112">
        <f>IF(OR(EXACT(Asistencia!G117,"A"),EXACT(Asistencia!G117,"R"),EXACT(Asistencia!G117,"DL"),EXACT(Asistencia!G117,"FL"),EXACT(Asistencia!G117,"FE"),EXACT(Asistencia!G117,"PCS"),EXACT(Asistencia!G117,"V")),1,0)</f>
        <v>0</v>
      </c>
      <c r="AK112">
        <f>IF(OR(EXACT(Asistencia!H117,"A"),EXACT(Asistencia!H117,"R"),EXACT(Asistencia!H117,"DL"),EXACT(Asistencia!H117,"FL"),EXACT(Asistencia!H117,"FE"),EXACT(Asistencia!H117,"PCS"),EXACT(Asistencia!H117,"V")),1,0)</f>
        <v>0</v>
      </c>
      <c r="AL112">
        <f>IF(OR(EXACT(Asistencia!I117,"A"),EXACT(Asistencia!I117,"R"),EXACT(Asistencia!I117,"DL"),EXACT(Asistencia!I117,"FL"),EXACT(Asistencia!I117,"FE"),EXACT(Asistencia!I117,"PCS"),EXACT(Asistencia!I117,"V")),1,0)</f>
        <v>0</v>
      </c>
      <c r="AM112">
        <f>IF(OR(EXACT(Asistencia!J117,"A"),EXACT(Asistencia!J117,"R"),EXACT(Asistencia!J117,"DL"),EXACT(Asistencia!J117,"FL"),EXACT(Asistencia!J117,"FE"),EXACT(Asistencia!J117,"PCS"),EXACT(Asistencia!J117,"V")),1,0)</f>
        <v>0</v>
      </c>
      <c r="AN112">
        <f>IF(OR(EXACT(Asistencia!K117,"A"),EXACT(Asistencia!K117,"R"),EXACT(Asistencia!K117,"DL"),EXACT(Asistencia!K117,"FL"),EXACT(Asistencia!K117,"FE"),EXACT(Asistencia!K117,"PCS"),EXACT(Asistencia!K117,"V")),1,0)</f>
        <v>0</v>
      </c>
      <c r="AO112">
        <f>IF(OR(EXACT(Asistencia!L117,"A"),EXACT(Asistencia!L117,"R"),EXACT(Asistencia!L117,"DL"),EXACT(Asistencia!L117,"FL"),EXACT(Asistencia!L117,"FE"),EXACT(Asistencia!L117,"PCS"),EXACT(Asistencia!L117,"V")),1,0)</f>
        <v>0</v>
      </c>
      <c r="AP112">
        <f t="shared" si="62"/>
        <v>0</v>
      </c>
      <c r="AQ112">
        <f>IF(EXACT(Asistencia!F117,"FL"),1,0)</f>
        <v>0</v>
      </c>
      <c r="AR112">
        <f>IF(EXACT(Asistencia!G117,"FL"),1,0)</f>
        <v>0</v>
      </c>
      <c r="AS112">
        <f>IF(EXACT(Asistencia!H117,"FL"),1,0)</f>
        <v>0</v>
      </c>
      <c r="AT112">
        <f>IF(EXACT(Asistencia!I117,"FL"),1,0)</f>
        <v>0</v>
      </c>
      <c r="AU112">
        <f>IF(EXACT(Asistencia!J117,"FL"),1,0)</f>
        <v>0</v>
      </c>
      <c r="AV112">
        <f>IF(EXACT(Asistencia!K117,"FL"),1,0)</f>
        <v>0</v>
      </c>
      <c r="AW112">
        <f>IF(EXACT(Asistencia!L117,"FL"),1,0)</f>
        <v>0</v>
      </c>
      <c r="AX112">
        <f t="shared" si="63"/>
        <v>0</v>
      </c>
      <c r="AY112">
        <f>IF(EXACT(Asistencia!F117,"DL"),1,0)</f>
        <v>0</v>
      </c>
      <c r="AZ112">
        <f>IF(EXACT(Asistencia!G117,"DL"),1,0)</f>
        <v>0</v>
      </c>
      <c r="BA112">
        <f>IF(EXACT(Asistencia!H117,"DL"),1,0)</f>
        <v>0</v>
      </c>
      <c r="BB112">
        <f>IF(EXACT(Asistencia!I117,"DL"),1,0)</f>
        <v>0</v>
      </c>
      <c r="BC112">
        <f>IF(EXACT(Asistencia!J117,"DL"),1,0)</f>
        <v>0</v>
      </c>
      <c r="BD112">
        <f>IF(EXACT(Asistencia!K117,"DL"),1,0)</f>
        <v>0</v>
      </c>
      <c r="BE112">
        <f>IF(EXACT(Asistencia!L117,"DL"),1,0)</f>
        <v>0</v>
      </c>
      <c r="BF112">
        <f t="shared" si="64"/>
        <v>0</v>
      </c>
      <c r="BG112">
        <f>IF(ISNUMBER(Asistencia!M117),Asistencia!M117,0)</f>
        <v>0</v>
      </c>
      <c r="BH112">
        <f>IF(ISNUMBER(Asistencia!N117),Asistencia!N117,0)</f>
        <v>0</v>
      </c>
      <c r="BI112">
        <f>IF(ISNUMBER(Asistencia!O117),Asistencia!O117,0)</f>
        <v>0</v>
      </c>
      <c r="BJ112">
        <f>IF(ISNUMBER(Asistencia!P117),Asistencia!P117,0)</f>
        <v>0</v>
      </c>
      <c r="BK112" t="str">
        <f>IF(Asistencia!F117="","",Asistencia!F117)</f>
        <v/>
      </c>
      <c r="BL112" t="str">
        <f>IF(Asistencia!G117="","",Asistencia!G117)</f>
        <v/>
      </c>
      <c r="BM112" t="str">
        <f>IF(Asistencia!H117="","",Asistencia!H117)</f>
        <v/>
      </c>
      <c r="BN112" t="str">
        <f>IF(Asistencia!I117="","",Asistencia!I117)</f>
        <v/>
      </c>
      <c r="BO112" t="str">
        <f>IF(Asistencia!J117="","",Asistencia!J117)</f>
        <v/>
      </c>
      <c r="BP112" t="str">
        <f>IF(Asistencia!K117="","",Asistencia!K117)</f>
        <v/>
      </c>
      <c r="BQ112" t="str">
        <f>IF(Asistencia!L117="","",Asistencia!L117)</f>
        <v/>
      </c>
    </row>
    <row r="113" spans="1:69" ht="15.75" customHeight="1" x14ac:dyDescent="0.25">
      <c r="A113" s="46" t="str">
        <f t="shared" si="65"/>
        <v/>
      </c>
      <c r="B113" s="47" t="str">
        <f t="shared" si="66"/>
        <v/>
      </c>
      <c r="C113" s="47"/>
      <c r="D113" s="47"/>
      <c r="E113" s="46" t="str">
        <f t="shared" si="67"/>
        <v/>
      </c>
      <c r="F113" s="45" t="str">
        <f t="shared" si="68"/>
        <v/>
      </c>
      <c r="G113" s="44" t="str">
        <f t="shared" si="69"/>
        <v/>
      </c>
      <c r="H113" s="44" t="str">
        <f t="shared" si="70"/>
        <v/>
      </c>
      <c r="I113" s="44" t="str">
        <f t="shared" si="71"/>
        <v/>
      </c>
      <c r="J113" s="44" t="str">
        <f t="shared" si="72"/>
        <v/>
      </c>
      <c r="K113" s="44" t="str">
        <f t="shared" si="73"/>
        <v/>
      </c>
      <c r="L113" s="44" t="str">
        <f t="shared" si="74"/>
        <v/>
      </c>
      <c r="M113" s="43" t="str">
        <f t="shared" si="75"/>
        <v/>
      </c>
      <c r="N113" s="41" t="str">
        <f t="shared" si="76"/>
        <v/>
      </c>
      <c r="O113" s="41" t="str">
        <f t="shared" si="77"/>
        <v/>
      </c>
      <c r="P113" s="41" t="str">
        <f t="shared" si="78"/>
        <v/>
      </c>
      <c r="Q113" s="41" t="str">
        <f t="shared" si="79"/>
        <v/>
      </c>
      <c r="R113" s="41" t="str">
        <f t="shared" si="80"/>
        <v/>
      </c>
      <c r="S113" s="41"/>
      <c r="T113" s="48"/>
      <c r="U113" s="41" t="str">
        <f t="shared" si="81"/>
        <v/>
      </c>
      <c r="V113" s="41"/>
      <c r="W113" s="42" t="str">
        <f t="shared" si="82"/>
        <v/>
      </c>
      <c r="Y113" t="str">
        <f>IFERROR(MATCH(109,$AH$5:$AH$323,0),"")</f>
        <v/>
      </c>
      <c r="Z113" t="str">
        <f t="shared" si="83"/>
        <v/>
      </c>
      <c r="AA113" t="str">
        <f t="shared" si="61"/>
        <v/>
      </c>
      <c r="AB113" t="str">
        <f>IF(Asistencia!A118="","",Asistencia!A118)</f>
        <v/>
      </c>
      <c r="AC113" t="str">
        <f>IF(Asistencia!A118="","",SUBSTITUTE(SUBSTITUTE(SUBSTITUTE(SUBSTITUTE(SUBSTITUTE(SUBSTITUTE(SUBSTITUTE(UPPER(TRIM(Asistencia!A118)),"Á","A"),"É","E"),"Í","I"),"Ó","O"),"Ú","U"),"Ñ","N"),"  "," "))</f>
        <v/>
      </c>
      <c r="AD113" t="str">
        <f>IF(Asistencia!E118="","",Asistencia!E118)</f>
        <v/>
      </c>
      <c r="AE113" t="str">
        <f>IF(Asistencia!D118="","",UPPER(TRIM(Asistencia!D118)))</f>
        <v/>
      </c>
      <c r="AF113" t="s">
        <v>190</v>
      </c>
      <c r="AG113">
        <f>IF(AND(AA113&lt;&gt;"",COUNTIF($AA$5:AA113,AA113)=1),1,0)</f>
        <v>0</v>
      </c>
      <c r="AH113" t="str">
        <f>IF(AG113=1,SUM($AG$5:AG113),"")</f>
        <v/>
      </c>
      <c r="AI113">
        <f>IF(OR(EXACT(Asistencia!F118,"A"),EXACT(Asistencia!F118,"R"),EXACT(Asistencia!F118,"DL"),EXACT(Asistencia!F118,"FL"),EXACT(Asistencia!F118,"FE"),EXACT(Asistencia!F118,"PCS"),EXACT(Asistencia!F118,"V")),1,0)</f>
        <v>0</v>
      </c>
      <c r="AJ113">
        <f>IF(OR(EXACT(Asistencia!G118,"A"),EXACT(Asistencia!G118,"R"),EXACT(Asistencia!G118,"DL"),EXACT(Asistencia!G118,"FL"),EXACT(Asistencia!G118,"FE"),EXACT(Asistencia!G118,"PCS"),EXACT(Asistencia!G118,"V")),1,0)</f>
        <v>0</v>
      </c>
      <c r="AK113">
        <f>IF(OR(EXACT(Asistencia!H118,"A"),EXACT(Asistencia!H118,"R"),EXACT(Asistencia!H118,"DL"),EXACT(Asistencia!H118,"FL"),EXACT(Asistencia!H118,"FE"),EXACT(Asistencia!H118,"PCS"),EXACT(Asistencia!H118,"V")),1,0)</f>
        <v>0</v>
      </c>
      <c r="AL113">
        <f>IF(OR(EXACT(Asistencia!I118,"A"),EXACT(Asistencia!I118,"R"),EXACT(Asistencia!I118,"DL"),EXACT(Asistencia!I118,"FL"),EXACT(Asistencia!I118,"FE"),EXACT(Asistencia!I118,"PCS"),EXACT(Asistencia!I118,"V")),1,0)</f>
        <v>0</v>
      </c>
      <c r="AM113">
        <f>IF(OR(EXACT(Asistencia!J118,"A"),EXACT(Asistencia!J118,"R"),EXACT(Asistencia!J118,"DL"),EXACT(Asistencia!J118,"FL"),EXACT(Asistencia!J118,"FE"),EXACT(Asistencia!J118,"PCS"),EXACT(Asistencia!J118,"V")),1,0)</f>
        <v>0</v>
      </c>
      <c r="AN113">
        <f>IF(OR(EXACT(Asistencia!K118,"A"),EXACT(Asistencia!K118,"R"),EXACT(Asistencia!K118,"DL"),EXACT(Asistencia!K118,"FL"),EXACT(Asistencia!K118,"FE"),EXACT(Asistencia!K118,"PCS"),EXACT(Asistencia!K118,"V")),1,0)</f>
        <v>0</v>
      </c>
      <c r="AO113">
        <f>IF(OR(EXACT(Asistencia!L118,"A"),EXACT(Asistencia!L118,"R"),EXACT(Asistencia!L118,"DL"),EXACT(Asistencia!L118,"FL"),EXACT(Asistencia!L118,"FE"),EXACT(Asistencia!L118,"PCS"),EXACT(Asistencia!L118,"V")),1,0)</f>
        <v>0</v>
      </c>
      <c r="AP113">
        <f t="shared" si="62"/>
        <v>0</v>
      </c>
      <c r="AQ113">
        <f>IF(EXACT(Asistencia!F118,"FL"),1,0)</f>
        <v>0</v>
      </c>
      <c r="AR113">
        <f>IF(EXACT(Asistencia!G118,"FL"),1,0)</f>
        <v>0</v>
      </c>
      <c r="AS113">
        <f>IF(EXACT(Asistencia!H118,"FL"),1,0)</f>
        <v>0</v>
      </c>
      <c r="AT113">
        <f>IF(EXACT(Asistencia!I118,"FL"),1,0)</f>
        <v>0</v>
      </c>
      <c r="AU113">
        <f>IF(EXACT(Asistencia!J118,"FL"),1,0)</f>
        <v>0</v>
      </c>
      <c r="AV113">
        <f>IF(EXACT(Asistencia!K118,"FL"),1,0)</f>
        <v>0</v>
      </c>
      <c r="AW113">
        <f>IF(EXACT(Asistencia!L118,"FL"),1,0)</f>
        <v>0</v>
      </c>
      <c r="AX113">
        <f t="shared" si="63"/>
        <v>0</v>
      </c>
      <c r="AY113">
        <f>IF(EXACT(Asistencia!F118,"DL"),1,0)</f>
        <v>0</v>
      </c>
      <c r="AZ113">
        <f>IF(EXACT(Asistencia!G118,"DL"),1,0)</f>
        <v>0</v>
      </c>
      <c r="BA113">
        <f>IF(EXACT(Asistencia!H118,"DL"),1,0)</f>
        <v>0</v>
      </c>
      <c r="BB113">
        <f>IF(EXACT(Asistencia!I118,"DL"),1,0)</f>
        <v>0</v>
      </c>
      <c r="BC113">
        <f>IF(EXACT(Asistencia!J118,"DL"),1,0)</f>
        <v>0</v>
      </c>
      <c r="BD113">
        <f>IF(EXACT(Asistencia!K118,"DL"),1,0)</f>
        <v>0</v>
      </c>
      <c r="BE113">
        <f>IF(EXACT(Asistencia!L118,"DL"),1,0)</f>
        <v>0</v>
      </c>
      <c r="BF113">
        <f t="shared" si="64"/>
        <v>0</v>
      </c>
      <c r="BG113">
        <f>IF(ISNUMBER(Asistencia!M118),Asistencia!M118,0)</f>
        <v>0</v>
      </c>
      <c r="BH113">
        <f>IF(ISNUMBER(Asistencia!N118),Asistencia!N118,0)</f>
        <v>0</v>
      </c>
      <c r="BI113">
        <f>IF(ISNUMBER(Asistencia!O118),Asistencia!O118,0)</f>
        <v>0</v>
      </c>
      <c r="BJ113">
        <f>IF(ISNUMBER(Asistencia!P118),Asistencia!P118,0)</f>
        <v>0</v>
      </c>
      <c r="BK113" t="str">
        <f>IF(Asistencia!F118="","",Asistencia!F118)</f>
        <v/>
      </c>
      <c r="BL113" t="str">
        <f>IF(Asistencia!G118="","",Asistencia!G118)</f>
        <v/>
      </c>
      <c r="BM113" t="str">
        <f>IF(Asistencia!H118="","",Asistencia!H118)</f>
        <v/>
      </c>
      <c r="BN113" t="str">
        <f>IF(Asistencia!I118="","",Asistencia!I118)</f>
        <v/>
      </c>
      <c r="BO113" t="str">
        <f>IF(Asistencia!J118="","",Asistencia!J118)</f>
        <v/>
      </c>
      <c r="BP113" t="str">
        <f>IF(Asistencia!K118="","",Asistencia!K118)</f>
        <v/>
      </c>
      <c r="BQ113" t="str">
        <f>IF(Asistencia!L118="","",Asistencia!L118)</f>
        <v/>
      </c>
    </row>
    <row r="114" spans="1:69" ht="15.75" customHeight="1" x14ac:dyDescent="0.25">
      <c r="A114" s="46" t="str">
        <f t="shared" si="65"/>
        <v/>
      </c>
      <c r="B114" s="47" t="str">
        <f t="shared" si="66"/>
        <v/>
      </c>
      <c r="C114" s="47"/>
      <c r="D114" s="47"/>
      <c r="E114" s="46" t="str">
        <f t="shared" si="67"/>
        <v/>
      </c>
      <c r="F114" s="45" t="str">
        <f t="shared" si="68"/>
        <v/>
      </c>
      <c r="G114" s="44" t="str">
        <f t="shared" si="69"/>
        <v/>
      </c>
      <c r="H114" s="44" t="str">
        <f t="shared" si="70"/>
        <v/>
      </c>
      <c r="I114" s="44" t="str">
        <f t="shared" si="71"/>
        <v/>
      </c>
      <c r="J114" s="44" t="str">
        <f t="shared" si="72"/>
        <v/>
      </c>
      <c r="K114" s="44" t="str">
        <f t="shared" si="73"/>
        <v/>
      </c>
      <c r="L114" s="44" t="str">
        <f t="shared" si="74"/>
        <v/>
      </c>
      <c r="M114" s="43" t="str">
        <f t="shared" si="75"/>
        <v/>
      </c>
      <c r="N114" s="41" t="str">
        <f t="shared" si="76"/>
        <v/>
      </c>
      <c r="O114" s="41" t="str">
        <f t="shared" si="77"/>
        <v/>
      </c>
      <c r="P114" s="41" t="str">
        <f t="shared" si="78"/>
        <v/>
      </c>
      <c r="Q114" s="41" t="str">
        <f t="shared" si="79"/>
        <v/>
      </c>
      <c r="R114" s="41" t="str">
        <f t="shared" si="80"/>
        <v/>
      </c>
      <c r="S114" s="41"/>
      <c r="T114" s="48"/>
      <c r="U114" s="41" t="str">
        <f t="shared" si="81"/>
        <v/>
      </c>
      <c r="V114" s="41"/>
      <c r="W114" s="42" t="str">
        <f t="shared" si="82"/>
        <v/>
      </c>
      <c r="Y114" t="str">
        <f>IFERROR(MATCH(110,$AH$5:$AH$323,0),"")</f>
        <v/>
      </c>
      <c r="Z114" t="str">
        <f t="shared" si="83"/>
        <v/>
      </c>
      <c r="AA114" t="str">
        <f t="shared" si="61"/>
        <v/>
      </c>
      <c r="AB114" t="str">
        <f>IF(Asistencia!A119="","",Asistencia!A119)</f>
        <v/>
      </c>
      <c r="AC114" t="str">
        <f>IF(Asistencia!A119="","",SUBSTITUTE(SUBSTITUTE(SUBSTITUTE(SUBSTITUTE(SUBSTITUTE(SUBSTITUTE(SUBSTITUTE(UPPER(TRIM(Asistencia!A119)),"Á","A"),"É","E"),"Í","I"),"Ó","O"),"Ú","U"),"Ñ","N"),"  "," "))</f>
        <v/>
      </c>
      <c r="AD114" t="str">
        <f>IF(Asistencia!E119="","",Asistencia!E119)</f>
        <v/>
      </c>
      <c r="AE114" t="str">
        <f>IF(Asistencia!D119="","",UPPER(TRIM(Asistencia!D119)))</f>
        <v/>
      </c>
      <c r="AF114" t="s">
        <v>190</v>
      </c>
      <c r="AG114">
        <f>IF(AND(AA114&lt;&gt;"",COUNTIF($AA$5:AA114,AA114)=1),1,0)</f>
        <v>0</v>
      </c>
      <c r="AH114" t="str">
        <f>IF(AG114=1,SUM($AG$5:AG114),"")</f>
        <v/>
      </c>
      <c r="AI114">
        <f>IF(OR(EXACT(Asistencia!F119,"A"),EXACT(Asistencia!F119,"R"),EXACT(Asistencia!F119,"DL"),EXACT(Asistencia!F119,"FL"),EXACT(Asistencia!F119,"FE"),EXACT(Asistencia!F119,"PCS"),EXACT(Asistencia!F119,"V")),1,0)</f>
        <v>0</v>
      </c>
      <c r="AJ114">
        <f>IF(OR(EXACT(Asistencia!G119,"A"),EXACT(Asistencia!G119,"R"),EXACT(Asistencia!G119,"DL"),EXACT(Asistencia!G119,"FL"),EXACT(Asistencia!G119,"FE"),EXACT(Asistencia!G119,"PCS"),EXACT(Asistencia!G119,"V")),1,0)</f>
        <v>0</v>
      </c>
      <c r="AK114">
        <f>IF(OR(EXACT(Asistencia!H119,"A"),EXACT(Asistencia!H119,"R"),EXACT(Asistencia!H119,"DL"),EXACT(Asistencia!H119,"FL"),EXACT(Asistencia!H119,"FE"),EXACT(Asistencia!H119,"PCS"),EXACT(Asistencia!H119,"V")),1,0)</f>
        <v>0</v>
      </c>
      <c r="AL114">
        <f>IF(OR(EXACT(Asistencia!I119,"A"),EXACT(Asistencia!I119,"R"),EXACT(Asistencia!I119,"DL"),EXACT(Asistencia!I119,"FL"),EXACT(Asistencia!I119,"FE"),EXACT(Asistencia!I119,"PCS"),EXACT(Asistencia!I119,"V")),1,0)</f>
        <v>0</v>
      </c>
      <c r="AM114">
        <f>IF(OR(EXACT(Asistencia!J119,"A"),EXACT(Asistencia!J119,"R"),EXACT(Asistencia!J119,"DL"),EXACT(Asistencia!J119,"FL"),EXACT(Asistencia!J119,"FE"),EXACT(Asistencia!J119,"PCS"),EXACT(Asistencia!J119,"V")),1,0)</f>
        <v>0</v>
      </c>
      <c r="AN114">
        <f>IF(OR(EXACT(Asistencia!K119,"A"),EXACT(Asistencia!K119,"R"),EXACT(Asistencia!K119,"DL"),EXACT(Asistencia!K119,"FL"),EXACT(Asistencia!K119,"FE"),EXACT(Asistencia!K119,"PCS"),EXACT(Asistencia!K119,"V")),1,0)</f>
        <v>0</v>
      </c>
      <c r="AO114">
        <f>IF(OR(EXACT(Asistencia!L119,"A"),EXACT(Asistencia!L119,"R"),EXACT(Asistencia!L119,"DL"),EXACT(Asistencia!L119,"FL"),EXACT(Asistencia!L119,"FE"),EXACT(Asistencia!L119,"PCS"),EXACT(Asistencia!L119,"V")),1,0)</f>
        <v>0</v>
      </c>
      <c r="AP114">
        <f t="shared" si="62"/>
        <v>0</v>
      </c>
      <c r="AQ114">
        <f>IF(EXACT(Asistencia!F119,"FL"),1,0)</f>
        <v>0</v>
      </c>
      <c r="AR114">
        <f>IF(EXACT(Asistencia!G119,"FL"),1,0)</f>
        <v>0</v>
      </c>
      <c r="AS114">
        <f>IF(EXACT(Asistencia!H119,"FL"),1,0)</f>
        <v>0</v>
      </c>
      <c r="AT114">
        <f>IF(EXACT(Asistencia!I119,"FL"),1,0)</f>
        <v>0</v>
      </c>
      <c r="AU114">
        <f>IF(EXACT(Asistencia!J119,"FL"),1,0)</f>
        <v>0</v>
      </c>
      <c r="AV114">
        <f>IF(EXACT(Asistencia!K119,"FL"),1,0)</f>
        <v>0</v>
      </c>
      <c r="AW114">
        <f>IF(EXACT(Asistencia!L119,"FL"),1,0)</f>
        <v>0</v>
      </c>
      <c r="AX114">
        <f t="shared" si="63"/>
        <v>0</v>
      </c>
      <c r="AY114">
        <f>IF(EXACT(Asistencia!F119,"DL"),1,0)</f>
        <v>0</v>
      </c>
      <c r="AZ114">
        <f>IF(EXACT(Asistencia!G119,"DL"),1,0)</f>
        <v>0</v>
      </c>
      <c r="BA114">
        <f>IF(EXACT(Asistencia!H119,"DL"),1,0)</f>
        <v>0</v>
      </c>
      <c r="BB114">
        <f>IF(EXACT(Asistencia!I119,"DL"),1,0)</f>
        <v>0</v>
      </c>
      <c r="BC114">
        <f>IF(EXACT(Asistencia!J119,"DL"),1,0)</f>
        <v>0</v>
      </c>
      <c r="BD114">
        <f>IF(EXACT(Asistencia!K119,"DL"),1,0)</f>
        <v>0</v>
      </c>
      <c r="BE114">
        <f>IF(EXACT(Asistencia!L119,"DL"),1,0)</f>
        <v>0</v>
      </c>
      <c r="BF114">
        <f t="shared" si="64"/>
        <v>0</v>
      </c>
      <c r="BG114">
        <f>IF(ISNUMBER(Asistencia!M119),Asistencia!M119,0)</f>
        <v>0</v>
      </c>
      <c r="BH114">
        <f>IF(ISNUMBER(Asistencia!N119),Asistencia!N119,0)</f>
        <v>0</v>
      </c>
      <c r="BI114">
        <f>IF(ISNUMBER(Asistencia!O119),Asistencia!O119,0)</f>
        <v>0</v>
      </c>
      <c r="BJ114">
        <f>IF(ISNUMBER(Asistencia!P119),Asistencia!P119,0)</f>
        <v>0</v>
      </c>
      <c r="BK114" t="str">
        <f>IF(Asistencia!F119="","",Asistencia!F119)</f>
        <v/>
      </c>
      <c r="BL114" t="str">
        <f>IF(Asistencia!G119="","",Asistencia!G119)</f>
        <v/>
      </c>
      <c r="BM114" t="str">
        <f>IF(Asistencia!H119="","",Asistencia!H119)</f>
        <v/>
      </c>
      <c r="BN114" t="str">
        <f>IF(Asistencia!I119="","",Asistencia!I119)</f>
        <v/>
      </c>
      <c r="BO114" t="str">
        <f>IF(Asistencia!J119="","",Asistencia!J119)</f>
        <v/>
      </c>
      <c r="BP114" t="str">
        <f>IF(Asistencia!K119="","",Asistencia!K119)</f>
        <v/>
      </c>
      <c r="BQ114" t="str">
        <f>IF(Asistencia!L119="","",Asistencia!L119)</f>
        <v/>
      </c>
    </row>
    <row r="115" spans="1:69" ht="15.75" customHeight="1" x14ac:dyDescent="0.25">
      <c r="A115" s="46" t="str">
        <f t="shared" si="65"/>
        <v/>
      </c>
      <c r="B115" s="47" t="str">
        <f t="shared" si="66"/>
        <v/>
      </c>
      <c r="C115" s="47"/>
      <c r="D115" s="47"/>
      <c r="E115" s="46" t="str">
        <f t="shared" si="67"/>
        <v/>
      </c>
      <c r="F115" s="45" t="str">
        <f t="shared" si="68"/>
        <v/>
      </c>
      <c r="G115" s="44" t="str">
        <f t="shared" si="69"/>
        <v/>
      </c>
      <c r="H115" s="44" t="str">
        <f t="shared" si="70"/>
        <v/>
      </c>
      <c r="I115" s="44" t="str">
        <f t="shared" si="71"/>
        <v/>
      </c>
      <c r="J115" s="44" t="str">
        <f t="shared" si="72"/>
        <v/>
      </c>
      <c r="K115" s="44" t="str">
        <f t="shared" si="73"/>
        <v/>
      </c>
      <c r="L115" s="44" t="str">
        <f t="shared" si="74"/>
        <v/>
      </c>
      <c r="M115" s="43" t="str">
        <f t="shared" si="75"/>
        <v/>
      </c>
      <c r="N115" s="41" t="str">
        <f t="shared" si="76"/>
        <v/>
      </c>
      <c r="O115" s="41" t="str">
        <f t="shared" si="77"/>
        <v/>
      </c>
      <c r="P115" s="41" t="str">
        <f t="shared" si="78"/>
        <v/>
      </c>
      <c r="Q115" s="41" t="str">
        <f t="shared" si="79"/>
        <v/>
      </c>
      <c r="R115" s="41" t="str">
        <f t="shared" si="80"/>
        <v/>
      </c>
      <c r="S115" s="41"/>
      <c r="T115" s="48"/>
      <c r="U115" s="41" t="str">
        <f t="shared" si="81"/>
        <v/>
      </c>
      <c r="V115" s="41"/>
      <c r="W115" s="42" t="str">
        <f t="shared" si="82"/>
        <v/>
      </c>
      <c r="Y115" t="str">
        <f>IFERROR(MATCH(111,$AH$5:$AH$323,0),"")</f>
        <v/>
      </c>
      <c r="Z115" t="str">
        <f t="shared" si="83"/>
        <v/>
      </c>
      <c r="AA115" t="str">
        <f t="shared" si="61"/>
        <v/>
      </c>
      <c r="AB115" t="str">
        <f>IF(Asistencia!A120="","",Asistencia!A120)</f>
        <v/>
      </c>
      <c r="AC115" t="str">
        <f>IF(Asistencia!A120="","",SUBSTITUTE(SUBSTITUTE(SUBSTITUTE(SUBSTITUTE(SUBSTITUTE(SUBSTITUTE(SUBSTITUTE(UPPER(TRIM(Asistencia!A120)),"Á","A"),"É","E"),"Í","I"),"Ó","O"),"Ú","U"),"Ñ","N"),"  "," "))</f>
        <v/>
      </c>
      <c r="AD115" t="str">
        <f>IF(Asistencia!E120="","",Asistencia!E120)</f>
        <v/>
      </c>
      <c r="AE115" t="str">
        <f>IF(Asistencia!D120="","",UPPER(TRIM(Asistencia!D120)))</f>
        <v/>
      </c>
      <c r="AF115" t="s">
        <v>190</v>
      </c>
      <c r="AG115">
        <f>IF(AND(AA115&lt;&gt;"",COUNTIF($AA$5:AA115,AA115)=1),1,0)</f>
        <v>0</v>
      </c>
      <c r="AH115" t="str">
        <f>IF(AG115=1,SUM($AG$5:AG115),"")</f>
        <v/>
      </c>
      <c r="AI115">
        <f>IF(OR(EXACT(Asistencia!F120,"A"),EXACT(Asistencia!F120,"R"),EXACT(Asistencia!F120,"DL"),EXACT(Asistencia!F120,"FL"),EXACT(Asistencia!F120,"FE"),EXACT(Asistencia!F120,"PCS"),EXACT(Asistencia!F120,"V")),1,0)</f>
        <v>0</v>
      </c>
      <c r="AJ115">
        <f>IF(OR(EXACT(Asistencia!G120,"A"),EXACT(Asistencia!G120,"R"),EXACT(Asistencia!G120,"DL"),EXACT(Asistencia!G120,"FL"),EXACT(Asistencia!G120,"FE"),EXACT(Asistencia!G120,"PCS"),EXACT(Asistencia!G120,"V")),1,0)</f>
        <v>0</v>
      </c>
      <c r="AK115">
        <f>IF(OR(EXACT(Asistencia!H120,"A"),EXACT(Asistencia!H120,"R"),EXACT(Asistencia!H120,"DL"),EXACT(Asistencia!H120,"FL"),EXACT(Asistencia!H120,"FE"),EXACT(Asistencia!H120,"PCS"),EXACT(Asistencia!H120,"V")),1,0)</f>
        <v>0</v>
      </c>
      <c r="AL115">
        <f>IF(OR(EXACT(Asistencia!I120,"A"),EXACT(Asistencia!I120,"R"),EXACT(Asistencia!I120,"DL"),EXACT(Asistencia!I120,"FL"),EXACT(Asistencia!I120,"FE"),EXACT(Asistencia!I120,"PCS"),EXACT(Asistencia!I120,"V")),1,0)</f>
        <v>0</v>
      </c>
      <c r="AM115">
        <f>IF(OR(EXACT(Asistencia!J120,"A"),EXACT(Asistencia!J120,"R"),EXACT(Asistencia!J120,"DL"),EXACT(Asistencia!J120,"FL"),EXACT(Asistencia!J120,"FE"),EXACT(Asistencia!J120,"PCS"),EXACT(Asistencia!J120,"V")),1,0)</f>
        <v>0</v>
      </c>
      <c r="AN115">
        <f>IF(OR(EXACT(Asistencia!K120,"A"),EXACT(Asistencia!K120,"R"),EXACT(Asistencia!K120,"DL"),EXACT(Asistencia!K120,"FL"),EXACT(Asistencia!K120,"FE"),EXACT(Asistencia!K120,"PCS"),EXACT(Asistencia!K120,"V")),1,0)</f>
        <v>0</v>
      </c>
      <c r="AO115">
        <f>IF(OR(EXACT(Asistencia!L120,"A"),EXACT(Asistencia!L120,"R"),EXACT(Asistencia!L120,"DL"),EXACT(Asistencia!L120,"FL"),EXACT(Asistencia!L120,"FE"),EXACT(Asistencia!L120,"PCS"),EXACT(Asistencia!L120,"V")),1,0)</f>
        <v>0</v>
      </c>
      <c r="AP115">
        <f t="shared" si="62"/>
        <v>0</v>
      </c>
      <c r="AQ115">
        <f>IF(EXACT(Asistencia!F120,"FL"),1,0)</f>
        <v>0</v>
      </c>
      <c r="AR115">
        <f>IF(EXACT(Asistencia!G120,"FL"),1,0)</f>
        <v>0</v>
      </c>
      <c r="AS115">
        <f>IF(EXACT(Asistencia!H120,"FL"),1,0)</f>
        <v>0</v>
      </c>
      <c r="AT115">
        <f>IF(EXACT(Asistencia!I120,"FL"),1,0)</f>
        <v>0</v>
      </c>
      <c r="AU115">
        <f>IF(EXACT(Asistencia!J120,"FL"),1,0)</f>
        <v>0</v>
      </c>
      <c r="AV115">
        <f>IF(EXACT(Asistencia!K120,"FL"),1,0)</f>
        <v>0</v>
      </c>
      <c r="AW115">
        <f>IF(EXACT(Asistencia!L120,"FL"),1,0)</f>
        <v>0</v>
      </c>
      <c r="AX115">
        <f t="shared" si="63"/>
        <v>0</v>
      </c>
      <c r="AY115">
        <f>IF(EXACT(Asistencia!F120,"DL"),1,0)</f>
        <v>0</v>
      </c>
      <c r="AZ115">
        <f>IF(EXACT(Asistencia!G120,"DL"),1,0)</f>
        <v>0</v>
      </c>
      <c r="BA115">
        <f>IF(EXACT(Asistencia!H120,"DL"),1,0)</f>
        <v>0</v>
      </c>
      <c r="BB115">
        <f>IF(EXACT(Asistencia!I120,"DL"),1,0)</f>
        <v>0</v>
      </c>
      <c r="BC115">
        <f>IF(EXACT(Asistencia!J120,"DL"),1,0)</f>
        <v>0</v>
      </c>
      <c r="BD115">
        <f>IF(EXACT(Asistencia!K120,"DL"),1,0)</f>
        <v>0</v>
      </c>
      <c r="BE115">
        <f>IF(EXACT(Asistencia!L120,"DL"),1,0)</f>
        <v>0</v>
      </c>
      <c r="BF115">
        <f t="shared" si="64"/>
        <v>0</v>
      </c>
      <c r="BG115">
        <f>IF(ISNUMBER(Asistencia!M120),Asistencia!M120,0)</f>
        <v>0</v>
      </c>
      <c r="BH115">
        <f>IF(ISNUMBER(Asistencia!N120),Asistencia!N120,0)</f>
        <v>0</v>
      </c>
      <c r="BI115">
        <f>IF(ISNUMBER(Asistencia!O120),Asistencia!O120,0)</f>
        <v>0</v>
      </c>
      <c r="BJ115">
        <f>IF(ISNUMBER(Asistencia!P120),Asistencia!P120,0)</f>
        <v>0</v>
      </c>
      <c r="BK115" t="str">
        <f>IF(Asistencia!F120="","",Asistencia!F120)</f>
        <v/>
      </c>
      <c r="BL115" t="str">
        <f>IF(Asistencia!G120="","",Asistencia!G120)</f>
        <v/>
      </c>
      <c r="BM115" t="str">
        <f>IF(Asistencia!H120="","",Asistencia!H120)</f>
        <v/>
      </c>
      <c r="BN115" t="str">
        <f>IF(Asistencia!I120="","",Asistencia!I120)</f>
        <v/>
      </c>
      <c r="BO115" t="str">
        <f>IF(Asistencia!J120="","",Asistencia!J120)</f>
        <v/>
      </c>
      <c r="BP115" t="str">
        <f>IF(Asistencia!K120="","",Asistencia!K120)</f>
        <v/>
      </c>
      <c r="BQ115" t="str">
        <f>IF(Asistencia!L120="","",Asistencia!L120)</f>
        <v/>
      </c>
    </row>
    <row r="116" spans="1:69" ht="15.75" customHeight="1" x14ac:dyDescent="0.25">
      <c r="A116" s="46" t="str">
        <f t="shared" si="65"/>
        <v/>
      </c>
      <c r="B116" s="47" t="str">
        <f t="shared" si="66"/>
        <v/>
      </c>
      <c r="C116" s="47"/>
      <c r="D116" s="47"/>
      <c r="E116" s="46" t="str">
        <f t="shared" si="67"/>
        <v/>
      </c>
      <c r="F116" s="45" t="str">
        <f t="shared" si="68"/>
        <v/>
      </c>
      <c r="G116" s="44" t="str">
        <f t="shared" si="69"/>
        <v/>
      </c>
      <c r="H116" s="44" t="str">
        <f t="shared" si="70"/>
        <v/>
      </c>
      <c r="I116" s="44" t="str">
        <f t="shared" si="71"/>
        <v/>
      </c>
      <c r="J116" s="44" t="str">
        <f t="shared" si="72"/>
        <v/>
      </c>
      <c r="K116" s="44" t="str">
        <f t="shared" si="73"/>
        <v/>
      </c>
      <c r="L116" s="44" t="str">
        <f t="shared" si="74"/>
        <v/>
      </c>
      <c r="M116" s="43" t="str">
        <f t="shared" si="75"/>
        <v/>
      </c>
      <c r="N116" s="41" t="str">
        <f t="shared" si="76"/>
        <v/>
      </c>
      <c r="O116" s="41" t="str">
        <f t="shared" si="77"/>
        <v/>
      </c>
      <c r="P116" s="41" t="str">
        <f t="shared" si="78"/>
        <v/>
      </c>
      <c r="Q116" s="41" t="str">
        <f t="shared" si="79"/>
        <v/>
      </c>
      <c r="R116" s="41" t="str">
        <f t="shared" si="80"/>
        <v/>
      </c>
      <c r="S116" s="41"/>
      <c r="T116" s="48"/>
      <c r="U116" s="41" t="str">
        <f t="shared" si="81"/>
        <v/>
      </c>
      <c r="V116" s="41"/>
      <c r="W116" s="42" t="str">
        <f t="shared" si="82"/>
        <v/>
      </c>
      <c r="Y116" t="str">
        <f>IFERROR(MATCH(112,$AH$5:$AH$323,0),"")</f>
        <v/>
      </c>
      <c r="Z116" t="str">
        <f t="shared" si="83"/>
        <v/>
      </c>
      <c r="AA116" t="str">
        <f t="shared" si="61"/>
        <v/>
      </c>
      <c r="AB116" t="str">
        <f>IF(Asistencia!A121="","",Asistencia!A121)</f>
        <v/>
      </c>
      <c r="AC116" t="str">
        <f>IF(Asistencia!A121="","",SUBSTITUTE(SUBSTITUTE(SUBSTITUTE(SUBSTITUTE(SUBSTITUTE(SUBSTITUTE(SUBSTITUTE(UPPER(TRIM(Asistencia!A121)),"Á","A"),"É","E"),"Í","I"),"Ó","O"),"Ú","U"),"Ñ","N"),"  "," "))</f>
        <v/>
      </c>
      <c r="AD116" t="str">
        <f>IF(Asistencia!E121="","",Asistencia!E121)</f>
        <v/>
      </c>
      <c r="AE116" t="str">
        <f>IF(Asistencia!D121="","",UPPER(TRIM(Asistencia!D121)))</f>
        <v/>
      </c>
      <c r="AF116" t="s">
        <v>190</v>
      </c>
      <c r="AG116">
        <f>IF(AND(AA116&lt;&gt;"",COUNTIF($AA$5:AA116,AA116)=1),1,0)</f>
        <v>0</v>
      </c>
      <c r="AH116" t="str">
        <f>IF(AG116=1,SUM($AG$5:AG116),"")</f>
        <v/>
      </c>
      <c r="AI116">
        <f>IF(OR(EXACT(Asistencia!F121,"A"),EXACT(Asistencia!F121,"R"),EXACT(Asistencia!F121,"DL"),EXACT(Asistencia!F121,"FL"),EXACT(Asistencia!F121,"FE"),EXACT(Asistencia!F121,"PCS"),EXACT(Asistencia!F121,"V")),1,0)</f>
        <v>0</v>
      </c>
      <c r="AJ116">
        <f>IF(OR(EXACT(Asistencia!G121,"A"),EXACT(Asistencia!G121,"R"),EXACT(Asistencia!G121,"DL"),EXACT(Asistencia!G121,"FL"),EXACT(Asistencia!G121,"FE"),EXACT(Asistencia!G121,"PCS"),EXACT(Asistencia!G121,"V")),1,0)</f>
        <v>0</v>
      </c>
      <c r="AK116">
        <f>IF(OR(EXACT(Asistencia!H121,"A"),EXACT(Asistencia!H121,"R"),EXACT(Asistencia!H121,"DL"),EXACT(Asistencia!H121,"FL"),EXACT(Asistencia!H121,"FE"),EXACT(Asistencia!H121,"PCS"),EXACT(Asistencia!H121,"V")),1,0)</f>
        <v>0</v>
      </c>
      <c r="AL116">
        <f>IF(OR(EXACT(Asistencia!I121,"A"),EXACT(Asistencia!I121,"R"),EXACT(Asistencia!I121,"DL"),EXACT(Asistencia!I121,"FL"),EXACT(Asistencia!I121,"FE"),EXACT(Asistencia!I121,"PCS"),EXACT(Asistencia!I121,"V")),1,0)</f>
        <v>0</v>
      </c>
      <c r="AM116">
        <f>IF(OR(EXACT(Asistencia!J121,"A"),EXACT(Asistencia!J121,"R"),EXACT(Asistencia!J121,"DL"),EXACT(Asistencia!J121,"FL"),EXACT(Asistencia!J121,"FE"),EXACT(Asistencia!J121,"PCS"),EXACT(Asistencia!J121,"V")),1,0)</f>
        <v>0</v>
      </c>
      <c r="AN116">
        <f>IF(OR(EXACT(Asistencia!K121,"A"),EXACT(Asistencia!K121,"R"),EXACT(Asistencia!K121,"DL"),EXACT(Asistencia!K121,"FL"),EXACT(Asistencia!K121,"FE"),EXACT(Asistencia!K121,"PCS"),EXACT(Asistencia!K121,"V")),1,0)</f>
        <v>0</v>
      </c>
      <c r="AO116">
        <f>IF(OR(EXACT(Asistencia!L121,"A"),EXACT(Asistencia!L121,"R"),EXACT(Asistencia!L121,"DL"),EXACT(Asistencia!L121,"FL"),EXACT(Asistencia!L121,"FE"),EXACT(Asistencia!L121,"PCS"),EXACT(Asistencia!L121,"V")),1,0)</f>
        <v>0</v>
      </c>
      <c r="AP116">
        <f t="shared" si="62"/>
        <v>0</v>
      </c>
      <c r="AQ116">
        <f>IF(EXACT(Asistencia!F121,"FL"),1,0)</f>
        <v>0</v>
      </c>
      <c r="AR116">
        <f>IF(EXACT(Asistencia!G121,"FL"),1,0)</f>
        <v>0</v>
      </c>
      <c r="AS116">
        <f>IF(EXACT(Asistencia!H121,"FL"),1,0)</f>
        <v>0</v>
      </c>
      <c r="AT116">
        <f>IF(EXACT(Asistencia!I121,"FL"),1,0)</f>
        <v>0</v>
      </c>
      <c r="AU116">
        <f>IF(EXACT(Asistencia!J121,"FL"),1,0)</f>
        <v>0</v>
      </c>
      <c r="AV116">
        <f>IF(EXACT(Asistencia!K121,"FL"),1,0)</f>
        <v>0</v>
      </c>
      <c r="AW116">
        <f>IF(EXACT(Asistencia!L121,"FL"),1,0)</f>
        <v>0</v>
      </c>
      <c r="AX116">
        <f t="shared" si="63"/>
        <v>0</v>
      </c>
      <c r="AY116">
        <f>IF(EXACT(Asistencia!F121,"DL"),1,0)</f>
        <v>0</v>
      </c>
      <c r="AZ116">
        <f>IF(EXACT(Asistencia!G121,"DL"),1,0)</f>
        <v>0</v>
      </c>
      <c r="BA116">
        <f>IF(EXACT(Asistencia!H121,"DL"),1,0)</f>
        <v>0</v>
      </c>
      <c r="BB116">
        <f>IF(EXACT(Asistencia!I121,"DL"),1,0)</f>
        <v>0</v>
      </c>
      <c r="BC116">
        <f>IF(EXACT(Asistencia!J121,"DL"),1,0)</f>
        <v>0</v>
      </c>
      <c r="BD116">
        <f>IF(EXACT(Asistencia!K121,"DL"),1,0)</f>
        <v>0</v>
      </c>
      <c r="BE116">
        <f>IF(EXACT(Asistencia!L121,"DL"),1,0)</f>
        <v>0</v>
      </c>
      <c r="BF116">
        <f t="shared" si="64"/>
        <v>0</v>
      </c>
      <c r="BG116">
        <f>IF(ISNUMBER(Asistencia!M121),Asistencia!M121,0)</f>
        <v>0</v>
      </c>
      <c r="BH116">
        <f>IF(ISNUMBER(Asistencia!N121),Asistencia!N121,0)</f>
        <v>0</v>
      </c>
      <c r="BI116">
        <f>IF(ISNUMBER(Asistencia!O121),Asistencia!O121,0)</f>
        <v>0</v>
      </c>
      <c r="BJ116">
        <f>IF(ISNUMBER(Asistencia!P121),Asistencia!P121,0)</f>
        <v>0</v>
      </c>
      <c r="BK116" t="str">
        <f>IF(Asistencia!F121="","",Asistencia!F121)</f>
        <v/>
      </c>
      <c r="BL116" t="str">
        <f>IF(Asistencia!G121="","",Asistencia!G121)</f>
        <v/>
      </c>
      <c r="BM116" t="str">
        <f>IF(Asistencia!H121="","",Asistencia!H121)</f>
        <v/>
      </c>
      <c r="BN116" t="str">
        <f>IF(Asistencia!I121="","",Asistencia!I121)</f>
        <v/>
      </c>
      <c r="BO116" t="str">
        <f>IF(Asistencia!J121="","",Asistencia!J121)</f>
        <v/>
      </c>
      <c r="BP116" t="str">
        <f>IF(Asistencia!K121="","",Asistencia!K121)</f>
        <v/>
      </c>
      <c r="BQ116" t="str">
        <f>IF(Asistencia!L121="","",Asistencia!L121)</f>
        <v/>
      </c>
    </row>
    <row r="117" spans="1:69" ht="15.75" customHeight="1" x14ac:dyDescent="0.25">
      <c r="A117" s="46" t="str">
        <f t="shared" si="65"/>
        <v/>
      </c>
      <c r="B117" s="47" t="str">
        <f t="shared" si="66"/>
        <v/>
      </c>
      <c r="C117" s="47"/>
      <c r="D117" s="47"/>
      <c r="E117" s="46" t="str">
        <f t="shared" si="67"/>
        <v/>
      </c>
      <c r="F117" s="45" t="str">
        <f t="shared" si="68"/>
        <v/>
      </c>
      <c r="G117" s="44" t="str">
        <f t="shared" si="69"/>
        <v/>
      </c>
      <c r="H117" s="44" t="str">
        <f t="shared" si="70"/>
        <v/>
      </c>
      <c r="I117" s="44" t="str">
        <f t="shared" si="71"/>
        <v/>
      </c>
      <c r="J117" s="44" t="str">
        <f t="shared" si="72"/>
        <v/>
      </c>
      <c r="K117" s="44" t="str">
        <f t="shared" si="73"/>
        <v/>
      </c>
      <c r="L117" s="44" t="str">
        <f t="shared" si="74"/>
        <v/>
      </c>
      <c r="M117" s="43" t="str">
        <f t="shared" si="75"/>
        <v/>
      </c>
      <c r="N117" s="41" t="str">
        <f t="shared" si="76"/>
        <v/>
      </c>
      <c r="O117" s="41" t="str">
        <f t="shared" si="77"/>
        <v/>
      </c>
      <c r="P117" s="41" t="str">
        <f t="shared" si="78"/>
        <v/>
      </c>
      <c r="Q117" s="41" t="str">
        <f t="shared" si="79"/>
        <v/>
      </c>
      <c r="R117" s="41" t="str">
        <f t="shared" si="80"/>
        <v/>
      </c>
      <c r="S117" s="41"/>
      <c r="T117" s="48"/>
      <c r="U117" s="41" t="str">
        <f t="shared" si="81"/>
        <v/>
      </c>
      <c r="V117" s="41"/>
      <c r="W117" s="42" t="str">
        <f t="shared" si="82"/>
        <v/>
      </c>
      <c r="Y117" t="str">
        <f>IFERROR(MATCH(113,$AH$5:$AH$323,0),"")</f>
        <v/>
      </c>
      <c r="Z117" t="str">
        <f t="shared" si="83"/>
        <v/>
      </c>
      <c r="AA117" t="str">
        <f t="shared" si="61"/>
        <v/>
      </c>
      <c r="AB117" t="str">
        <f>IF(Asistencia!A122="","",Asistencia!A122)</f>
        <v/>
      </c>
      <c r="AC117" t="str">
        <f>IF(Asistencia!A122="","",SUBSTITUTE(SUBSTITUTE(SUBSTITUTE(SUBSTITUTE(SUBSTITUTE(SUBSTITUTE(SUBSTITUTE(UPPER(TRIM(Asistencia!A122)),"Á","A"),"É","E"),"Í","I"),"Ó","O"),"Ú","U"),"Ñ","N"),"  "," "))</f>
        <v/>
      </c>
      <c r="AD117" t="str">
        <f>IF(Asistencia!E122="","",Asistencia!E122)</f>
        <v/>
      </c>
      <c r="AE117" t="str">
        <f>IF(Asistencia!D122="","",UPPER(TRIM(Asistencia!D122)))</f>
        <v/>
      </c>
      <c r="AF117" t="s">
        <v>190</v>
      </c>
      <c r="AG117">
        <f>IF(AND(AA117&lt;&gt;"",COUNTIF($AA$5:AA117,AA117)=1),1,0)</f>
        <v>0</v>
      </c>
      <c r="AH117" t="str">
        <f>IF(AG117=1,SUM($AG$5:AG117),"")</f>
        <v/>
      </c>
      <c r="AI117">
        <f>IF(OR(EXACT(Asistencia!F122,"A"),EXACT(Asistencia!F122,"R"),EXACT(Asistencia!F122,"DL"),EXACT(Asistencia!F122,"FL"),EXACT(Asistencia!F122,"FE"),EXACT(Asistencia!F122,"PCS"),EXACT(Asistencia!F122,"V")),1,0)</f>
        <v>0</v>
      </c>
      <c r="AJ117">
        <f>IF(OR(EXACT(Asistencia!G122,"A"),EXACT(Asistencia!G122,"R"),EXACT(Asistencia!G122,"DL"),EXACT(Asistencia!G122,"FL"),EXACT(Asistencia!G122,"FE"),EXACT(Asistencia!G122,"PCS"),EXACT(Asistencia!G122,"V")),1,0)</f>
        <v>0</v>
      </c>
      <c r="AK117">
        <f>IF(OR(EXACT(Asistencia!H122,"A"),EXACT(Asistencia!H122,"R"),EXACT(Asistencia!H122,"DL"),EXACT(Asistencia!H122,"FL"),EXACT(Asistencia!H122,"FE"),EXACT(Asistencia!H122,"PCS"),EXACT(Asistencia!H122,"V")),1,0)</f>
        <v>0</v>
      </c>
      <c r="AL117">
        <f>IF(OR(EXACT(Asistencia!I122,"A"),EXACT(Asistencia!I122,"R"),EXACT(Asistencia!I122,"DL"),EXACT(Asistencia!I122,"FL"),EXACT(Asistencia!I122,"FE"),EXACT(Asistencia!I122,"PCS"),EXACT(Asistencia!I122,"V")),1,0)</f>
        <v>0</v>
      </c>
      <c r="AM117">
        <f>IF(OR(EXACT(Asistencia!J122,"A"),EXACT(Asistencia!J122,"R"),EXACT(Asistencia!J122,"DL"),EXACT(Asistencia!J122,"FL"),EXACT(Asistencia!J122,"FE"),EXACT(Asistencia!J122,"PCS"),EXACT(Asistencia!J122,"V")),1,0)</f>
        <v>0</v>
      </c>
      <c r="AN117">
        <f>IF(OR(EXACT(Asistencia!K122,"A"),EXACT(Asistencia!K122,"R"),EXACT(Asistencia!K122,"DL"),EXACT(Asistencia!K122,"FL"),EXACT(Asistencia!K122,"FE"),EXACT(Asistencia!K122,"PCS"),EXACT(Asistencia!K122,"V")),1,0)</f>
        <v>0</v>
      </c>
      <c r="AO117">
        <f>IF(OR(EXACT(Asistencia!L122,"A"),EXACT(Asistencia!L122,"R"),EXACT(Asistencia!L122,"DL"),EXACT(Asistencia!L122,"FL"),EXACT(Asistencia!L122,"FE"),EXACT(Asistencia!L122,"PCS"),EXACT(Asistencia!L122,"V")),1,0)</f>
        <v>0</v>
      </c>
      <c r="AP117">
        <f t="shared" si="62"/>
        <v>0</v>
      </c>
      <c r="AQ117">
        <f>IF(EXACT(Asistencia!F122,"FL"),1,0)</f>
        <v>0</v>
      </c>
      <c r="AR117">
        <f>IF(EXACT(Asistencia!G122,"FL"),1,0)</f>
        <v>0</v>
      </c>
      <c r="AS117">
        <f>IF(EXACT(Asistencia!H122,"FL"),1,0)</f>
        <v>0</v>
      </c>
      <c r="AT117">
        <f>IF(EXACT(Asistencia!I122,"FL"),1,0)</f>
        <v>0</v>
      </c>
      <c r="AU117">
        <f>IF(EXACT(Asistencia!J122,"FL"),1,0)</f>
        <v>0</v>
      </c>
      <c r="AV117">
        <f>IF(EXACT(Asistencia!K122,"FL"),1,0)</f>
        <v>0</v>
      </c>
      <c r="AW117">
        <f>IF(EXACT(Asistencia!L122,"FL"),1,0)</f>
        <v>0</v>
      </c>
      <c r="AX117">
        <f t="shared" si="63"/>
        <v>0</v>
      </c>
      <c r="AY117">
        <f>IF(EXACT(Asistencia!F122,"DL"),1,0)</f>
        <v>0</v>
      </c>
      <c r="AZ117">
        <f>IF(EXACT(Asistencia!G122,"DL"),1,0)</f>
        <v>0</v>
      </c>
      <c r="BA117">
        <f>IF(EXACT(Asistencia!H122,"DL"),1,0)</f>
        <v>0</v>
      </c>
      <c r="BB117">
        <f>IF(EXACT(Asistencia!I122,"DL"),1,0)</f>
        <v>0</v>
      </c>
      <c r="BC117">
        <f>IF(EXACT(Asistencia!J122,"DL"),1,0)</f>
        <v>0</v>
      </c>
      <c r="BD117">
        <f>IF(EXACT(Asistencia!K122,"DL"),1,0)</f>
        <v>0</v>
      </c>
      <c r="BE117">
        <f>IF(EXACT(Asistencia!L122,"DL"),1,0)</f>
        <v>0</v>
      </c>
      <c r="BF117">
        <f t="shared" si="64"/>
        <v>0</v>
      </c>
      <c r="BG117">
        <f>IF(ISNUMBER(Asistencia!M122),Asistencia!M122,0)</f>
        <v>0</v>
      </c>
      <c r="BH117">
        <f>IF(ISNUMBER(Asistencia!N122),Asistencia!N122,0)</f>
        <v>0</v>
      </c>
      <c r="BI117">
        <f>IF(ISNUMBER(Asistencia!O122),Asistencia!O122,0)</f>
        <v>0</v>
      </c>
      <c r="BJ117">
        <f>IF(ISNUMBER(Asistencia!P122),Asistencia!P122,0)</f>
        <v>0</v>
      </c>
      <c r="BK117" t="str">
        <f>IF(Asistencia!F122="","",Asistencia!F122)</f>
        <v/>
      </c>
      <c r="BL117" t="str">
        <f>IF(Asistencia!G122="","",Asistencia!G122)</f>
        <v/>
      </c>
      <c r="BM117" t="str">
        <f>IF(Asistencia!H122="","",Asistencia!H122)</f>
        <v/>
      </c>
      <c r="BN117" t="str">
        <f>IF(Asistencia!I122="","",Asistencia!I122)</f>
        <v/>
      </c>
      <c r="BO117" t="str">
        <f>IF(Asistencia!J122="","",Asistencia!J122)</f>
        <v/>
      </c>
      <c r="BP117" t="str">
        <f>IF(Asistencia!K122="","",Asistencia!K122)</f>
        <v/>
      </c>
      <c r="BQ117" t="str">
        <f>IF(Asistencia!L122="","",Asistencia!L122)</f>
        <v/>
      </c>
    </row>
    <row r="118" spans="1:69" ht="15.75" customHeight="1" x14ac:dyDescent="0.25">
      <c r="A118" s="46" t="str">
        <f t="shared" si="65"/>
        <v/>
      </c>
      <c r="B118" s="47" t="str">
        <f t="shared" si="66"/>
        <v/>
      </c>
      <c r="C118" s="47"/>
      <c r="D118" s="47"/>
      <c r="E118" s="46" t="str">
        <f t="shared" si="67"/>
        <v/>
      </c>
      <c r="F118" s="45" t="str">
        <f t="shared" si="68"/>
        <v/>
      </c>
      <c r="G118" s="44" t="str">
        <f t="shared" si="69"/>
        <v/>
      </c>
      <c r="H118" s="44" t="str">
        <f t="shared" si="70"/>
        <v/>
      </c>
      <c r="I118" s="44" t="str">
        <f t="shared" si="71"/>
        <v/>
      </c>
      <c r="J118" s="44" t="str">
        <f t="shared" si="72"/>
        <v/>
      </c>
      <c r="K118" s="44" t="str">
        <f t="shared" si="73"/>
        <v/>
      </c>
      <c r="L118" s="44" t="str">
        <f t="shared" si="74"/>
        <v/>
      </c>
      <c r="M118" s="43" t="str">
        <f t="shared" si="75"/>
        <v/>
      </c>
      <c r="N118" s="41" t="str">
        <f t="shared" si="76"/>
        <v/>
      </c>
      <c r="O118" s="41" t="str">
        <f t="shared" si="77"/>
        <v/>
      </c>
      <c r="P118" s="41" t="str">
        <f t="shared" si="78"/>
        <v/>
      </c>
      <c r="Q118" s="41" t="str">
        <f t="shared" si="79"/>
        <v/>
      </c>
      <c r="R118" s="41" t="str">
        <f t="shared" si="80"/>
        <v/>
      </c>
      <c r="S118" s="41"/>
      <c r="T118" s="48"/>
      <c r="U118" s="41" t="str">
        <f t="shared" si="81"/>
        <v/>
      </c>
      <c r="V118" s="41"/>
      <c r="W118" s="42" t="str">
        <f t="shared" si="82"/>
        <v/>
      </c>
      <c r="Y118" t="str">
        <f>IFERROR(MATCH(114,$AH$5:$AH$323,0),"")</f>
        <v/>
      </c>
      <c r="Z118" t="str">
        <f t="shared" si="83"/>
        <v/>
      </c>
      <c r="AA118" t="str">
        <f t="shared" si="61"/>
        <v/>
      </c>
      <c r="AB118" t="str">
        <f>IF(Asistencia!A123="","",Asistencia!A123)</f>
        <v/>
      </c>
      <c r="AC118" t="str">
        <f>IF(Asistencia!A123="","",SUBSTITUTE(SUBSTITUTE(SUBSTITUTE(SUBSTITUTE(SUBSTITUTE(SUBSTITUTE(SUBSTITUTE(UPPER(TRIM(Asistencia!A123)),"Á","A"),"É","E"),"Í","I"),"Ó","O"),"Ú","U"),"Ñ","N"),"  "," "))</f>
        <v/>
      </c>
      <c r="AD118" t="str">
        <f>IF(Asistencia!E123="","",Asistencia!E123)</f>
        <v/>
      </c>
      <c r="AE118" t="str">
        <f>IF(Asistencia!D123="","",UPPER(TRIM(Asistencia!D123)))</f>
        <v/>
      </c>
      <c r="AF118" t="s">
        <v>190</v>
      </c>
      <c r="AG118">
        <f>IF(AND(AA118&lt;&gt;"",COUNTIF($AA$5:AA118,AA118)=1),1,0)</f>
        <v>0</v>
      </c>
      <c r="AH118" t="str">
        <f>IF(AG118=1,SUM($AG$5:AG118),"")</f>
        <v/>
      </c>
      <c r="AI118">
        <f>IF(OR(EXACT(Asistencia!F123,"A"),EXACT(Asistencia!F123,"R"),EXACT(Asistencia!F123,"DL"),EXACT(Asistencia!F123,"FL"),EXACT(Asistencia!F123,"FE"),EXACT(Asistencia!F123,"PCS"),EXACT(Asistencia!F123,"V")),1,0)</f>
        <v>0</v>
      </c>
      <c r="AJ118">
        <f>IF(OR(EXACT(Asistencia!G123,"A"),EXACT(Asistencia!G123,"R"),EXACT(Asistencia!G123,"DL"),EXACT(Asistencia!G123,"FL"),EXACT(Asistencia!G123,"FE"),EXACT(Asistencia!G123,"PCS"),EXACT(Asistencia!G123,"V")),1,0)</f>
        <v>0</v>
      </c>
      <c r="AK118">
        <f>IF(OR(EXACT(Asistencia!H123,"A"),EXACT(Asistencia!H123,"R"),EXACT(Asistencia!H123,"DL"),EXACT(Asistencia!H123,"FL"),EXACT(Asistencia!H123,"FE"),EXACT(Asistencia!H123,"PCS"),EXACT(Asistencia!H123,"V")),1,0)</f>
        <v>0</v>
      </c>
      <c r="AL118">
        <f>IF(OR(EXACT(Asistencia!I123,"A"),EXACT(Asistencia!I123,"R"),EXACT(Asistencia!I123,"DL"),EXACT(Asistencia!I123,"FL"),EXACT(Asistencia!I123,"FE"),EXACT(Asistencia!I123,"PCS"),EXACT(Asistencia!I123,"V")),1,0)</f>
        <v>0</v>
      </c>
      <c r="AM118">
        <f>IF(OR(EXACT(Asistencia!J123,"A"),EXACT(Asistencia!J123,"R"),EXACT(Asistencia!J123,"DL"),EXACT(Asistencia!J123,"FL"),EXACT(Asistencia!J123,"FE"),EXACT(Asistencia!J123,"PCS"),EXACT(Asistencia!J123,"V")),1,0)</f>
        <v>0</v>
      </c>
      <c r="AN118">
        <f>IF(OR(EXACT(Asistencia!K123,"A"),EXACT(Asistencia!K123,"R"),EXACT(Asistencia!K123,"DL"),EXACT(Asistencia!K123,"FL"),EXACT(Asistencia!K123,"FE"),EXACT(Asistencia!K123,"PCS"),EXACT(Asistencia!K123,"V")),1,0)</f>
        <v>0</v>
      </c>
      <c r="AO118">
        <f>IF(OR(EXACT(Asistencia!L123,"A"),EXACT(Asistencia!L123,"R"),EXACT(Asistencia!L123,"DL"),EXACT(Asistencia!L123,"FL"),EXACT(Asistencia!L123,"FE"),EXACT(Asistencia!L123,"PCS"),EXACT(Asistencia!L123,"V")),1,0)</f>
        <v>0</v>
      </c>
      <c r="AP118">
        <f t="shared" si="62"/>
        <v>0</v>
      </c>
      <c r="AQ118">
        <f>IF(EXACT(Asistencia!F123,"FL"),1,0)</f>
        <v>0</v>
      </c>
      <c r="AR118">
        <f>IF(EXACT(Asistencia!G123,"FL"),1,0)</f>
        <v>0</v>
      </c>
      <c r="AS118">
        <f>IF(EXACT(Asistencia!H123,"FL"),1,0)</f>
        <v>0</v>
      </c>
      <c r="AT118">
        <f>IF(EXACT(Asistencia!I123,"FL"),1,0)</f>
        <v>0</v>
      </c>
      <c r="AU118">
        <f>IF(EXACT(Asistencia!J123,"FL"),1,0)</f>
        <v>0</v>
      </c>
      <c r="AV118">
        <f>IF(EXACT(Asistencia!K123,"FL"),1,0)</f>
        <v>0</v>
      </c>
      <c r="AW118">
        <f>IF(EXACT(Asistencia!L123,"FL"),1,0)</f>
        <v>0</v>
      </c>
      <c r="AX118">
        <f t="shared" si="63"/>
        <v>0</v>
      </c>
      <c r="AY118">
        <f>IF(EXACT(Asistencia!F123,"DL"),1,0)</f>
        <v>0</v>
      </c>
      <c r="AZ118">
        <f>IF(EXACT(Asistencia!G123,"DL"),1,0)</f>
        <v>0</v>
      </c>
      <c r="BA118">
        <f>IF(EXACT(Asistencia!H123,"DL"),1,0)</f>
        <v>0</v>
      </c>
      <c r="BB118">
        <f>IF(EXACT(Asistencia!I123,"DL"),1,0)</f>
        <v>0</v>
      </c>
      <c r="BC118">
        <f>IF(EXACT(Asistencia!J123,"DL"),1,0)</f>
        <v>0</v>
      </c>
      <c r="BD118">
        <f>IF(EXACT(Asistencia!K123,"DL"),1,0)</f>
        <v>0</v>
      </c>
      <c r="BE118">
        <f>IF(EXACT(Asistencia!L123,"DL"),1,0)</f>
        <v>0</v>
      </c>
      <c r="BF118">
        <f t="shared" si="64"/>
        <v>0</v>
      </c>
      <c r="BG118">
        <f>IF(ISNUMBER(Asistencia!M123),Asistencia!M123,0)</f>
        <v>0</v>
      </c>
      <c r="BH118">
        <f>IF(ISNUMBER(Asistencia!N123),Asistencia!N123,0)</f>
        <v>0</v>
      </c>
      <c r="BI118">
        <f>IF(ISNUMBER(Asistencia!O123),Asistencia!O123,0)</f>
        <v>0</v>
      </c>
      <c r="BJ118">
        <f>IF(ISNUMBER(Asistencia!P123),Asistencia!P123,0)</f>
        <v>0</v>
      </c>
      <c r="BK118" t="str">
        <f>IF(Asistencia!F123="","",Asistencia!F123)</f>
        <v/>
      </c>
      <c r="BL118" t="str">
        <f>IF(Asistencia!G123="","",Asistencia!G123)</f>
        <v/>
      </c>
      <c r="BM118" t="str">
        <f>IF(Asistencia!H123="","",Asistencia!H123)</f>
        <v/>
      </c>
      <c r="BN118" t="str">
        <f>IF(Asistencia!I123="","",Asistencia!I123)</f>
        <v/>
      </c>
      <c r="BO118" t="str">
        <f>IF(Asistencia!J123="","",Asistencia!J123)</f>
        <v/>
      </c>
      <c r="BP118" t="str">
        <f>IF(Asistencia!K123="","",Asistencia!K123)</f>
        <v/>
      </c>
      <c r="BQ118" t="str">
        <f>IF(Asistencia!L123="","",Asistencia!L123)</f>
        <v/>
      </c>
    </row>
    <row r="119" spans="1:69" ht="15.75" customHeight="1" x14ac:dyDescent="0.25">
      <c r="A119" s="46" t="str">
        <f t="shared" si="65"/>
        <v/>
      </c>
      <c r="B119" s="47" t="str">
        <f t="shared" si="66"/>
        <v/>
      </c>
      <c r="C119" s="47"/>
      <c r="D119" s="47"/>
      <c r="E119" s="46" t="str">
        <f t="shared" si="67"/>
        <v/>
      </c>
      <c r="F119" s="45" t="str">
        <f t="shared" si="68"/>
        <v/>
      </c>
      <c r="G119" s="44" t="str">
        <f t="shared" si="69"/>
        <v/>
      </c>
      <c r="H119" s="44" t="str">
        <f t="shared" si="70"/>
        <v/>
      </c>
      <c r="I119" s="44" t="str">
        <f t="shared" si="71"/>
        <v/>
      </c>
      <c r="J119" s="44" t="str">
        <f t="shared" si="72"/>
        <v/>
      </c>
      <c r="K119" s="44" t="str">
        <f t="shared" si="73"/>
        <v/>
      </c>
      <c r="L119" s="44" t="str">
        <f t="shared" si="74"/>
        <v/>
      </c>
      <c r="M119" s="43" t="str">
        <f t="shared" si="75"/>
        <v/>
      </c>
      <c r="N119" s="41" t="str">
        <f t="shared" si="76"/>
        <v/>
      </c>
      <c r="O119" s="41" t="str">
        <f t="shared" si="77"/>
        <v/>
      </c>
      <c r="P119" s="41" t="str">
        <f t="shared" si="78"/>
        <v/>
      </c>
      <c r="Q119" s="41" t="str">
        <f t="shared" si="79"/>
        <v/>
      </c>
      <c r="R119" s="41" t="str">
        <f t="shared" si="80"/>
        <v/>
      </c>
      <c r="S119" s="41"/>
      <c r="T119" s="48"/>
      <c r="U119" s="41" t="str">
        <f t="shared" si="81"/>
        <v/>
      </c>
      <c r="V119" s="41"/>
      <c r="W119" s="42" t="str">
        <f t="shared" si="82"/>
        <v/>
      </c>
      <c r="Y119" t="str">
        <f>IFERROR(MATCH(115,$AH$5:$AH$323,0),"")</f>
        <v/>
      </c>
      <c r="Z119" t="str">
        <f t="shared" si="83"/>
        <v/>
      </c>
      <c r="AA119" t="str">
        <f t="shared" si="61"/>
        <v/>
      </c>
      <c r="AB119" t="str">
        <f>IF(Asistencia!A124="","",Asistencia!A124)</f>
        <v/>
      </c>
      <c r="AC119" t="str">
        <f>IF(Asistencia!A124="","",SUBSTITUTE(SUBSTITUTE(SUBSTITUTE(SUBSTITUTE(SUBSTITUTE(SUBSTITUTE(SUBSTITUTE(UPPER(TRIM(Asistencia!A124)),"Á","A"),"É","E"),"Í","I"),"Ó","O"),"Ú","U"),"Ñ","N"),"  "," "))</f>
        <v/>
      </c>
      <c r="AD119" t="str">
        <f>IF(Asistencia!E124="","",Asistencia!E124)</f>
        <v/>
      </c>
      <c r="AE119" t="str">
        <f>IF(Asistencia!D124="","",UPPER(TRIM(Asistencia!D124)))</f>
        <v/>
      </c>
      <c r="AF119" t="s">
        <v>190</v>
      </c>
      <c r="AG119">
        <f>IF(AND(AA119&lt;&gt;"",COUNTIF($AA$5:AA119,AA119)=1),1,0)</f>
        <v>0</v>
      </c>
      <c r="AH119" t="str">
        <f>IF(AG119=1,SUM($AG$5:AG119),"")</f>
        <v/>
      </c>
      <c r="AI119">
        <f>IF(OR(EXACT(Asistencia!F124,"A"),EXACT(Asistencia!F124,"R"),EXACT(Asistencia!F124,"DL"),EXACT(Asistencia!F124,"FL"),EXACT(Asistencia!F124,"FE"),EXACT(Asistencia!F124,"PCS"),EXACT(Asistencia!F124,"V")),1,0)</f>
        <v>0</v>
      </c>
      <c r="AJ119">
        <f>IF(OR(EXACT(Asistencia!G124,"A"),EXACT(Asistencia!G124,"R"),EXACT(Asistencia!G124,"DL"),EXACT(Asistencia!G124,"FL"),EXACT(Asistencia!G124,"FE"),EXACT(Asistencia!G124,"PCS"),EXACT(Asistencia!G124,"V")),1,0)</f>
        <v>0</v>
      </c>
      <c r="AK119">
        <f>IF(OR(EXACT(Asistencia!H124,"A"),EXACT(Asistencia!H124,"R"),EXACT(Asistencia!H124,"DL"),EXACT(Asistencia!H124,"FL"),EXACT(Asistencia!H124,"FE"),EXACT(Asistencia!H124,"PCS"),EXACT(Asistencia!H124,"V")),1,0)</f>
        <v>0</v>
      </c>
      <c r="AL119">
        <f>IF(OR(EXACT(Asistencia!I124,"A"),EXACT(Asistencia!I124,"R"),EXACT(Asistencia!I124,"DL"),EXACT(Asistencia!I124,"FL"),EXACT(Asistencia!I124,"FE"),EXACT(Asistencia!I124,"PCS"),EXACT(Asistencia!I124,"V")),1,0)</f>
        <v>0</v>
      </c>
      <c r="AM119">
        <f>IF(OR(EXACT(Asistencia!J124,"A"),EXACT(Asistencia!J124,"R"),EXACT(Asistencia!J124,"DL"),EXACT(Asistencia!J124,"FL"),EXACT(Asistencia!J124,"FE"),EXACT(Asistencia!J124,"PCS"),EXACT(Asistencia!J124,"V")),1,0)</f>
        <v>0</v>
      </c>
      <c r="AN119">
        <f>IF(OR(EXACT(Asistencia!K124,"A"),EXACT(Asistencia!K124,"R"),EXACT(Asistencia!K124,"DL"),EXACT(Asistencia!K124,"FL"),EXACT(Asistencia!K124,"FE"),EXACT(Asistencia!K124,"PCS"),EXACT(Asistencia!K124,"V")),1,0)</f>
        <v>0</v>
      </c>
      <c r="AO119">
        <f>IF(OR(EXACT(Asistencia!L124,"A"),EXACT(Asistencia!L124,"R"),EXACT(Asistencia!L124,"DL"),EXACT(Asistencia!L124,"FL"),EXACT(Asistencia!L124,"FE"),EXACT(Asistencia!L124,"PCS"),EXACT(Asistencia!L124,"V")),1,0)</f>
        <v>0</v>
      </c>
      <c r="AP119">
        <f t="shared" si="62"/>
        <v>0</v>
      </c>
      <c r="AQ119">
        <f>IF(EXACT(Asistencia!F124,"FL"),1,0)</f>
        <v>0</v>
      </c>
      <c r="AR119">
        <f>IF(EXACT(Asistencia!G124,"FL"),1,0)</f>
        <v>0</v>
      </c>
      <c r="AS119">
        <f>IF(EXACT(Asistencia!H124,"FL"),1,0)</f>
        <v>0</v>
      </c>
      <c r="AT119">
        <f>IF(EXACT(Asistencia!I124,"FL"),1,0)</f>
        <v>0</v>
      </c>
      <c r="AU119">
        <f>IF(EXACT(Asistencia!J124,"FL"),1,0)</f>
        <v>0</v>
      </c>
      <c r="AV119">
        <f>IF(EXACT(Asistencia!K124,"FL"),1,0)</f>
        <v>0</v>
      </c>
      <c r="AW119">
        <f>IF(EXACT(Asistencia!L124,"FL"),1,0)</f>
        <v>0</v>
      </c>
      <c r="AX119">
        <f t="shared" si="63"/>
        <v>0</v>
      </c>
      <c r="AY119">
        <f>IF(EXACT(Asistencia!F124,"DL"),1,0)</f>
        <v>0</v>
      </c>
      <c r="AZ119">
        <f>IF(EXACT(Asistencia!G124,"DL"),1,0)</f>
        <v>0</v>
      </c>
      <c r="BA119">
        <f>IF(EXACT(Asistencia!H124,"DL"),1,0)</f>
        <v>0</v>
      </c>
      <c r="BB119">
        <f>IF(EXACT(Asistencia!I124,"DL"),1,0)</f>
        <v>0</v>
      </c>
      <c r="BC119">
        <f>IF(EXACT(Asistencia!J124,"DL"),1,0)</f>
        <v>0</v>
      </c>
      <c r="BD119">
        <f>IF(EXACT(Asistencia!K124,"DL"),1,0)</f>
        <v>0</v>
      </c>
      <c r="BE119">
        <f>IF(EXACT(Asistencia!L124,"DL"),1,0)</f>
        <v>0</v>
      </c>
      <c r="BF119">
        <f t="shared" si="64"/>
        <v>0</v>
      </c>
      <c r="BG119">
        <f>IF(ISNUMBER(Asistencia!M124),Asistencia!M124,0)</f>
        <v>0</v>
      </c>
      <c r="BH119">
        <f>IF(ISNUMBER(Asistencia!N124),Asistencia!N124,0)</f>
        <v>0</v>
      </c>
      <c r="BI119">
        <f>IF(ISNUMBER(Asistencia!O124),Asistencia!O124,0)</f>
        <v>0</v>
      </c>
      <c r="BJ119">
        <f>IF(ISNUMBER(Asistencia!P124),Asistencia!P124,0)</f>
        <v>0</v>
      </c>
      <c r="BK119" t="str">
        <f>IF(Asistencia!F124="","",Asistencia!F124)</f>
        <v/>
      </c>
      <c r="BL119" t="str">
        <f>IF(Asistencia!G124="","",Asistencia!G124)</f>
        <v/>
      </c>
      <c r="BM119" t="str">
        <f>IF(Asistencia!H124="","",Asistencia!H124)</f>
        <v/>
      </c>
      <c r="BN119" t="str">
        <f>IF(Asistencia!I124="","",Asistencia!I124)</f>
        <v/>
      </c>
      <c r="BO119" t="str">
        <f>IF(Asistencia!J124="","",Asistencia!J124)</f>
        <v/>
      </c>
      <c r="BP119" t="str">
        <f>IF(Asistencia!K124="","",Asistencia!K124)</f>
        <v/>
      </c>
      <c r="BQ119" t="str">
        <f>IF(Asistencia!L124="","",Asistencia!L124)</f>
        <v/>
      </c>
    </row>
    <row r="120" spans="1:69" ht="15.75" customHeight="1" x14ac:dyDescent="0.25">
      <c r="A120" s="46" t="str">
        <f t="shared" si="65"/>
        <v/>
      </c>
      <c r="B120" s="47" t="str">
        <f t="shared" si="66"/>
        <v/>
      </c>
      <c r="C120" s="47"/>
      <c r="D120" s="47"/>
      <c r="E120" s="46" t="str">
        <f t="shared" si="67"/>
        <v/>
      </c>
      <c r="F120" s="45" t="str">
        <f t="shared" si="68"/>
        <v/>
      </c>
      <c r="G120" s="44" t="str">
        <f t="shared" si="69"/>
        <v/>
      </c>
      <c r="H120" s="44" t="str">
        <f t="shared" si="70"/>
        <v/>
      </c>
      <c r="I120" s="44" t="str">
        <f t="shared" si="71"/>
        <v/>
      </c>
      <c r="J120" s="44" t="str">
        <f t="shared" si="72"/>
        <v/>
      </c>
      <c r="K120" s="44" t="str">
        <f t="shared" si="73"/>
        <v/>
      </c>
      <c r="L120" s="44" t="str">
        <f t="shared" si="74"/>
        <v/>
      </c>
      <c r="M120" s="43" t="str">
        <f t="shared" si="75"/>
        <v/>
      </c>
      <c r="N120" s="41" t="str">
        <f t="shared" si="76"/>
        <v/>
      </c>
      <c r="O120" s="41" t="str">
        <f t="shared" si="77"/>
        <v/>
      </c>
      <c r="P120" s="41" t="str">
        <f t="shared" si="78"/>
        <v/>
      </c>
      <c r="Q120" s="41" t="str">
        <f t="shared" si="79"/>
        <v/>
      </c>
      <c r="R120" s="41" t="str">
        <f t="shared" si="80"/>
        <v/>
      </c>
      <c r="S120" s="41"/>
      <c r="T120" s="48"/>
      <c r="U120" s="41" t="str">
        <f t="shared" si="81"/>
        <v/>
      </c>
      <c r="V120" s="41"/>
      <c r="W120" s="42" t="str">
        <f t="shared" si="82"/>
        <v/>
      </c>
      <c r="Y120" t="str">
        <f>IFERROR(MATCH(116,$AH$5:$AH$323,0),"")</f>
        <v/>
      </c>
      <c r="Z120" t="str">
        <f t="shared" si="83"/>
        <v/>
      </c>
      <c r="AA120" t="str">
        <f t="shared" si="61"/>
        <v/>
      </c>
      <c r="AB120" t="str">
        <f>IF(Asistencia!A125="","",Asistencia!A125)</f>
        <v/>
      </c>
      <c r="AC120" t="str">
        <f>IF(Asistencia!A125="","",SUBSTITUTE(SUBSTITUTE(SUBSTITUTE(SUBSTITUTE(SUBSTITUTE(SUBSTITUTE(SUBSTITUTE(UPPER(TRIM(Asistencia!A125)),"Á","A"),"É","E"),"Í","I"),"Ó","O"),"Ú","U"),"Ñ","N"),"  "," "))</f>
        <v/>
      </c>
      <c r="AD120" t="str">
        <f>IF(Asistencia!E125="","",Asistencia!E125)</f>
        <v/>
      </c>
      <c r="AE120" t="str">
        <f>IF(Asistencia!D125="","",UPPER(TRIM(Asistencia!D125)))</f>
        <v/>
      </c>
      <c r="AF120" t="s">
        <v>190</v>
      </c>
      <c r="AG120">
        <f>IF(AND(AA120&lt;&gt;"",COUNTIF($AA$5:AA120,AA120)=1),1,0)</f>
        <v>0</v>
      </c>
      <c r="AH120" t="str">
        <f>IF(AG120=1,SUM($AG$5:AG120),"")</f>
        <v/>
      </c>
      <c r="AI120">
        <f>IF(OR(EXACT(Asistencia!F125,"A"),EXACT(Asistencia!F125,"R"),EXACT(Asistencia!F125,"DL"),EXACT(Asistencia!F125,"FL"),EXACT(Asistencia!F125,"FE"),EXACT(Asistencia!F125,"PCS"),EXACT(Asistencia!F125,"V")),1,0)</f>
        <v>0</v>
      </c>
      <c r="AJ120">
        <f>IF(OR(EXACT(Asistencia!G125,"A"),EXACT(Asistencia!G125,"R"),EXACT(Asistencia!G125,"DL"),EXACT(Asistencia!G125,"FL"),EXACT(Asistencia!G125,"FE"),EXACT(Asistencia!G125,"PCS"),EXACT(Asistencia!G125,"V")),1,0)</f>
        <v>0</v>
      </c>
      <c r="AK120">
        <f>IF(OR(EXACT(Asistencia!H125,"A"),EXACT(Asistencia!H125,"R"),EXACT(Asistencia!H125,"DL"),EXACT(Asistencia!H125,"FL"),EXACT(Asistencia!H125,"FE"),EXACT(Asistencia!H125,"PCS"),EXACT(Asistencia!H125,"V")),1,0)</f>
        <v>0</v>
      </c>
      <c r="AL120">
        <f>IF(OR(EXACT(Asistencia!I125,"A"),EXACT(Asistencia!I125,"R"),EXACT(Asistencia!I125,"DL"),EXACT(Asistencia!I125,"FL"),EXACT(Asistencia!I125,"FE"),EXACT(Asistencia!I125,"PCS"),EXACT(Asistencia!I125,"V")),1,0)</f>
        <v>0</v>
      </c>
      <c r="AM120">
        <f>IF(OR(EXACT(Asistencia!J125,"A"),EXACT(Asistencia!J125,"R"),EXACT(Asistencia!J125,"DL"),EXACT(Asistencia!J125,"FL"),EXACT(Asistencia!J125,"FE"),EXACT(Asistencia!J125,"PCS"),EXACT(Asistencia!J125,"V")),1,0)</f>
        <v>0</v>
      </c>
      <c r="AN120">
        <f>IF(OR(EXACT(Asistencia!K125,"A"),EXACT(Asistencia!K125,"R"),EXACT(Asistencia!K125,"DL"),EXACT(Asistencia!K125,"FL"),EXACT(Asistencia!K125,"FE"),EXACT(Asistencia!K125,"PCS"),EXACT(Asistencia!K125,"V")),1,0)</f>
        <v>0</v>
      </c>
      <c r="AO120">
        <f>IF(OR(EXACT(Asistencia!L125,"A"),EXACT(Asistencia!L125,"R"),EXACT(Asistencia!L125,"DL"),EXACT(Asistencia!L125,"FL"),EXACT(Asistencia!L125,"FE"),EXACT(Asistencia!L125,"PCS"),EXACT(Asistencia!L125,"V")),1,0)</f>
        <v>0</v>
      </c>
      <c r="AP120">
        <f t="shared" si="62"/>
        <v>0</v>
      </c>
      <c r="AQ120">
        <f>IF(EXACT(Asistencia!F125,"FL"),1,0)</f>
        <v>0</v>
      </c>
      <c r="AR120">
        <f>IF(EXACT(Asistencia!G125,"FL"),1,0)</f>
        <v>0</v>
      </c>
      <c r="AS120">
        <f>IF(EXACT(Asistencia!H125,"FL"),1,0)</f>
        <v>0</v>
      </c>
      <c r="AT120">
        <f>IF(EXACT(Asistencia!I125,"FL"),1,0)</f>
        <v>0</v>
      </c>
      <c r="AU120">
        <f>IF(EXACT(Asistencia!J125,"FL"),1,0)</f>
        <v>0</v>
      </c>
      <c r="AV120">
        <f>IF(EXACT(Asistencia!K125,"FL"),1,0)</f>
        <v>0</v>
      </c>
      <c r="AW120">
        <f>IF(EXACT(Asistencia!L125,"FL"),1,0)</f>
        <v>0</v>
      </c>
      <c r="AX120">
        <f t="shared" si="63"/>
        <v>0</v>
      </c>
      <c r="AY120">
        <f>IF(EXACT(Asistencia!F125,"DL"),1,0)</f>
        <v>0</v>
      </c>
      <c r="AZ120">
        <f>IF(EXACT(Asistencia!G125,"DL"),1,0)</f>
        <v>0</v>
      </c>
      <c r="BA120">
        <f>IF(EXACT(Asistencia!H125,"DL"),1,0)</f>
        <v>0</v>
      </c>
      <c r="BB120">
        <f>IF(EXACT(Asistencia!I125,"DL"),1,0)</f>
        <v>0</v>
      </c>
      <c r="BC120">
        <f>IF(EXACT(Asistencia!J125,"DL"),1,0)</f>
        <v>0</v>
      </c>
      <c r="BD120">
        <f>IF(EXACT(Asistencia!K125,"DL"),1,0)</f>
        <v>0</v>
      </c>
      <c r="BE120">
        <f>IF(EXACT(Asistencia!L125,"DL"),1,0)</f>
        <v>0</v>
      </c>
      <c r="BF120">
        <f t="shared" si="64"/>
        <v>0</v>
      </c>
      <c r="BG120">
        <f>IF(ISNUMBER(Asistencia!M125),Asistencia!M125,0)</f>
        <v>0</v>
      </c>
      <c r="BH120">
        <f>IF(ISNUMBER(Asistencia!N125),Asistencia!N125,0)</f>
        <v>0</v>
      </c>
      <c r="BI120">
        <f>IF(ISNUMBER(Asistencia!O125),Asistencia!O125,0)</f>
        <v>0</v>
      </c>
      <c r="BJ120">
        <f>IF(ISNUMBER(Asistencia!P125),Asistencia!P125,0)</f>
        <v>0</v>
      </c>
      <c r="BK120" t="str">
        <f>IF(Asistencia!F125="","",Asistencia!F125)</f>
        <v/>
      </c>
      <c r="BL120" t="str">
        <f>IF(Asistencia!G125="","",Asistencia!G125)</f>
        <v/>
      </c>
      <c r="BM120" t="str">
        <f>IF(Asistencia!H125="","",Asistencia!H125)</f>
        <v/>
      </c>
      <c r="BN120" t="str">
        <f>IF(Asistencia!I125="","",Asistencia!I125)</f>
        <v/>
      </c>
      <c r="BO120" t="str">
        <f>IF(Asistencia!J125="","",Asistencia!J125)</f>
        <v/>
      </c>
      <c r="BP120" t="str">
        <f>IF(Asistencia!K125="","",Asistencia!K125)</f>
        <v/>
      </c>
      <c r="BQ120" t="str">
        <f>IF(Asistencia!L125="","",Asistencia!L125)</f>
        <v/>
      </c>
    </row>
    <row r="121" spans="1:69" ht="15.75" customHeight="1" x14ac:dyDescent="0.25">
      <c r="A121" s="46" t="str">
        <f t="shared" si="65"/>
        <v/>
      </c>
      <c r="B121" s="47" t="str">
        <f t="shared" si="66"/>
        <v/>
      </c>
      <c r="C121" s="47"/>
      <c r="D121" s="47"/>
      <c r="E121" s="46" t="str">
        <f t="shared" si="67"/>
        <v/>
      </c>
      <c r="F121" s="45" t="str">
        <f t="shared" si="68"/>
        <v/>
      </c>
      <c r="G121" s="44" t="str">
        <f t="shared" si="69"/>
        <v/>
      </c>
      <c r="H121" s="44" t="str">
        <f t="shared" si="70"/>
        <v/>
      </c>
      <c r="I121" s="44" t="str">
        <f t="shared" si="71"/>
        <v/>
      </c>
      <c r="J121" s="44" t="str">
        <f t="shared" si="72"/>
        <v/>
      </c>
      <c r="K121" s="44" t="str">
        <f t="shared" si="73"/>
        <v/>
      </c>
      <c r="L121" s="44" t="str">
        <f t="shared" si="74"/>
        <v/>
      </c>
      <c r="M121" s="43" t="str">
        <f t="shared" si="75"/>
        <v/>
      </c>
      <c r="N121" s="41" t="str">
        <f t="shared" si="76"/>
        <v/>
      </c>
      <c r="O121" s="41" t="str">
        <f t="shared" si="77"/>
        <v/>
      </c>
      <c r="P121" s="41" t="str">
        <f t="shared" si="78"/>
        <v/>
      </c>
      <c r="Q121" s="41" t="str">
        <f t="shared" si="79"/>
        <v/>
      </c>
      <c r="R121" s="41" t="str">
        <f t="shared" si="80"/>
        <v/>
      </c>
      <c r="S121" s="41"/>
      <c r="T121" s="48"/>
      <c r="U121" s="41" t="str">
        <f t="shared" si="81"/>
        <v/>
      </c>
      <c r="V121" s="41"/>
      <c r="W121" s="42" t="str">
        <f t="shared" si="82"/>
        <v/>
      </c>
      <c r="Y121" t="str">
        <f>IFERROR(MATCH(117,$AH$5:$AH$323,0),"")</f>
        <v/>
      </c>
      <c r="Z121" t="str">
        <f t="shared" si="83"/>
        <v/>
      </c>
      <c r="AA121" t="str">
        <f t="shared" si="61"/>
        <v/>
      </c>
      <c r="AB121" t="str">
        <f>IF(Asistencia!A126="","",Asistencia!A126)</f>
        <v/>
      </c>
      <c r="AC121" t="str">
        <f>IF(Asistencia!A126="","",SUBSTITUTE(SUBSTITUTE(SUBSTITUTE(SUBSTITUTE(SUBSTITUTE(SUBSTITUTE(SUBSTITUTE(UPPER(TRIM(Asistencia!A126)),"Á","A"),"É","E"),"Í","I"),"Ó","O"),"Ú","U"),"Ñ","N"),"  "," "))</f>
        <v/>
      </c>
      <c r="AD121" t="str">
        <f>IF(Asistencia!E126="","",Asistencia!E126)</f>
        <v/>
      </c>
      <c r="AE121" t="str">
        <f>IF(Asistencia!D126="","",UPPER(TRIM(Asistencia!D126)))</f>
        <v/>
      </c>
      <c r="AF121" t="s">
        <v>190</v>
      </c>
      <c r="AG121">
        <f>IF(AND(AA121&lt;&gt;"",COUNTIF($AA$5:AA121,AA121)=1),1,0)</f>
        <v>0</v>
      </c>
      <c r="AH121" t="str">
        <f>IF(AG121=1,SUM($AG$5:AG121),"")</f>
        <v/>
      </c>
      <c r="AI121">
        <f>IF(OR(EXACT(Asistencia!F126,"A"),EXACT(Asistencia!F126,"R"),EXACT(Asistencia!F126,"DL"),EXACT(Asistencia!F126,"FL"),EXACT(Asistencia!F126,"FE"),EXACT(Asistencia!F126,"PCS"),EXACT(Asistencia!F126,"V")),1,0)</f>
        <v>0</v>
      </c>
      <c r="AJ121">
        <f>IF(OR(EXACT(Asistencia!G126,"A"),EXACT(Asistencia!G126,"R"),EXACT(Asistencia!G126,"DL"),EXACT(Asistencia!G126,"FL"),EXACT(Asistencia!G126,"FE"),EXACT(Asistencia!G126,"PCS"),EXACT(Asistencia!G126,"V")),1,0)</f>
        <v>0</v>
      </c>
      <c r="AK121">
        <f>IF(OR(EXACT(Asistencia!H126,"A"),EXACT(Asistencia!H126,"R"),EXACT(Asistencia!H126,"DL"),EXACT(Asistencia!H126,"FL"),EXACT(Asistencia!H126,"FE"),EXACT(Asistencia!H126,"PCS"),EXACT(Asistencia!H126,"V")),1,0)</f>
        <v>0</v>
      </c>
      <c r="AL121">
        <f>IF(OR(EXACT(Asistencia!I126,"A"),EXACT(Asistencia!I126,"R"),EXACT(Asistencia!I126,"DL"),EXACT(Asistencia!I126,"FL"),EXACT(Asistencia!I126,"FE"),EXACT(Asistencia!I126,"PCS"),EXACT(Asistencia!I126,"V")),1,0)</f>
        <v>0</v>
      </c>
      <c r="AM121">
        <f>IF(OR(EXACT(Asistencia!J126,"A"),EXACT(Asistencia!J126,"R"),EXACT(Asistencia!J126,"DL"),EXACT(Asistencia!J126,"FL"),EXACT(Asistencia!J126,"FE"),EXACT(Asistencia!J126,"PCS"),EXACT(Asistencia!J126,"V")),1,0)</f>
        <v>0</v>
      </c>
      <c r="AN121">
        <f>IF(OR(EXACT(Asistencia!K126,"A"),EXACT(Asistencia!K126,"R"),EXACT(Asistencia!K126,"DL"),EXACT(Asistencia!K126,"FL"),EXACT(Asistencia!K126,"FE"),EXACT(Asistencia!K126,"PCS"),EXACT(Asistencia!K126,"V")),1,0)</f>
        <v>0</v>
      </c>
      <c r="AO121">
        <f>IF(OR(EXACT(Asistencia!L126,"A"),EXACT(Asistencia!L126,"R"),EXACT(Asistencia!L126,"DL"),EXACT(Asistencia!L126,"FL"),EXACT(Asistencia!L126,"FE"),EXACT(Asistencia!L126,"PCS"),EXACT(Asistencia!L126,"V")),1,0)</f>
        <v>0</v>
      </c>
      <c r="AP121">
        <f t="shared" si="62"/>
        <v>0</v>
      </c>
      <c r="AQ121">
        <f>IF(EXACT(Asistencia!F126,"FL"),1,0)</f>
        <v>0</v>
      </c>
      <c r="AR121">
        <f>IF(EXACT(Asistencia!G126,"FL"),1,0)</f>
        <v>0</v>
      </c>
      <c r="AS121">
        <f>IF(EXACT(Asistencia!H126,"FL"),1,0)</f>
        <v>0</v>
      </c>
      <c r="AT121">
        <f>IF(EXACT(Asistencia!I126,"FL"),1,0)</f>
        <v>0</v>
      </c>
      <c r="AU121">
        <f>IF(EXACT(Asistencia!J126,"FL"),1,0)</f>
        <v>0</v>
      </c>
      <c r="AV121">
        <f>IF(EXACT(Asistencia!K126,"FL"),1,0)</f>
        <v>0</v>
      </c>
      <c r="AW121">
        <f>IF(EXACT(Asistencia!L126,"FL"),1,0)</f>
        <v>0</v>
      </c>
      <c r="AX121">
        <f t="shared" si="63"/>
        <v>0</v>
      </c>
      <c r="AY121">
        <f>IF(EXACT(Asistencia!F126,"DL"),1,0)</f>
        <v>0</v>
      </c>
      <c r="AZ121">
        <f>IF(EXACT(Asistencia!G126,"DL"),1,0)</f>
        <v>0</v>
      </c>
      <c r="BA121">
        <f>IF(EXACT(Asistencia!H126,"DL"),1,0)</f>
        <v>0</v>
      </c>
      <c r="BB121">
        <f>IF(EXACT(Asistencia!I126,"DL"),1,0)</f>
        <v>0</v>
      </c>
      <c r="BC121">
        <f>IF(EXACT(Asistencia!J126,"DL"),1,0)</f>
        <v>0</v>
      </c>
      <c r="BD121">
        <f>IF(EXACT(Asistencia!K126,"DL"),1,0)</f>
        <v>0</v>
      </c>
      <c r="BE121">
        <f>IF(EXACT(Asistencia!L126,"DL"),1,0)</f>
        <v>0</v>
      </c>
      <c r="BF121">
        <f t="shared" si="64"/>
        <v>0</v>
      </c>
      <c r="BG121">
        <f>IF(ISNUMBER(Asistencia!M126),Asistencia!M126,0)</f>
        <v>0</v>
      </c>
      <c r="BH121">
        <f>IF(ISNUMBER(Asistencia!N126),Asistencia!N126,0)</f>
        <v>0</v>
      </c>
      <c r="BI121">
        <f>IF(ISNUMBER(Asistencia!O126),Asistencia!O126,0)</f>
        <v>0</v>
      </c>
      <c r="BJ121">
        <f>IF(ISNUMBER(Asistencia!P126),Asistencia!P126,0)</f>
        <v>0</v>
      </c>
      <c r="BK121" t="str">
        <f>IF(Asistencia!F126="","",Asistencia!F126)</f>
        <v/>
      </c>
      <c r="BL121" t="str">
        <f>IF(Asistencia!G126="","",Asistencia!G126)</f>
        <v/>
      </c>
      <c r="BM121" t="str">
        <f>IF(Asistencia!H126="","",Asistencia!H126)</f>
        <v/>
      </c>
      <c r="BN121" t="str">
        <f>IF(Asistencia!I126="","",Asistencia!I126)</f>
        <v/>
      </c>
      <c r="BO121" t="str">
        <f>IF(Asistencia!J126="","",Asistencia!J126)</f>
        <v/>
      </c>
      <c r="BP121" t="str">
        <f>IF(Asistencia!K126="","",Asistencia!K126)</f>
        <v/>
      </c>
      <c r="BQ121" t="str">
        <f>IF(Asistencia!L126="","",Asistencia!L126)</f>
        <v/>
      </c>
    </row>
    <row r="122" spans="1:69" ht="15.75" customHeight="1" x14ac:dyDescent="0.25">
      <c r="A122" s="46" t="str">
        <f t="shared" si="65"/>
        <v/>
      </c>
      <c r="B122" s="47" t="str">
        <f t="shared" si="66"/>
        <v/>
      </c>
      <c r="C122" s="47"/>
      <c r="D122" s="47"/>
      <c r="E122" s="46" t="str">
        <f t="shared" si="67"/>
        <v/>
      </c>
      <c r="F122" s="45" t="str">
        <f t="shared" si="68"/>
        <v/>
      </c>
      <c r="G122" s="44" t="str">
        <f t="shared" si="69"/>
        <v/>
      </c>
      <c r="H122" s="44" t="str">
        <f t="shared" si="70"/>
        <v/>
      </c>
      <c r="I122" s="44" t="str">
        <f t="shared" si="71"/>
        <v/>
      </c>
      <c r="J122" s="44" t="str">
        <f t="shared" si="72"/>
        <v/>
      </c>
      <c r="K122" s="44" t="str">
        <f t="shared" si="73"/>
        <v/>
      </c>
      <c r="L122" s="44" t="str">
        <f t="shared" si="74"/>
        <v/>
      </c>
      <c r="M122" s="43" t="str">
        <f t="shared" si="75"/>
        <v/>
      </c>
      <c r="N122" s="41" t="str">
        <f t="shared" si="76"/>
        <v/>
      </c>
      <c r="O122" s="41" t="str">
        <f t="shared" si="77"/>
        <v/>
      </c>
      <c r="P122" s="41" t="str">
        <f t="shared" si="78"/>
        <v/>
      </c>
      <c r="Q122" s="41" t="str">
        <f t="shared" si="79"/>
        <v/>
      </c>
      <c r="R122" s="41" t="str">
        <f t="shared" si="80"/>
        <v/>
      </c>
      <c r="S122" s="41"/>
      <c r="T122" s="48"/>
      <c r="U122" s="41" t="str">
        <f t="shared" si="81"/>
        <v/>
      </c>
      <c r="V122" s="41"/>
      <c r="W122" s="42" t="str">
        <f t="shared" si="82"/>
        <v/>
      </c>
      <c r="Y122" t="str">
        <f>IFERROR(MATCH(118,$AH$5:$AH$323,0),"")</f>
        <v/>
      </c>
      <c r="Z122" t="str">
        <f t="shared" si="83"/>
        <v/>
      </c>
      <c r="AA122" t="str">
        <f t="shared" si="61"/>
        <v/>
      </c>
      <c r="AB122" t="str">
        <f>IF(Asistencia!A127="","",Asistencia!A127)</f>
        <v/>
      </c>
      <c r="AC122" t="str">
        <f>IF(Asistencia!A127="","",SUBSTITUTE(SUBSTITUTE(SUBSTITUTE(SUBSTITUTE(SUBSTITUTE(SUBSTITUTE(SUBSTITUTE(UPPER(TRIM(Asistencia!A127)),"Á","A"),"É","E"),"Í","I"),"Ó","O"),"Ú","U"),"Ñ","N"),"  "," "))</f>
        <v/>
      </c>
      <c r="AD122" t="str">
        <f>IF(Asistencia!E127="","",Asistencia!E127)</f>
        <v/>
      </c>
      <c r="AE122" t="str">
        <f>IF(Asistencia!D127="","",UPPER(TRIM(Asistencia!D127)))</f>
        <v/>
      </c>
      <c r="AF122" t="s">
        <v>190</v>
      </c>
      <c r="AG122">
        <f>IF(AND(AA122&lt;&gt;"",COUNTIF($AA$5:AA122,AA122)=1),1,0)</f>
        <v>0</v>
      </c>
      <c r="AH122" t="str">
        <f>IF(AG122=1,SUM($AG$5:AG122),"")</f>
        <v/>
      </c>
      <c r="AI122">
        <f>IF(OR(EXACT(Asistencia!F127,"A"),EXACT(Asistencia!F127,"R"),EXACT(Asistencia!F127,"DL"),EXACT(Asistencia!F127,"FL"),EXACT(Asistencia!F127,"FE"),EXACT(Asistencia!F127,"PCS"),EXACT(Asistencia!F127,"V")),1,0)</f>
        <v>0</v>
      </c>
      <c r="AJ122">
        <f>IF(OR(EXACT(Asistencia!G127,"A"),EXACT(Asistencia!G127,"R"),EXACT(Asistencia!G127,"DL"),EXACT(Asistencia!G127,"FL"),EXACT(Asistencia!G127,"FE"),EXACT(Asistencia!G127,"PCS"),EXACT(Asistencia!G127,"V")),1,0)</f>
        <v>0</v>
      </c>
      <c r="AK122">
        <f>IF(OR(EXACT(Asistencia!H127,"A"),EXACT(Asistencia!H127,"R"),EXACT(Asistencia!H127,"DL"),EXACT(Asistencia!H127,"FL"),EXACT(Asistencia!H127,"FE"),EXACT(Asistencia!H127,"PCS"),EXACT(Asistencia!H127,"V")),1,0)</f>
        <v>0</v>
      </c>
      <c r="AL122">
        <f>IF(OR(EXACT(Asistencia!I127,"A"),EXACT(Asistencia!I127,"R"),EXACT(Asistencia!I127,"DL"),EXACT(Asistencia!I127,"FL"),EXACT(Asistencia!I127,"FE"),EXACT(Asistencia!I127,"PCS"),EXACT(Asistencia!I127,"V")),1,0)</f>
        <v>0</v>
      </c>
      <c r="AM122">
        <f>IF(OR(EXACT(Asistencia!J127,"A"),EXACT(Asistencia!J127,"R"),EXACT(Asistencia!J127,"DL"),EXACT(Asistencia!J127,"FL"),EXACT(Asistencia!J127,"FE"),EXACT(Asistencia!J127,"PCS"),EXACT(Asistencia!J127,"V")),1,0)</f>
        <v>0</v>
      </c>
      <c r="AN122">
        <f>IF(OR(EXACT(Asistencia!K127,"A"),EXACT(Asistencia!K127,"R"),EXACT(Asistencia!K127,"DL"),EXACT(Asistencia!K127,"FL"),EXACT(Asistencia!K127,"FE"),EXACT(Asistencia!K127,"PCS"),EXACT(Asistencia!K127,"V")),1,0)</f>
        <v>0</v>
      </c>
      <c r="AO122">
        <f>IF(OR(EXACT(Asistencia!L127,"A"),EXACT(Asistencia!L127,"R"),EXACT(Asistencia!L127,"DL"),EXACT(Asistencia!L127,"FL"),EXACT(Asistencia!L127,"FE"),EXACT(Asistencia!L127,"PCS"),EXACT(Asistencia!L127,"V")),1,0)</f>
        <v>0</v>
      </c>
      <c r="AP122">
        <f t="shared" si="62"/>
        <v>0</v>
      </c>
      <c r="AQ122">
        <f>IF(EXACT(Asistencia!F127,"FL"),1,0)</f>
        <v>0</v>
      </c>
      <c r="AR122">
        <f>IF(EXACT(Asistencia!G127,"FL"),1,0)</f>
        <v>0</v>
      </c>
      <c r="AS122">
        <f>IF(EXACT(Asistencia!H127,"FL"),1,0)</f>
        <v>0</v>
      </c>
      <c r="AT122">
        <f>IF(EXACT(Asistencia!I127,"FL"),1,0)</f>
        <v>0</v>
      </c>
      <c r="AU122">
        <f>IF(EXACT(Asistencia!J127,"FL"),1,0)</f>
        <v>0</v>
      </c>
      <c r="AV122">
        <f>IF(EXACT(Asistencia!K127,"FL"),1,0)</f>
        <v>0</v>
      </c>
      <c r="AW122">
        <f>IF(EXACT(Asistencia!L127,"FL"),1,0)</f>
        <v>0</v>
      </c>
      <c r="AX122">
        <f t="shared" si="63"/>
        <v>0</v>
      </c>
      <c r="AY122">
        <f>IF(EXACT(Asistencia!F127,"DL"),1,0)</f>
        <v>0</v>
      </c>
      <c r="AZ122">
        <f>IF(EXACT(Asistencia!G127,"DL"),1,0)</f>
        <v>0</v>
      </c>
      <c r="BA122">
        <f>IF(EXACT(Asistencia!H127,"DL"),1,0)</f>
        <v>0</v>
      </c>
      <c r="BB122">
        <f>IF(EXACT(Asistencia!I127,"DL"),1,0)</f>
        <v>0</v>
      </c>
      <c r="BC122">
        <f>IF(EXACT(Asistencia!J127,"DL"),1,0)</f>
        <v>0</v>
      </c>
      <c r="BD122">
        <f>IF(EXACT(Asistencia!K127,"DL"),1,0)</f>
        <v>0</v>
      </c>
      <c r="BE122">
        <f>IF(EXACT(Asistencia!L127,"DL"),1,0)</f>
        <v>0</v>
      </c>
      <c r="BF122">
        <f t="shared" si="64"/>
        <v>0</v>
      </c>
      <c r="BG122">
        <f>IF(ISNUMBER(Asistencia!M127),Asistencia!M127,0)</f>
        <v>0</v>
      </c>
      <c r="BH122">
        <f>IF(ISNUMBER(Asistencia!N127),Asistencia!N127,0)</f>
        <v>0</v>
      </c>
      <c r="BI122">
        <f>IF(ISNUMBER(Asistencia!O127),Asistencia!O127,0)</f>
        <v>0</v>
      </c>
      <c r="BJ122">
        <f>IF(ISNUMBER(Asistencia!P127),Asistencia!P127,0)</f>
        <v>0</v>
      </c>
      <c r="BK122" t="str">
        <f>IF(Asistencia!F127="","",Asistencia!F127)</f>
        <v/>
      </c>
      <c r="BL122" t="str">
        <f>IF(Asistencia!G127="","",Asistencia!G127)</f>
        <v/>
      </c>
      <c r="BM122" t="str">
        <f>IF(Asistencia!H127="","",Asistencia!H127)</f>
        <v/>
      </c>
      <c r="BN122" t="str">
        <f>IF(Asistencia!I127="","",Asistencia!I127)</f>
        <v/>
      </c>
      <c r="BO122" t="str">
        <f>IF(Asistencia!J127="","",Asistencia!J127)</f>
        <v/>
      </c>
      <c r="BP122" t="str">
        <f>IF(Asistencia!K127="","",Asistencia!K127)</f>
        <v/>
      </c>
      <c r="BQ122" t="str">
        <f>IF(Asistencia!L127="","",Asistencia!L127)</f>
        <v/>
      </c>
    </row>
    <row r="123" spans="1:69" ht="15.75" customHeight="1" x14ac:dyDescent="0.25">
      <c r="A123" s="46" t="str">
        <f t="shared" si="65"/>
        <v/>
      </c>
      <c r="B123" s="47" t="str">
        <f t="shared" si="66"/>
        <v/>
      </c>
      <c r="C123" s="47"/>
      <c r="D123" s="47"/>
      <c r="E123" s="46" t="str">
        <f t="shared" si="67"/>
        <v/>
      </c>
      <c r="F123" s="45" t="str">
        <f t="shared" si="68"/>
        <v/>
      </c>
      <c r="G123" s="44" t="str">
        <f t="shared" si="69"/>
        <v/>
      </c>
      <c r="H123" s="44" t="str">
        <f t="shared" si="70"/>
        <v/>
      </c>
      <c r="I123" s="44" t="str">
        <f t="shared" si="71"/>
        <v/>
      </c>
      <c r="J123" s="44" t="str">
        <f t="shared" si="72"/>
        <v/>
      </c>
      <c r="K123" s="44" t="str">
        <f t="shared" si="73"/>
        <v/>
      </c>
      <c r="L123" s="44" t="str">
        <f t="shared" si="74"/>
        <v/>
      </c>
      <c r="M123" s="43" t="str">
        <f t="shared" si="75"/>
        <v/>
      </c>
      <c r="N123" s="41" t="str">
        <f t="shared" si="76"/>
        <v/>
      </c>
      <c r="O123" s="41" t="str">
        <f t="shared" si="77"/>
        <v/>
      </c>
      <c r="P123" s="41" t="str">
        <f t="shared" si="78"/>
        <v/>
      </c>
      <c r="Q123" s="41" t="str">
        <f t="shared" si="79"/>
        <v/>
      </c>
      <c r="R123" s="41" t="str">
        <f t="shared" si="80"/>
        <v/>
      </c>
      <c r="S123" s="41"/>
      <c r="T123" s="48"/>
      <c r="U123" s="41" t="str">
        <f t="shared" si="81"/>
        <v/>
      </c>
      <c r="V123" s="41"/>
      <c r="W123" s="42" t="str">
        <f t="shared" si="82"/>
        <v/>
      </c>
      <c r="Y123" t="str">
        <f>IFERROR(MATCH(119,$AH$5:$AH$323,0),"")</f>
        <v/>
      </c>
      <c r="Z123" t="str">
        <f t="shared" si="83"/>
        <v/>
      </c>
      <c r="AA123" t="str">
        <f t="shared" si="61"/>
        <v/>
      </c>
      <c r="AB123" t="str">
        <f>IF(Asistencia!A128="","",Asistencia!A128)</f>
        <v/>
      </c>
      <c r="AC123" t="str">
        <f>IF(Asistencia!A128="","",SUBSTITUTE(SUBSTITUTE(SUBSTITUTE(SUBSTITUTE(SUBSTITUTE(SUBSTITUTE(SUBSTITUTE(UPPER(TRIM(Asistencia!A128)),"Á","A"),"É","E"),"Í","I"),"Ó","O"),"Ú","U"),"Ñ","N"),"  "," "))</f>
        <v/>
      </c>
      <c r="AD123" t="str">
        <f>IF(Asistencia!E128="","",Asistencia!E128)</f>
        <v/>
      </c>
      <c r="AE123" t="str">
        <f>IF(Asistencia!D128="","",UPPER(TRIM(Asistencia!D128)))</f>
        <v/>
      </c>
      <c r="AF123" t="s">
        <v>190</v>
      </c>
      <c r="AG123">
        <f>IF(AND(AA123&lt;&gt;"",COUNTIF($AA$5:AA123,AA123)=1),1,0)</f>
        <v>0</v>
      </c>
      <c r="AH123" t="str">
        <f>IF(AG123=1,SUM($AG$5:AG123),"")</f>
        <v/>
      </c>
      <c r="AI123">
        <f>IF(OR(EXACT(Asistencia!F128,"A"),EXACT(Asistencia!F128,"R"),EXACT(Asistencia!F128,"DL"),EXACT(Asistencia!F128,"FL"),EXACT(Asistencia!F128,"FE"),EXACT(Asistencia!F128,"PCS"),EXACT(Asistencia!F128,"V")),1,0)</f>
        <v>0</v>
      </c>
      <c r="AJ123">
        <f>IF(OR(EXACT(Asistencia!G128,"A"),EXACT(Asistencia!G128,"R"),EXACT(Asistencia!G128,"DL"),EXACT(Asistencia!G128,"FL"),EXACT(Asistencia!G128,"FE"),EXACT(Asistencia!G128,"PCS"),EXACT(Asistencia!G128,"V")),1,0)</f>
        <v>0</v>
      </c>
      <c r="AK123">
        <f>IF(OR(EXACT(Asistencia!H128,"A"),EXACT(Asistencia!H128,"R"),EXACT(Asistencia!H128,"DL"),EXACT(Asistencia!H128,"FL"),EXACT(Asistencia!H128,"FE"),EXACT(Asistencia!H128,"PCS"),EXACT(Asistencia!H128,"V")),1,0)</f>
        <v>0</v>
      </c>
      <c r="AL123">
        <f>IF(OR(EXACT(Asistencia!I128,"A"),EXACT(Asistencia!I128,"R"),EXACT(Asistencia!I128,"DL"),EXACT(Asistencia!I128,"FL"),EXACT(Asistencia!I128,"FE"),EXACT(Asistencia!I128,"PCS"),EXACT(Asistencia!I128,"V")),1,0)</f>
        <v>0</v>
      </c>
      <c r="AM123">
        <f>IF(OR(EXACT(Asistencia!J128,"A"),EXACT(Asistencia!J128,"R"),EXACT(Asistencia!J128,"DL"),EXACT(Asistencia!J128,"FL"),EXACT(Asistencia!J128,"FE"),EXACT(Asistencia!J128,"PCS"),EXACT(Asistencia!J128,"V")),1,0)</f>
        <v>0</v>
      </c>
      <c r="AN123">
        <f>IF(OR(EXACT(Asistencia!K128,"A"),EXACT(Asistencia!K128,"R"),EXACT(Asistencia!K128,"DL"),EXACT(Asistencia!K128,"FL"),EXACT(Asistencia!K128,"FE"),EXACT(Asistencia!K128,"PCS"),EXACT(Asistencia!K128,"V")),1,0)</f>
        <v>0</v>
      </c>
      <c r="AO123">
        <f>IF(OR(EXACT(Asistencia!L128,"A"),EXACT(Asistencia!L128,"R"),EXACT(Asistencia!L128,"DL"),EXACT(Asistencia!L128,"FL"),EXACT(Asistencia!L128,"FE"),EXACT(Asistencia!L128,"PCS"),EXACT(Asistencia!L128,"V")),1,0)</f>
        <v>0</v>
      </c>
      <c r="AP123">
        <f t="shared" si="62"/>
        <v>0</v>
      </c>
      <c r="AQ123">
        <f>IF(EXACT(Asistencia!F128,"FL"),1,0)</f>
        <v>0</v>
      </c>
      <c r="AR123">
        <f>IF(EXACT(Asistencia!G128,"FL"),1,0)</f>
        <v>0</v>
      </c>
      <c r="AS123">
        <f>IF(EXACT(Asistencia!H128,"FL"),1,0)</f>
        <v>0</v>
      </c>
      <c r="AT123">
        <f>IF(EXACT(Asistencia!I128,"FL"),1,0)</f>
        <v>0</v>
      </c>
      <c r="AU123">
        <f>IF(EXACT(Asistencia!J128,"FL"),1,0)</f>
        <v>0</v>
      </c>
      <c r="AV123">
        <f>IF(EXACT(Asistencia!K128,"FL"),1,0)</f>
        <v>0</v>
      </c>
      <c r="AW123">
        <f>IF(EXACT(Asistencia!L128,"FL"),1,0)</f>
        <v>0</v>
      </c>
      <c r="AX123">
        <f t="shared" si="63"/>
        <v>0</v>
      </c>
      <c r="AY123">
        <f>IF(EXACT(Asistencia!F128,"DL"),1,0)</f>
        <v>0</v>
      </c>
      <c r="AZ123">
        <f>IF(EXACT(Asistencia!G128,"DL"),1,0)</f>
        <v>0</v>
      </c>
      <c r="BA123">
        <f>IF(EXACT(Asistencia!H128,"DL"),1,0)</f>
        <v>0</v>
      </c>
      <c r="BB123">
        <f>IF(EXACT(Asistencia!I128,"DL"),1,0)</f>
        <v>0</v>
      </c>
      <c r="BC123">
        <f>IF(EXACT(Asistencia!J128,"DL"),1,0)</f>
        <v>0</v>
      </c>
      <c r="BD123">
        <f>IF(EXACT(Asistencia!K128,"DL"),1,0)</f>
        <v>0</v>
      </c>
      <c r="BE123">
        <f>IF(EXACT(Asistencia!L128,"DL"),1,0)</f>
        <v>0</v>
      </c>
      <c r="BF123">
        <f t="shared" si="64"/>
        <v>0</v>
      </c>
      <c r="BG123">
        <f>IF(ISNUMBER(Asistencia!M128),Asistencia!M128,0)</f>
        <v>0</v>
      </c>
      <c r="BH123">
        <f>IF(ISNUMBER(Asistencia!N128),Asistencia!N128,0)</f>
        <v>0</v>
      </c>
      <c r="BI123">
        <f>IF(ISNUMBER(Asistencia!O128),Asistencia!O128,0)</f>
        <v>0</v>
      </c>
      <c r="BJ123">
        <f>IF(ISNUMBER(Asistencia!P128),Asistencia!P128,0)</f>
        <v>0</v>
      </c>
      <c r="BK123" t="str">
        <f>IF(Asistencia!F128="","",Asistencia!F128)</f>
        <v/>
      </c>
      <c r="BL123" t="str">
        <f>IF(Asistencia!G128="","",Asistencia!G128)</f>
        <v/>
      </c>
      <c r="BM123" t="str">
        <f>IF(Asistencia!H128="","",Asistencia!H128)</f>
        <v/>
      </c>
      <c r="BN123" t="str">
        <f>IF(Asistencia!I128="","",Asistencia!I128)</f>
        <v/>
      </c>
      <c r="BO123" t="str">
        <f>IF(Asistencia!J128="","",Asistencia!J128)</f>
        <v/>
      </c>
      <c r="BP123" t="str">
        <f>IF(Asistencia!K128="","",Asistencia!K128)</f>
        <v/>
      </c>
      <c r="BQ123" t="str">
        <f>IF(Asistencia!L128="","",Asistencia!L128)</f>
        <v/>
      </c>
    </row>
    <row r="124" spans="1:69" ht="15.75" customHeight="1" x14ac:dyDescent="0.25">
      <c r="A124" s="46" t="str">
        <f t="shared" si="65"/>
        <v/>
      </c>
      <c r="B124" s="47" t="str">
        <f t="shared" si="66"/>
        <v/>
      </c>
      <c r="C124" s="47"/>
      <c r="D124" s="47"/>
      <c r="E124" s="46" t="str">
        <f t="shared" si="67"/>
        <v/>
      </c>
      <c r="F124" s="45" t="str">
        <f t="shared" si="68"/>
        <v/>
      </c>
      <c r="G124" s="44" t="str">
        <f t="shared" si="69"/>
        <v/>
      </c>
      <c r="H124" s="44" t="str">
        <f t="shared" si="70"/>
        <v/>
      </c>
      <c r="I124" s="44" t="str">
        <f t="shared" si="71"/>
        <v/>
      </c>
      <c r="J124" s="44" t="str">
        <f t="shared" si="72"/>
        <v/>
      </c>
      <c r="K124" s="44" t="str">
        <f t="shared" si="73"/>
        <v/>
      </c>
      <c r="L124" s="44" t="str">
        <f t="shared" si="74"/>
        <v/>
      </c>
      <c r="M124" s="43" t="str">
        <f t="shared" si="75"/>
        <v/>
      </c>
      <c r="N124" s="41" t="str">
        <f t="shared" si="76"/>
        <v/>
      </c>
      <c r="O124" s="41" t="str">
        <f t="shared" si="77"/>
        <v/>
      </c>
      <c r="P124" s="41" t="str">
        <f t="shared" si="78"/>
        <v/>
      </c>
      <c r="Q124" s="41" t="str">
        <f t="shared" si="79"/>
        <v/>
      </c>
      <c r="R124" s="41" t="str">
        <f t="shared" si="80"/>
        <v/>
      </c>
      <c r="S124" s="41"/>
      <c r="T124" s="48"/>
      <c r="U124" s="41" t="str">
        <f t="shared" si="81"/>
        <v/>
      </c>
      <c r="V124" s="41"/>
      <c r="W124" s="42" t="str">
        <f t="shared" si="82"/>
        <v/>
      </c>
      <c r="Y124" t="str">
        <f>IFERROR(MATCH(120,$AH$5:$AH$323,0),"")</f>
        <v/>
      </c>
      <c r="Z124" t="str">
        <f t="shared" si="83"/>
        <v/>
      </c>
      <c r="AA124" t="str">
        <f t="shared" si="61"/>
        <v/>
      </c>
      <c r="AB124" t="str">
        <f>IF(Asistencia!A129="","",Asistencia!A129)</f>
        <v/>
      </c>
      <c r="AC124" t="str">
        <f>IF(Asistencia!A129="","",SUBSTITUTE(SUBSTITUTE(SUBSTITUTE(SUBSTITUTE(SUBSTITUTE(SUBSTITUTE(SUBSTITUTE(UPPER(TRIM(Asistencia!A129)),"Á","A"),"É","E"),"Í","I"),"Ó","O"),"Ú","U"),"Ñ","N"),"  "," "))</f>
        <v/>
      </c>
      <c r="AD124" t="str">
        <f>IF(Asistencia!E129="","",Asistencia!E129)</f>
        <v/>
      </c>
      <c r="AE124" t="str">
        <f>IF(Asistencia!D129="","",UPPER(TRIM(Asistencia!D129)))</f>
        <v/>
      </c>
      <c r="AF124" t="s">
        <v>190</v>
      </c>
      <c r="AG124">
        <f>IF(AND(AA124&lt;&gt;"",COUNTIF($AA$5:AA124,AA124)=1),1,0)</f>
        <v>0</v>
      </c>
      <c r="AH124" t="str">
        <f>IF(AG124=1,SUM($AG$5:AG124),"")</f>
        <v/>
      </c>
      <c r="AI124">
        <f>IF(OR(EXACT(Asistencia!F129,"A"),EXACT(Asistencia!F129,"R"),EXACT(Asistencia!F129,"DL"),EXACT(Asistencia!F129,"FL"),EXACT(Asistencia!F129,"FE"),EXACT(Asistencia!F129,"PCS"),EXACT(Asistencia!F129,"V")),1,0)</f>
        <v>0</v>
      </c>
      <c r="AJ124">
        <f>IF(OR(EXACT(Asistencia!G129,"A"),EXACT(Asistencia!G129,"R"),EXACT(Asistencia!G129,"DL"),EXACT(Asistencia!G129,"FL"),EXACT(Asistencia!G129,"FE"),EXACT(Asistencia!G129,"PCS"),EXACT(Asistencia!G129,"V")),1,0)</f>
        <v>0</v>
      </c>
      <c r="AK124">
        <f>IF(OR(EXACT(Asistencia!H129,"A"),EXACT(Asistencia!H129,"R"),EXACT(Asistencia!H129,"DL"),EXACT(Asistencia!H129,"FL"),EXACT(Asistencia!H129,"FE"),EXACT(Asistencia!H129,"PCS"),EXACT(Asistencia!H129,"V")),1,0)</f>
        <v>0</v>
      </c>
      <c r="AL124">
        <f>IF(OR(EXACT(Asistencia!I129,"A"),EXACT(Asistencia!I129,"R"),EXACT(Asistencia!I129,"DL"),EXACT(Asistencia!I129,"FL"),EXACT(Asistencia!I129,"FE"),EXACT(Asistencia!I129,"PCS"),EXACT(Asistencia!I129,"V")),1,0)</f>
        <v>0</v>
      </c>
      <c r="AM124">
        <f>IF(OR(EXACT(Asistencia!J129,"A"),EXACT(Asistencia!J129,"R"),EXACT(Asistencia!J129,"DL"),EXACT(Asistencia!J129,"FL"),EXACT(Asistencia!J129,"FE"),EXACT(Asistencia!J129,"PCS"),EXACT(Asistencia!J129,"V")),1,0)</f>
        <v>0</v>
      </c>
      <c r="AN124">
        <f>IF(OR(EXACT(Asistencia!K129,"A"),EXACT(Asistencia!K129,"R"),EXACT(Asistencia!K129,"DL"),EXACT(Asistencia!K129,"FL"),EXACT(Asistencia!K129,"FE"),EXACT(Asistencia!K129,"PCS"),EXACT(Asistencia!K129,"V")),1,0)</f>
        <v>0</v>
      </c>
      <c r="AO124">
        <f>IF(OR(EXACT(Asistencia!L129,"A"),EXACT(Asistencia!L129,"R"),EXACT(Asistencia!L129,"DL"),EXACT(Asistencia!L129,"FL"),EXACT(Asistencia!L129,"FE"),EXACT(Asistencia!L129,"PCS"),EXACT(Asistencia!L129,"V")),1,0)</f>
        <v>0</v>
      </c>
      <c r="AP124">
        <f t="shared" si="62"/>
        <v>0</v>
      </c>
      <c r="AQ124">
        <f>IF(EXACT(Asistencia!F129,"FL"),1,0)</f>
        <v>0</v>
      </c>
      <c r="AR124">
        <f>IF(EXACT(Asistencia!G129,"FL"),1,0)</f>
        <v>0</v>
      </c>
      <c r="AS124">
        <f>IF(EXACT(Asistencia!H129,"FL"),1,0)</f>
        <v>0</v>
      </c>
      <c r="AT124">
        <f>IF(EXACT(Asistencia!I129,"FL"),1,0)</f>
        <v>0</v>
      </c>
      <c r="AU124">
        <f>IF(EXACT(Asistencia!J129,"FL"),1,0)</f>
        <v>0</v>
      </c>
      <c r="AV124">
        <f>IF(EXACT(Asistencia!K129,"FL"),1,0)</f>
        <v>0</v>
      </c>
      <c r="AW124">
        <f>IF(EXACT(Asistencia!L129,"FL"),1,0)</f>
        <v>0</v>
      </c>
      <c r="AX124">
        <f t="shared" si="63"/>
        <v>0</v>
      </c>
      <c r="AY124">
        <f>IF(EXACT(Asistencia!F129,"DL"),1,0)</f>
        <v>0</v>
      </c>
      <c r="AZ124">
        <f>IF(EXACT(Asistencia!G129,"DL"),1,0)</f>
        <v>0</v>
      </c>
      <c r="BA124">
        <f>IF(EXACT(Asistencia!H129,"DL"),1,0)</f>
        <v>0</v>
      </c>
      <c r="BB124">
        <f>IF(EXACT(Asistencia!I129,"DL"),1,0)</f>
        <v>0</v>
      </c>
      <c r="BC124">
        <f>IF(EXACT(Asistencia!J129,"DL"),1,0)</f>
        <v>0</v>
      </c>
      <c r="BD124">
        <f>IF(EXACT(Asistencia!K129,"DL"),1,0)</f>
        <v>0</v>
      </c>
      <c r="BE124">
        <f>IF(EXACT(Asistencia!L129,"DL"),1,0)</f>
        <v>0</v>
      </c>
      <c r="BF124">
        <f t="shared" si="64"/>
        <v>0</v>
      </c>
      <c r="BG124">
        <f>IF(ISNUMBER(Asistencia!M129),Asistencia!M129,0)</f>
        <v>0</v>
      </c>
      <c r="BH124">
        <f>IF(ISNUMBER(Asistencia!N129),Asistencia!N129,0)</f>
        <v>0</v>
      </c>
      <c r="BI124">
        <f>IF(ISNUMBER(Asistencia!O129),Asistencia!O129,0)</f>
        <v>0</v>
      </c>
      <c r="BJ124">
        <f>IF(ISNUMBER(Asistencia!P129),Asistencia!P129,0)</f>
        <v>0</v>
      </c>
      <c r="BK124" t="str">
        <f>IF(Asistencia!F129="","",Asistencia!F129)</f>
        <v/>
      </c>
      <c r="BL124" t="str">
        <f>IF(Asistencia!G129="","",Asistencia!G129)</f>
        <v/>
      </c>
      <c r="BM124" t="str">
        <f>IF(Asistencia!H129="","",Asistencia!H129)</f>
        <v/>
      </c>
      <c r="BN124" t="str">
        <f>IF(Asistencia!I129="","",Asistencia!I129)</f>
        <v/>
      </c>
      <c r="BO124" t="str">
        <f>IF(Asistencia!J129="","",Asistencia!J129)</f>
        <v/>
      </c>
      <c r="BP124" t="str">
        <f>IF(Asistencia!K129="","",Asistencia!K129)</f>
        <v/>
      </c>
      <c r="BQ124" t="str">
        <f>IF(Asistencia!L129="","",Asistencia!L129)</f>
        <v/>
      </c>
    </row>
    <row r="125" spans="1:69" x14ac:dyDescent="0.25">
      <c r="A125" s="46"/>
      <c r="B125" s="47"/>
      <c r="C125" s="47"/>
      <c r="D125" s="47"/>
      <c r="E125" s="46"/>
      <c r="F125" s="45"/>
      <c r="G125" s="44"/>
      <c r="H125" s="44"/>
      <c r="I125" s="44"/>
      <c r="J125" s="44"/>
      <c r="K125" s="44"/>
      <c r="L125" s="44"/>
      <c r="M125" s="43"/>
      <c r="N125" s="41"/>
      <c r="O125" s="41"/>
      <c r="P125" s="41"/>
      <c r="Q125" s="41"/>
      <c r="R125" s="41"/>
      <c r="S125" s="41"/>
      <c r="T125" s="48"/>
      <c r="U125" s="41"/>
      <c r="V125" s="41"/>
      <c r="W125" s="42"/>
      <c r="AA125" t="str">
        <f t="shared" si="61"/>
        <v/>
      </c>
      <c r="AB125" t="str">
        <f>IF(Asistencia!A132="","",Asistencia!A132)</f>
        <v/>
      </c>
      <c r="AC125" t="str">
        <f>IF(Asistencia!A132="","",SUBSTITUTE(SUBSTITUTE(SUBSTITUTE(SUBSTITUTE(SUBSTITUTE(SUBSTITUTE(SUBSTITUTE(UPPER(TRIM(Asistencia!A132)),"Á","A"),"É","E"),"Í","I"),"Ó","O"),"Ú","U"),"Ñ","N"),"  "," "))</f>
        <v/>
      </c>
      <c r="AD125" t="str">
        <f>IF(Asistencia!E132="","",Asistencia!E132)</f>
        <v/>
      </c>
      <c r="AE125" t="str">
        <f>IF(Asistencia!D132="","",UPPER(TRIM(Asistencia!D132)))</f>
        <v/>
      </c>
      <c r="AF125" t="s">
        <v>192</v>
      </c>
      <c r="AG125">
        <f>IF(AND(AA125&lt;&gt;"",COUNTIF($AA$5:AA125,AA125)=1),1,0)</f>
        <v>0</v>
      </c>
      <c r="AH125" t="str">
        <f>IF(AG125=1,SUM($AG$5:AG125),"")</f>
        <v/>
      </c>
      <c r="AI125">
        <f>IF(OR(EXACT(Asistencia!F132,"A"),EXACT(Asistencia!F132,"R"),EXACT(Asistencia!F132,"DL"),EXACT(Asistencia!F132,"FL"),EXACT(Asistencia!F132,"FE"),EXACT(Asistencia!F132,"PCS"),EXACT(Asistencia!F132,"V")),1,0)</f>
        <v>0</v>
      </c>
      <c r="AJ125">
        <f>IF(OR(EXACT(Asistencia!G132,"A"),EXACT(Asistencia!G132,"R"),EXACT(Asistencia!G132,"DL"),EXACT(Asistencia!G132,"FL"),EXACT(Asistencia!G132,"FE"),EXACT(Asistencia!G132,"PCS"),EXACT(Asistencia!G132,"V")),1,0)</f>
        <v>0</v>
      </c>
      <c r="AK125">
        <f>IF(OR(EXACT(Asistencia!H132,"A"),EXACT(Asistencia!H132,"R"),EXACT(Asistencia!H132,"DL"),EXACT(Asistencia!H132,"FL"),EXACT(Asistencia!H132,"FE"),EXACT(Asistencia!H132,"PCS"),EXACT(Asistencia!H132,"V")),1,0)</f>
        <v>0</v>
      </c>
      <c r="AL125">
        <f>IF(OR(EXACT(Asistencia!I132,"A"),EXACT(Asistencia!I132,"R"),EXACT(Asistencia!I132,"DL"),EXACT(Asistencia!I132,"FL"),EXACT(Asistencia!I132,"FE"),EXACT(Asistencia!I132,"PCS"),EXACT(Asistencia!I132,"V")),1,0)</f>
        <v>0</v>
      </c>
      <c r="AM125">
        <f>IF(OR(EXACT(Asistencia!J132,"A"),EXACT(Asistencia!J132,"R"),EXACT(Asistencia!J132,"DL"),EXACT(Asistencia!J132,"FL"),EXACT(Asistencia!J132,"FE"),EXACT(Asistencia!J132,"PCS"),EXACT(Asistencia!J132,"V")),1,0)</f>
        <v>0</v>
      </c>
      <c r="AN125">
        <f>IF(OR(EXACT(Asistencia!K132,"A"),EXACT(Asistencia!K132,"R"),EXACT(Asistencia!K132,"DL"),EXACT(Asistencia!K132,"FL"),EXACT(Asistencia!K132,"FE"),EXACT(Asistencia!K132,"PCS"),EXACT(Asistencia!K132,"V")),1,0)</f>
        <v>0</v>
      </c>
      <c r="AO125">
        <f>IF(OR(EXACT(Asistencia!L132,"A"),EXACT(Asistencia!L132,"R"),EXACT(Asistencia!L132,"DL"),EXACT(Asistencia!L132,"FL"),EXACT(Asistencia!L132,"FE"),EXACT(Asistencia!L132,"PCS"),EXACT(Asistencia!L132,"V")),1,0)</f>
        <v>0</v>
      </c>
      <c r="AP125">
        <f t="shared" si="62"/>
        <v>0</v>
      </c>
      <c r="AQ125">
        <f>IF(EXACT(Asistencia!F132,"FL"),1,0)</f>
        <v>0</v>
      </c>
      <c r="AR125">
        <f>IF(EXACT(Asistencia!G132,"FL"),1,0)</f>
        <v>0</v>
      </c>
      <c r="AS125">
        <f>IF(EXACT(Asistencia!H132,"FL"),1,0)</f>
        <v>0</v>
      </c>
      <c r="AT125">
        <f>IF(EXACT(Asistencia!I132,"FL"),1,0)</f>
        <v>0</v>
      </c>
      <c r="AU125">
        <f>IF(EXACT(Asistencia!J132,"FL"),1,0)</f>
        <v>0</v>
      </c>
      <c r="AV125">
        <f>IF(EXACT(Asistencia!K132,"FL"),1,0)</f>
        <v>0</v>
      </c>
      <c r="AW125">
        <f>IF(EXACT(Asistencia!L132,"FL"),1,0)</f>
        <v>0</v>
      </c>
      <c r="AX125">
        <f t="shared" si="63"/>
        <v>0</v>
      </c>
      <c r="AY125">
        <f>IF(EXACT(Asistencia!F132,"DL"),1,0)</f>
        <v>0</v>
      </c>
      <c r="AZ125">
        <f>IF(EXACT(Asistencia!G132,"DL"),1,0)</f>
        <v>0</v>
      </c>
      <c r="BA125">
        <f>IF(EXACT(Asistencia!H132,"DL"),1,0)</f>
        <v>0</v>
      </c>
      <c r="BB125">
        <f>IF(EXACT(Asistencia!I132,"DL"),1,0)</f>
        <v>0</v>
      </c>
      <c r="BC125">
        <f>IF(EXACT(Asistencia!J132,"DL"),1,0)</f>
        <v>0</v>
      </c>
      <c r="BD125">
        <f>IF(EXACT(Asistencia!K132,"DL"),1,0)</f>
        <v>0</v>
      </c>
      <c r="BE125">
        <f>IF(EXACT(Asistencia!L132,"DL"),1,0)</f>
        <v>0</v>
      </c>
      <c r="BF125">
        <f t="shared" si="64"/>
        <v>0</v>
      </c>
      <c r="BG125">
        <f>IF(ISNUMBER(Asistencia!M132),Asistencia!M132,0)</f>
        <v>0</v>
      </c>
      <c r="BH125">
        <f>IF(ISNUMBER(Asistencia!N132),Asistencia!N132,0)</f>
        <v>0</v>
      </c>
      <c r="BI125">
        <f>IF(ISNUMBER(Asistencia!O132),Asistencia!O132,0)</f>
        <v>0</v>
      </c>
      <c r="BJ125">
        <f>IF(ISNUMBER(Asistencia!P132),Asistencia!P132,0)</f>
        <v>0</v>
      </c>
      <c r="BK125" t="str">
        <f>IF(Asistencia!F132="","",Asistencia!F132)</f>
        <v/>
      </c>
      <c r="BL125" t="str">
        <f>IF(Asistencia!G132="","",Asistencia!G132)</f>
        <v/>
      </c>
      <c r="BM125" t="str">
        <f>IF(Asistencia!H132="","",Asistencia!H132)</f>
        <v/>
      </c>
      <c r="BN125" t="str">
        <f>IF(Asistencia!I132="","",Asistencia!I132)</f>
        <v/>
      </c>
      <c r="BO125" t="str">
        <f>IF(Asistencia!J132="","",Asistencia!J132)</f>
        <v/>
      </c>
      <c r="BP125" t="str">
        <f>IF(Asistencia!K132="","",Asistencia!K132)</f>
        <v/>
      </c>
      <c r="BQ125" t="str">
        <f>IF(Asistencia!L132="","",Asistencia!L132)</f>
        <v/>
      </c>
    </row>
    <row r="126" spans="1:69" x14ac:dyDescent="0.25">
      <c r="A126" s="46"/>
      <c r="B126" s="47"/>
      <c r="C126" s="47"/>
      <c r="D126" s="47"/>
      <c r="E126" s="46"/>
      <c r="F126" s="45"/>
      <c r="G126" s="44"/>
      <c r="H126" s="44"/>
      <c r="I126" s="44"/>
      <c r="J126" s="44"/>
      <c r="K126" s="44"/>
      <c r="L126" s="44"/>
      <c r="M126" s="43"/>
      <c r="N126" s="41"/>
      <c r="O126" s="41"/>
      <c r="P126" s="41"/>
      <c r="Q126" s="41"/>
      <c r="R126" s="41"/>
      <c r="S126" s="41"/>
      <c r="T126" s="48"/>
      <c r="U126" s="41"/>
      <c r="V126" s="41"/>
      <c r="W126" s="42"/>
      <c r="AA126" t="str">
        <f t="shared" si="61"/>
        <v/>
      </c>
      <c r="AB126" t="str">
        <f>IF(Asistencia!A133="","",Asistencia!A133)</f>
        <v/>
      </c>
      <c r="AC126" t="str">
        <f>IF(Asistencia!A133="","",SUBSTITUTE(SUBSTITUTE(SUBSTITUTE(SUBSTITUTE(SUBSTITUTE(SUBSTITUTE(SUBSTITUTE(UPPER(TRIM(Asistencia!A133)),"Á","A"),"É","E"),"Í","I"),"Ó","O"),"Ú","U"),"Ñ","N"),"  "," "))</f>
        <v/>
      </c>
      <c r="AD126" t="str">
        <f>IF(Asistencia!E133="","",Asistencia!E133)</f>
        <v/>
      </c>
      <c r="AE126" t="str">
        <f>IF(Asistencia!D133="","",UPPER(TRIM(Asistencia!D133)))</f>
        <v/>
      </c>
      <c r="AF126" t="s">
        <v>192</v>
      </c>
      <c r="AG126">
        <f>IF(AND(AA126&lt;&gt;"",COUNTIF($AA$5:AA126,AA126)=1),1,0)</f>
        <v>0</v>
      </c>
      <c r="AH126" t="str">
        <f>IF(AG126=1,SUM($AG$5:AG126),"")</f>
        <v/>
      </c>
      <c r="AI126">
        <f>IF(OR(EXACT(Asistencia!F133,"A"),EXACT(Asistencia!F133,"R"),EXACT(Asistencia!F133,"DL"),EXACT(Asistencia!F133,"FL"),EXACT(Asistencia!F133,"FE"),EXACT(Asistencia!F133,"PCS"),EXACT(Asistencia!F133,"V")),1,0)</f>
        <v>0</v>
      </c>
      <c r="AJ126">
        <f>IF(OR(EXACT(Asistencia!G133,"A"),EXACT(Asistencia!G133,"R"),EXACT(Asistencia!G133,"DL"),EXACT(Asistencia!G133,"FL"),EXACT(Asistencia!G133,"FE"),EXACT(Asistencia!G133,"PCS"),EXACT(Asistencia!G133,"V")),1,0)</f>
        <v>0</v>
      </c>
      <c r="AK126">
        <f>IF(OR(EXACT(Asistencia!H133,"A"),EXACT(Asistencia!H133,"R"),EXACT(Asistencia!H133,"DL"),EXACT(Asistencia!H133,"FL"),EXACT(Asistencia!H133,"FE"),EXACT(Asistencia!H133,"PCS"),EXACT(Asistencia!H133,"V")),1,0)</f>
        <v>0</v>
      </c>
      <c r="AL126">
        <f>IF(OR(EXACT(Asistencia!I133,"A"),EXACT(Asistencia!I133,"R"),EXACT(Asistencia!I133,"DL"),EXACT(Asistencia!I133,"FL"),EXACT(Asistencia!I133,"FE"),EXACT(Asistencia!I133,"PCS"),EXACT(Asistencia!I133,"V")),1,0)</f>
        <v>0</v>
      </c>
      <c r="AM126">
        <f>IF(OR(EXACT(Asistencia!J133,"A"),EXACT(Asistencia!J133,"R"),EXACT(Asistencia!J133,"DL"),EXACT(Asistencia!J133,"FL"),EXACT(Asistencia!J133,"FE"),EXACT(Asistencia!J133,"PCS"),EXACT(Asistencia!J133,"V")),1,0)</f>
        <v>0</v>
      </c>
      <c r="AN126">
        <f>IF(OR(EXACT(Asistencia!K133,"A"),EXACT(Asistencia!K133,"R"),EXACT(Asistencia!K133,"DL"),EXACT(Asistencia!K133,"FL"),EXACT(Asistencia!K133,"FE"),EXACT(Asistencia!K133,"PCS"),EXACT(Asistencia!K133,"V")),1,0)</f>
        <v>0</v>
      </c>
      <c r="AO126">
        <f>IF(OR(EXACT(Asistencia!L133,"A"),EXACT(Asistencia!L133,"R"),EXACT(Asistencia!L133,"DL"),EXACT(Asistencia!L133,"FL"),EXACT(Asistencia!L133,"FE"),EXACT(Asistencia!L133,"PCS"),EXACT(Asistencia!L133,"V")),1,0)</f>
        <v>0</v>
      </c>
      <c r="AP126">
        <f t="shared" si="62"/>
        <v>0</v>
      </c>
      <c r="AQ126">
        <f>IF(EXACT(Asistencia!F133,"FL"),1,0)</f>
        <v>0</v>
      </c>
      <c r="AR126">
        <f>IF(EXACT(Asistencia!G133,"FL"),1,0)</f>
        <v>0</v>
      </c>
      <c r="AS126">
        <f>IF(EXACT(Asistencia!H133,"FL"),1,0)</f>
        <v>0</v>
      </c>
      <c r="AT126">
        <f>IF(EXACT(Asistencia!I133,"FL"),1,0)</f>
        <v>0</v>
      </c>
      <c r="AU126">
        <f>IF(EXACT(Asistencia!J133,"FL"),1,0)</f>
        <v>0</v>
      </c>
      <c r="AV126">
        <f>IF(EXACT(Asistencia!K133,"FL"),1,0)</f>
        <v>0</v>
      </c>
      <c r="AW126">
        <f>IF(EXACT(Asistencia!L133,"FL"),1,0)</f>
        <v>0</v>
      </c>
      <c r="AX126">
        <f t="shared" si="63"/>
        <v>0</v>
      </c>
      <c r="AY126">
        <f>IF(EXACT(Asistencia!F133,"DL"),1,0)</f>
        <v>0</v>
      </c>
      <c r="AZ126">
        <f>IF(EXACT(Asistencia!G133,"DL"),1,0)</f>
        <v>0</v>
      </c>
      <c r="BA126">
        <f>IF(EXACT(Asistencia!H133,"DL"),1,0)</f>
        <v>0</v>
      </c>
      <c r="BB126">
        <f>IF(EXACT(Asistencia!I133,"DL"),1,0)</f>
        <v>0</v>
      </c>
      <c r="BC126">
        <f>IF(EXACT(Asistencia!J133,"DL"),1,0)</f>
        <v>0</v>
      </c>
      <c r="BD126">
        <f>IF(EXACT(Asistencia!K133,"DL"),1,0)</f>
        <v>0</v>
      </c>
      <c r="BE126">
        <f>IF(EXACT(Asistencia!L133,"DL"),1,0)</f>
        <v>0</v>
      </c>
      <c r="BF126">
        <f t="shared" si="64"/>
        <v>0</v>
      </c>
      <c r="BG126">
        <f>IF(ISNUMBER(Asistencia!M133),Asistencia!M133,0)</f>
        <v>0</v>
      </c>
      <c r="BH126">
        <f>IF(ISNUMBER(Asistencia!N133),Asistencia!N133,0)</f>
        <v>0</v>
      </c>
      <c r="BI126">
        <f>IF(ISNUMBER(Asistencia!O133),Asistencia!O133,0)</f>
        <v>0</v>
      </c>
      <c r="BJ126">
        <f>IF(ISNUMBER(Asistencia!P133),Asistencia!P133,0)</f>
        <v>0</v>
      </c>
      <c r="BK126" t="str">
        <f>IF(Asistencia!F133="","",Asistencia!F133)</f>
        <v/>
      </c>
      <c r="BL126" t="str">
        <f>IF(Asistencia!G133="","",Asistencia!G133)</f>
        <v/>
      </c>
      <c r="BM126" t="str">
        <f>IF(Asistencia!H133="","",Asistencia!H133)</f>
        <v/>
      </c>
      <c r="BN126" t="str">
        <f>IF(Asistencia!I133="","",Asistencia!I133)</f>
        <v/>
      </c>
      <c r="BO126" t="str">
        <f>IF(Asistencia!J133="","",Asistencia!J133)</f>
        <v/>
      </c>
      <c r="BP126" t="str">
        <f>IF(Asistencia!K133="","",Asistencia!K133)</f>
        <v/>
      </c>
      <c r="BQ126" t="str">
        <f>IF(Asistencia!L133="","",Asistencia!L133)</f>
        <v/>
      </c>
    </row>
    <row r="127" spans="1:69" x14ac:dyDescent="0.25">
      <c r="A127" s="46"/>
      <c r="B127" s="47"/>
      <c r="C127" s="47"/>
      <c r="D127" s="47"/>
      <c r="E127" s="46"/>
      <c r="F127" s="45"/>
      <c r="G127" s="44"/>
      <c r="H127" s="44"/>
      <c r="I127" s="44"/>
      <c r="J127" s="44"/>
      <c r="K127" s="44"/>
      <c r="L127" s="44"/>
      <c r="M127" s="43"/>
      <c r="N127" s="41"/>
      <c r="O127" s="41"/>
      <c r="P127" s="41"/>
      <c r="Q127" s="41"/>
      <c r="R127" s="41"/>
      <c r="S127" s="41"/>
      <c r="T127" s="48"/>
      <c r="U127" s="41"/>
      <c r="V127" s="41"/>
      <c r="W127" s="42"/>
      <c r="AA127" t="str">
        <f t="shared" si="61"/>
        <v/>
      </c>
      <c r="AB127" t="str">
        <f>IF(Asistencia!A134="","",Asistencia!A134)</f>
        <v/>
      </c>
      <c r="AC127" t="str">
        <f>IF(Asistencia!A134="","",SUBSTITUTE(SUBSTITUTE(SUBSTITUTE(SUBSTITUTE(SUBSTITUTE(SUBSTITUTE(SUBSTITUTE(UPPER(TRIM(Asistencia!A134)),"Á","A"),"É","E"),"Í","I"),"Ó","O"),"Ú","U"),"Ñ","N"),"  "," "))</f>
        <v/>
      </c>
      <c r="AD127" t="str">
        <f>IF(Asistencia!E134="","",Asistencia!E134)</f>
        <v/>
      </c>
      <c r="AE127" t="str">
        <f>IF(Asistencia!D134="","",UPPER(TRIM(Asistencia!D134)))</f>
        <v/>
      </c>
      <c r="AF127" t="s">
        <v>192</v>
      </c>
      <c r="AG127">
        <f>IF(AND(AA127&lt;&gt;"",COUNTIF($AA$5:AA127,AA127)=1),1,0)</f>
        <v>0</v>
      </c>
      <c r="AH127" t="str">
        <f>IF(AG127=1,SUM($AG$5:AG127),"")</f>
        <v/>
      </c>
      <c r="AI127">
        <f>IF(OR(EXACT(Asistencia!F134,"A"),EXACT(Asistencia!F134,"R"),EXACT(Asistencia!F134,"DL"),EXACT(Asistencia!F134,"FL"),EXACT(Asistencia!F134,"FE"),EXACT(Asistencia!F134,"PCS"),EXACT(Asistencia!F134,"V")),1,0)</f>
        <v>0</v>
      </c>
      <c r="AJ127">
        <f>IF(OR(EXACT(Asistencia!G134,"A"),EXACT(Asistencia!G134,"R"),EXACT(Asistencia!G134,"DL"),EXACT(Asistencia!G134,"FL"),EXACT(Asistencia!G134,"FE"),EXACT(Asistencia!G134,"PCS"),EXACT(Asistencia!G134,"V")),1,0)</f>
        <v>0</v>
      </c>
      <c r="AK127">
        <f>IF(OR(EXACT(Asistencia!H134,"A"),EXACT(Asistencia!H134,"R"),EXACT(Asistencia!H134,"DL"),EXACT(Asistencia!H134,"FL"),EXACT(Asistencia!H134,"FE"),EXACT(Asistencia!H134,"PCS"),EXACT(Asistencia!H134,"V")),1,0)</f>
        <v>0</v>
      </c>
      <c r="AL127">
        <f>IF(OR(EXACT(Asistencia!I134,"A"),EXACT(Asistencia!I134,"R"),EXACT(Asistencia!I134,"DL"),EXACT(Asistencia!I134,"FL"),EXACT(Asistencia!I134,"FE"),EXACT(Asistencia!I134,"PCS"),EXACT(Asistencia!I134,"V")),1,0)</f>
        <v>0</v>
      </c>
      <c r="AM127">
        <f>IF(OR(EXACT(Asistencia!J134,"A"),EXACT(Asistencia!J134,"R"),EXACT(Asistencia!J134,"DL"),EXACT(Asistencia!J134,"FL"),EXACT(Asistencia!J134,"FE"),EXACT(Asistencia!J134,"PCS"),EXACT(Asistencia!J134,"V")),1,0)</f>
        <v>0</v>
      </c>
      <c r="AN127">
        <f>IF(OR(EXACT(Asistencia!K134,"A"),EXACT(Asistencia!K134,"R"),EXACT(Asistencia!K134,"DL"),EXACT(Asistencia!K134,"FL"),EXACT(Asistencia!K134,"FE"),EXACT(Asistencia!K134,"PCS"),EXACT(Asistencia!K134,"V")),1,0)</f>
        <v>0</v>
      </c>
      <c r="AO127">
        <f>IF(OR(EXACT(Asistencia!L134,"A"),EXACT(Asistencia!L134,"R"),EXACT(Asistencia!L134,"DL"),EXACT(Asistencia!L134,"FL"),EXACT(Asistencia!L134,"FE"),EXACT(Asistencia!L134,"PCS"),EXACT(Asistencia!L134,"V")),1,0)</f>
        <v>0</v>
      </c>
      <c r="AP127">
        <f t="shared" si="62"/>
        <v>0</v>
      </c>
      <c r="AQ127">
        <f>IF(EXACT(Asistencia!F134,"FL"),1,0)</f>
        <v>0</v>
      </c>
      <c r="AR127">
        <f>IF(EXACT(Asistencia!G134,"FL"),1,0)</f>
        <v>0</v>
      </c>
      <c r="AS127">
        <f>IF(EXACT(Asistencia!H134,"FL"),1,0)</f>
        <v>0</v>
      </c>
      <c r="AT127">
        <f>IF(EXACT(Asistencia!I134,"FL"),1,0)</f>
        <v>0</v>
      </c>
      <c r="AU127">
        <f>IF(EXACT(Asistencia!J134,"FL"),1,0)</f>
        <v>0</v>
      </c>
      <c r="AV127">
        <f>IF(EXACT(Asistencia!K134,"FL"),1,0)</f>
        <v>0</v>
      </c>
      <c r="AW127">
        <f>IF(EXACT(Asistencia!L134,"FL"),1,0)</f>
        <v>0</v>
      </c>
      <c r="AX127">
        <f t="shared" si="63"/>
        <v>0</v>
      </c>
      <c r="AY127">
        <f>IF(EXACT(Asistencia!F134,"DL"),1,0)</f>
        <v>0</v>
      </c>
      <c r="AZ127">
        <f>IF(EXACT(Asistencia!G134,"DL"),1,0)</f>
        <v>0</v>
      </c>
      <c r="BA127">
        <f>IF(EXACT(Asistencia!H134,"DL"),1,0)</f>
        <v>0</v>
      </c>
      <c r="BB127">
        <f>IF(EXACT(Asistencia!I134,"DL"),1,0)</f>
        <v>0</v>
      </c>
      <c r="BC127">
        <f>IF(EXACT(Asistencia!J134,"DL"),1,0)</f>
        <v>0</v>
      </c>
      <c r="BD127">
        <f>IF(EXACT(Asistencia!K134,"DL"),1,0)</f>
        <v>0</v>
      </c>
      <c r="BE127">
        <f>IF(EXACT(Asistencia!L134,"DL"),1,0)</f>
        <v>0</v>
      </c>
      <c r="BF127">
        <f t="shared" si="64"/>
        <v>0</v>
      </c>
      <c r="BG127">
        <f>IF(ISNUMBER(Asistencia!M134),Asistencia!M134,0)</f>
        <v>0</v>
      </c>
      <c r="BH127">
        <f>IF(ISNUMBER(Asistencia!N134),Asistencia!N134,0)</f>
        <v>0</v>
      </c>
      <c r="BI127">
        <f>IF(ISNUMBER(Asistencia!O134),Asistencia!O134,0)</f>
        <v>0</v>
      </c>
      <c r="BJ127">
        <f>IF(ISNUMBER(Asistencia!P134),Asistencia!P134,0)</f>
        <v>0</v>
      </c>
      <c r="BK127" t="str">
        <f>IF(Asistencia!F134="","",Asistencia!F134)</f>
        <v/>
      </c>
      <c r="BL127" t="str">
        <f>IF(Asistencia!G134="","",Asistencia!G134)</f>
        <v/>
      </c>
      <c r="BM127" t="str">
        <f>IF(Asistencia!H134="","",Asistencia!H134)</f>
        <v/>
      </c>
      <c r="BN127" t="str">
        <f>IF(Asistencia!I134="","",Asistencia!I134)</f>
        <v/>
      </c>
      <c r="BO127" t="str">
        <f>IF(Asistencia!J134="","",Asistencia!J134)</f>
        <v/>
      </c>
      <c r="BP127" t="str">
        <f>IF(Asistencia!K134="","",Asistencia!K134)</f>
        <v/>
      </c>
      <c r="BQ127" t="str">
        <f>IF(Asistencia!L134="","",Asistencia!L134)</f>
        <v/>
      </c>
    </row>
    <row r="128" spans="1:69" x14ac:dyDescent="0.25">
      <c r="A128" s="46"/>
      <c r="B128" s="47"/>
      <c r="C128" s="47"/>
      <c r="D128" s="47"/>
      <c r="E128" s="46"/>
      <c r="F128" s="45"/>
      <c r="G128" s="44"/>
      <c r="H128" s="44"/>
      <c r="I128" s="44"/>
      <c r="J128" s="44"/>
      <c r="K128" s="44"/>
      <c r="L128" s="44"/>
      <c r="M128" s="43"/>
      <c r="N128" s="41"/>
      <c r="O128" s="41"/>
      <c r="P128" s="41"/>
      <c r="Q128" s="41"/>
      <c r="R128" s="41"/>
      <c r="S128" s="41"/>
      <c r="T128" s="48"/>
      <c r="U128" s="41"/>
      <c r="V128" s="41"/>
      <c r="W128" s="42"/>
      <c r="AA128" t="str">
        <f t="shared" si="61"/>
        <v/>
      </c>
      <c r="AB128" t="str">
        <f>IF(Asistencia!A135="","",Asistencia!A135)</f>
        <v/>
      </c>
      <c r="AC128" t="str">
        <f>IF(Asistencia!A135="","",SUBSTITUTE(SUBSTITUTE(SUBSTITUTE(SUBSTITUTE(SUBSTITUTE(SUBSTITUTE(SUBSTITUTE(UPPER(TRIM(Asistencia!A135)),"Á","A"),"É","E"),"Í","I"),"Ó","O"),"Ú","U"),"Ñ","N"),"  "," "))</f>
        <v/>
      </c>
      <c r="AD128" t="str">
        <f>IF(Asistencia!E135="","",Asistencia!E135)</f>
        <v/>
      </c>
      <c r="AE128" t="str">
        <f>IF(Asistencia!D135="","",UPPER(TRIM(Asistencia!D135)))</f>
        <v/>
      </c>
      <c r="AF128" t="s">
        <v>192</v>
      </c>
      <c r="AG128">
        <f>IF(AND(AA128&lt;&gt;"",COUNTIF($AA$5:AA128,AA128)=1),1,0)</f>
        <v>0</v>
      </c>
      <c r="AH128" t="str">
        <f>IF(AG128=1,SUM($AG$5:AG128),"")</f>
        <v/>
      </c>
      <c r="AI128">
        <f>IF(OR(EXACT(Asistencia!F135,"A"),EXACT(Asistencia!F135,"R"),EXACT(Asistencia!F135,"DL"),EXACT(Asistencia!F135,"FL"),EXACT(Asistencia!F135,"FE"),EXACT(Asistencia!F135,"PCS"),EXACT(Asistencia!F135,"V")),1,0)</f>
        <v>0</v>
      </c>
      <c r="AJ128">
        <f>IF(OR(EXACT(Asistencia!G135,"A"),EXACT(Asistencia!G135,"R"),EXACT(Asistencia!G135,"DL"),EXACT(Asistencia!G135,"FL"),EXACT(Asistencia!G135,"FE"),EXACT(Asistencia!G135,"PCS"),EXACT(Asistencia!G135,"V")),1,0)</f>
        <v>0</v>
      </c>
      <c r="AK128">
        <f>IF(OR(EXACT(Asistencia!H135,"A"),EXACT(Asistencia!H135,"R"),EXACT(Asistencia!H135,"DL"),EXACT(Asistencia!H135,"FL"),EXACT(Asistencia!H135,"FE"),EXACT(Asistencia!H135,"PCS"),EXACT(Asistencia!H135,"V")),1,0)</f>
        <v>0</v>
      </c>
      <c r="AL128">
        <f>IF(OR(EXACT(Asistencia!I135,"A"),EXACT(Asistencia!I135,"R"),EXACT(Asistencia!I135,"DL"),EXACT(Asistencia!I135,"FL"),EXACT(Asistencia!I135,"FE"),EXACT(Asistencia!I135,"PCS"),EXACT(Asistencia!I135,"V")),1,0)</f>
        <v>0</v>
      </c>
      <c r="AM128">
        <f>IF(OR(EXACT(Asistencia!J135,"A"),EXACT(Asistencia!J135,"R"),EXACT(Asistencia!J135,"DL"),EXACT(Asistencia!J135,"FL"),EXACT(Asistencia!J135,"FE"),EXACT(Asistencia!J135,"PCS"),EXACT(Asistencia!J135,"V")),1,0)</f>
        <v>0</v>
      </c>
      <c r="AN128">
        <f>IF(OR(EXACT(Asistencia!K135,"A"),EXACT(Asistencia!K135,"R"),EXACT(Asistencia!K135,"DL"),EXACT(Asistencia!K135,"FL"),EXACT(Asistencia!K135,"FE"),EXACT(Asistencia!K135,"PCS"),EXACT(Asistencia!K135,"V")),1,0)</f>
        <v>0</v>
      </c>
      <c r="AO128">
        <f>IF(OR(EXACT(Asistencia!L135,"A"),EXACT(Asistencia!L135,"R"),EXACT(Asistencia!L135,"DL"),EXACT(Asistencia!L135,"FL"),EXACT(Asistencia!L135,"FE"),EXACT(Asistencia!L135,"PCS"),EXACT(Asistencia!L135,"V")),1,0)</f>
        <v>0</v>
      </c>
      <c r="AP128">
        <f t="shared" si="62"/>
        <v>0</v>
      </c>
      <c r="AQ128">
        <f>IF(EXACT(Asistencia!F135,"FL"),1,0)</f>
        <v>0</v>
      </c>
      <c r="AR128">
        <f>IF(EXACT(Asistencia!G135,"FL"),1,0)</f>
        <v>0</v>
      </c>
      <c r="AS128">
        <f>IF(EXACT(Asistencia!H135,"FL"),1,0)</f>
        <v>0</v>
      </c>
      <c r="AT128">
        <f>IF(EXACT(Asistencia!I135,"FL"),1,0)</f>
        <v>0</v>
      </c>
      <c r="AU128">
        <f>IF(EXACT(Asistencia!J135,"FL"),1,0)</f>
        <v>0</v>
      </c>
      <c r="AV128">
        <f>IF(EXACT(Asistencia!K135,"FL"),1,0)</f>
        <v>0</v>
      </c>
      <c r="AW128">
        <f>IF(EXACT(Asistencia!L135,"FL"),1,0)</f>
        <v>0</v>
      </c>
      <c r="AX128">
        <f t="shared" si="63"/>
        <v>0</v>
      </c>
      <c r="AY128">
        <f>IF(EXACT(Asistencia!F135,"DL"),1,0)</f>
        <v>0</v>
      </c>
      <c r="AZ128">
        <f>IF(EXACT(Asistencia!G135,"DL"),1,0)</f>
        <v>0</v>
      </c>
      <c r="BA128">
        <f>IF(EXACT(Asistencia!H135,"DL"),1,0)</f>
        <v>0</v>
      </c>
      <c r="BB128">
        <f>IF(EXACT(Asistencia!I135,"DL"),1,0)</f>
        <v>0</v>
      </c>
      <c r="BC128">
        <f>IF(EXACT(Asistencia!J135,"DL"),1,0)</f>
        <v>0</v>
      </c>
      <c r="BD128">
        <f>IF(EXACT(Asistencia!K135,"DL"),1,0)</f>
        <v>0</v>
      </c>
      <c r="BE128">
        <f>IF(EXACT(Asistencia!L135,"DL"),1,0)</f>
        <v>0</v>
      </c>
      <c r="BF128">
        <f t="shared" si="64"/>
        <v>0</v>
      </c>
      <c r="BG128">
        <f>IF(ISNUMBER(Asistencia!M135),Asistencia!M135,0)</f>
        <v>0</v>
      </c>
      <c r="BH128">
        <f>IF(ISNUMBER(Asistencia!N135),Asistencia!N135,0)</f>
        <v>0</v>
      </c>
      <c r="BI128">
        <f>IF(ISNUMBER(Asistencia!O135),Asistencia!O135,0)</f>
        <v>0</v>
      </c>
      <c r="BJ128">
        <f>IF(ISNUMBER(Asistencia!P135),Asistencia!P135,0)</f>
        <v>0</v>
      </c>
      <c r="BK128" t="str">
        <f>IF(Asistencia!F135="","",Asistencia!F135)</f>
        <v/>
      </c>
      <c r="BL128" t="str">
        <f>IF(Asistencia!G135="","",Asistencia!G135)</f>
        <v/>
      </c>
      <c r="BM128" t="str">
        <f>IF(Asistencia!H135="","",Asistencia!H135)</f>
        <v/>
      </c>
      <c r="BN128" t="str">
        <f>IF(Asistencia!I135="","",Asistencia!I135)</f>
        <v/>
      </c>
      <c r="BO128" t="str">
        <f>IF(Asistencia!J135="","",Asistencia!J135)</f>
        <v/>
      </c>
      <c r="BP128" t="str">
        <f>IF(Asistencia!K135="","",Asistencia!K135)</f>
        <v/>
      </c>
      <c r="BQ128" t="str">
        <f>IF(Asistencia!L135="","",Asistencia!L135)</f>
        <v/>
      </c>
    </row>
    <row r="129" spans="1:69" x14ac:dyDescent="0.25">
      <c r="A129" s="46"/>
      <c r="B129" s="47"/>
      <c r="C129" s="47"/>
      <c r="D129" s="47"/>
      <c r="E129" s="46"/>
      <c r="F129" s="45"/>
      <c r="G129" s="44"/>
      <c r="H129" s="44"/>
      <c r="I129" s="44"/>
      <c r="J129" s="44"/>
      <c r="K129" s="44"/>
      <c r="L129" s="44"/>
      <c r="M129" s="43"/>
      <c r="N129" s="41"/>
      <c r="O129" s="41"/>
      <c r="P129" s="41"/>
      <c r="Q129" s="41"/>
      <c r="R129" s="41"/>
      <c r="S129" s="41"/>
      <c r="T129" s="48"/>
      <c r="U129" s="41"/>
      <c r="V129" s="41"/>
      <c r="W129" s="42"/>
      <c r="AA129" t="str">
        <f t="shared" si="61"/>
        <v/>
      </c>
      <c r="AB129" t="str">
        <f>IF(Asistencia!A136="","",Asistencia!A136)</f>
        <v/>
      </c>
      <c r="AC129" t="str">
        <f>IF(Asistencia!A136="","",SUBSTITUTE(SUBSTITUTE(SUBSTITUTE(SUBSTITUTE(SUBSTITUTE(SUBSTITUTE(SUBSTITUTE(UPPER(TRIM(Asistencia!A136)),"Á","A"),"É","E"),"Í","I"),"Ó","O"),"Ú","U"),"Ñ","N"),"  "," "))</f>
        <v/>
      </c>
      <c r="AD129" t="str">
        <f>IF(Asistencia!E136="","",Asistencia!E136)</f>
        <v/>
      </c>
      <c r="AE129" t="str">
        <f>IF(Asistencia!D136="","",UPPER(TRIM(Asistencia!D136)))</f>
        <v/>
      </c>
      <c r="AF129" t="s">
        <v>192</v>
      </c>
      <c r="AG129">
        <f>IF(AND(AA129&lt;&gt;"",COUNTIF($AA$5:AA129,AA129)=1),1,0)</f>
        <v>0</v>
      </c>
      <c r="AH129" t="str">
        <f>IF(AG129=1,SUM($AG$5:AG129),"")</f>
        <v/>
      </c>
      <c r="AI129">
        <f>IF(OR(EXACT(Asistencia!F136,"A"),EXACT(Asistencia!F136,"R"),EXACT(Asistencia!F136,"DL"),EXACT(Asistencia!F136,"FL"),EXACT(Asistencia!F136,"FE"),EXACT(Asistencia!F136,"PCS"),EXACT(Asistencia!F136,"V")),1,0)</f>
        <v>0</v>
      </c>
      <c r="AJ129">
        <f>IF(OR(EXACT(Asistencia!G136,"A"),EXACT(Asistencia!G136,"R"),EXACT(Asistencia!G136,"DL"),EXACT(Asistencia!G136,"FL"),EXACT(Asistencia!G136,"FE"),EXACT(Asistencia!G136,"PCS"),EXACT(Asistencia!G136,"V")),1,0)</f>
        <v>0</v>
      </c>
      <c r="AK129">
        <f>IF(OR(EXACT(Asistencia!H136,"A"),EXACT(Asistencia!H136,"R"),EXACT(Asistencia!H136,"DL"),EXACT(Asistencia!H136,"FL"),EXACT(Asistencia!H136,"FE"),EXACT(Asistencia!H136,"PCS"),EXACT(Asistencia!H136,"V")),1,0)</f>
        <v>0</v>
      </c>
      <c r="AL129">
        <f>IF(OR(EXACT(Asistencia!I136,"A"),EXACT(Asistencia!I136,"R"),EXACT(Asistencia!I136,"DL"),EXACT(Asistencia!I136,"FL"),EXACT(Asistencia!I136,"FE"),EXACT(Asistencia!I136,"PCS"),EXACT(Asistencia!I136,"V")),1,0)</f>
        <v>0</v>
      </c>
      <c r="AM129">
        <f>IF(OR(EXACT(Asistencia!J136,"A"),EXACT(Asistencia!J136,"R"),EXACT(Asistencia!J136,"DL"),EXACT(Asistencia!J136,"FL"),EXACT(Asistencia!J136,"FE"),EXACT(Asistencia!J136,"PCS"),EXACT(Asistencia!J136,"V")),1,0)</f>
        <v>0</v>
      </c>
      <c r="AN129">
        <f>IF(OR(EXACT(Asistencia!K136,"A"),EXACT(Asistencia!K136,"R"),EXACT(Asistencia!K136,"DL"),EXACT(Asistencia!K136,"FL"),EXACT(Asistencia!K136,"FE"),EXACT(Asistencia!K136,"PCS"),EXACT(Asistencia!K136,"V")),1,0)</f>
        <v>0</v>
      </c>
      <c r="AO129">
        <f>IF(OR(EXACT(Asistencia!L136,"A"),EXACT(Asistencia!L136,"R"),EXACT(Asistencia!L136,"DL"),EXACT(Asistencia!L136,"FL"),EXACT(Asistencia!L136,"FE"),EXACT(Asistencia!L136,"PCS"),EXACT(Asistencia!L136,"V")),1,0)</f>
        <v>0</v>
      </c>
      <c r="AP129">
        <f t="shared" si="62"/>
        <v>0</v>
      </c>
      <c r="AQ129">
        <f>IF(EXACT(Asistencia!F136,"FL"),1,0)</f>
        <v>0</v>
      </c>
      <c r="AR129">
        <f>IF(EXACT(Asistencia!G136,"FL"),1,0)</f>
        <v>0</v>
      </c>
      <c r="AS129">
        <f>IF(EXACT(Asistencia!H136,"FL"),1,0)</f>
        <v>0</v>
      </c>
      <c r="AT129">
        <f>IF(EXACT(Asistencia!I136,"FL"),1,0)</f>
        <v>0</v>
      </c>
      <c r="AU129">
        <f>IF(EXACT(Asistencia!J136,"FL"),1,0)</f>
        <v>0</v>
      </c>
      <c r="AV129">
        <f>IF(EXACT(Asistencia!K136,"FL"),1,0)</f>
        <v>0</v>
      </c>
      <c r="AW129">
        <f>IF(EXACT(Asistencia!L136,"FL"),1,0)</f>
        <v>0</v>
      </c>
      <c r="AX129">
        <f t="shared" si="63"/>
        <v>0</v>
      </c>
      <c r="AY129">
        <f>IF(EXACT(Asistencia!F136,"DL"),1,0)</f>
        <v>0</v>
      </c>
      <c r="AZ129">
        <f>IF(EXACT(Asistencia!G136,"DL"),1,0)</f>
        <v>0</v>
      </c>
      <c r="BA129">
        <f>IF(EXACT(Asistencia!H136,"DL"),1,0)</f>
        <v>0</v>
      </c>
      <c r="BB129">
        <f>IF(EXACT(Asistencia!I136,"DL"),1,0)</f>
        <v>0</v>
      </c>
      <c r="BC129">
        <f>IF(EXACT(Asistencia!J136,"DL"),1,0)</f>
        <v>0</v>
      </c>
      <c r="BD129">
        <f>IF(EXACT(Asistencia!K136,"DL"),1,0)</f>
        <v>0</v>
      </c>
      <c r="BE129">
        <f>IF(EXACT(Asistencia!L136,"DL"),1,0)</f>
        <v>0</v>
      </c>
      <c r="BF129">
        <f t="shared" si="64"/>
        <v>0</v>
      </c>
      <c r="BG129">
        <f>IF(ISNUMBER(Asistencia!M136),Asistencia!M136,0)</f>
        <v>0</v>
      </c>
      <c r="BH129">
        <f>IF(ISNUMBER(Asistencia!N136),Asistencia!N136,0)</f>
        <v>0</v>
      </c>
      <c r="BI129">
        <f>IF(ISNUMBER(Asistencia!O136),Asistencia!O136,0)</f>
        <v>0</v>
      </c>
      <c r="BJ129">
        <f>IF(ISNUMBER(Asistencia!P136),Asistencia!P136,0)</f>
        <v>0</v>
      </c>
      <c r="BK129" t="str">
        <f>IF(Asistencia!F136="","",Asistencia!F136)</f>
        <v/>
      </c>
      <c r="BL129" t="str">
        <f>IF(Asistencia!G136="","",Asistencia!G136)</f>
        <v/>
      </c>
      <c r="BM129" t="str">
        <f>IF(Asistencia!H136="","",Asistencia!H136)</f>
        <v/>
      </c>
      <c r="BN129" t="str">
        <f>IF(Asistencia!I136="","",Asistencia!I136)</f>
        <v/>
      </c>
      <c r="BO129" t="str">
        <f>IF(Asistencia!J136="","",Asistencia!J136)</f>
        <v/>
      </c>
      <c r="BP129" t="str">
        <f>IF(Asistencia!K136="","",Asistencia!K136)</f>
        <v/>
      </c>
      <c r="BQ129" t="str">
        <f>IF(Asistencia!L136="","",Asistencia!L136)</f>
        <v/>
      </c>
    </row>
    <row r="130" spans="1:69" x14ac:dyDescent="0.25">
      <c r="A130" s="46"/>
      <c r="B130" s="47"/>
      <c r="C130" s="47"/>
      <c r="D130" s="47"/>
      <c r="E130" s="46"/>
      <c r="F130" s="45"/>
      <c r="G130" s="44"/>
      <c r="H130" s="44"/>
      <c r="I130" s="44"/>
      <c r="J130" s="44"/>
      <c r="K130" s="44"/>
      <c r="L130" s="44"/>
      <c r="M130" s="43"/>
      <c r="N130" s="41"/>
      <c r="O130" s="41"/>
      <c r="P130" s="41"/>
      <c r="Q130" s="41"/>
      <c r="R130" s="41"/>
      <c r="S130" s="41"/>
      <c r="T130" s="48"/>
      <c r="U130" s="41"/>
      <c r="V130" s="41"/>
      <c r="W130" s="42"/>
      <c r="AA130" t="str">
        <f t="shared" si="61"/>
        <v/>
      </c>
      <c r="AB130" t="str">
        <f>IF(Asistencia!A137="","",Asistencia!A137)</f>
        <v/>
      </c>
      <c r="AC130" t="str">
        <f>IF(Asistencia!A137="","",SUBSTITUTE(SUBSTITUTE(SUBSTITUTE(SUBSTITUTE(SUBSTITUTE(SUBSTITUTE(SUBSTITUTE(UPPER(TRIM(Asistencia!A137)),"Á","A"),"É","E"),"Í","I"),"Ó","O"),"Ú","U"),"Ñ","N"),"  "," "))</f>
        <v/>
      </c>
      <c r="AD130" t="str">
        <f>IF(Asistencia!E137="","",Asistencia!E137)</f>
        <v/>
      </c>
      <c r="AE130" t="str">
        <f>IF(Asistencia!D137="","",UPPER(TRIM(Asistencia!D137)))</f>
        <v/>
      </c>
      <c r="AF130" t="s">
        <v>192</v>
      </c>
      <c r="AG130">
        <f>IF(AND(AA130&lt;&gt;"",COUNTIF($AA$5:AA130,AA130)=1),1,0)</f>
        <v>0</v>
      </c>
      <c r="AH130" t="str">
        <f>IF(AG130=1,SUM($AG$5:AG130),"")</f>
        <v/>
      </c>
      <c r="AI130">
        <f>IF(OR(EXACT(Asistencia!F137,"A"),EXACT(Asistencia!F137,"R"),EXACT(Asistencia!F137,"DL"),EXACT(Asistencia!F137,"FL"),EXACT(Asistencia!F137,"FE"),EXACT(Asistencia!F137,"PCS"),EXACT(Asistencia!F137,"V")),1,0)</f>
        <v>0</v>
      </c>
      <c r="AJ130">
        <f>IF(OR(EXACT(Asistencia!G137,"A"),EXACT(Asistencia!G137,"R"),EXACT(Asistencia!G137,"DL"),EXACT(Asistencia!G137,"FL"),EXACT(Asistencia!G137,"FE"),EXACT(Asistencia!G137,"PCS"),EXACT(Asistencia!G137,"V")),1,0)</f>
        <v>0</v>
      </c>
      <c r="AK130">
        <f>IF(OR(EXACT(Asistencia!H137,"A"),EXACT(Asistencia!H137,"R"),EXACT(Asistencia!H137,"DL"),EXACT(Asistencia!H137,"FL"),EXACT(Asistencia!H137,"FE"),EXACT(Asistencia!H137,"PCS"),EXACT(Asistencia!H137,"V")),1,0)</f>
        <v>0</v>
      </c>
      <c r="AL130">
        <f>IF(OR(EXACT(Asistencia!I137,"A"),EXACT(Asistencia!I137,"R"),EXACT(Asistencia!I137,"DL"),EXACT(Asistencia!I137,"FL"),EXACT(Asistencia!I137,"FE"),EXACT(Asistencia!I137,"PCS"),EXACT(Asistencia!I137,"V")),1,0)</f>
        <v>0</v>
      </c>
      <c r="AM130">
        <f>IF(OR(EXACT(Asistencia!J137,"A"),EXACT(Asistencia!J137,"R"),EXACT(Asistencia!J137,"DL"),EXACT(Asistencia!J137,"FL"),EXACT(Asistencia!J137,"FE"),EXACT(Asistencia!J137,"PCS"),EXACT(Asistencia!J137,"V")),1,0)</f>
        <v>0</v>
      </c>
      <c r="AN130">
        <f>IF(OR(EXACT(Asistencia!K137,"A"),EXACT(Asistencia!K137,"R"),EXACT(Asistencia!K137,"DL"),EXACT(Asistencia!K137,"FL"),EXACT(Asistencia!K137,"FE"),EXACT(Asistencia!K137,"PCS"),EXACT(Asistencia!K137,"V")),1,0)</f>
        <v>0</v>
      </c>
      <c r="AO130">
        <f>IF(OR(EXACT(Asistencia!L137,"A"),EXACT(Asistencia!L137,"R"),EXACT(Asistencia!L137,"DL"),EXACT(Asistencia!L137,"FL"),EXACT(Asistencia!L137,"FE"),EXACT(Asistencia!L137,"PCS"),EXACT(Asistencia!L137,"V")),1,0)</f>
        <v>0</v>
      </c>
      <c r="AP130">
        <f t="shared" si="62"/>
        <v>0</v>
      </c>
      <c r="AQ130">
        <f>IF(EXACT(Asistencia!F137,"FL"),1,0)</f>
        <v>0</v>
      </c>
      <c r="AR130">
        <f>IF(EXACT(Asistencia!G137,"FL"),1,0)</f>
        <v>0</v>
      </c>
      <c r="AS130">
        <f>IF(EXACT(Asistencia!H137,"FL"),1,0)</f>
        <v>0</v>
      </c>
      <c r="AT130">
        <f>IF(EXACT(Asistencia!I137,"FL"),1,0)</f>
        <v>0</v>
      </c>
      <c r="AU130">
        <f>IF(EXACT(Asistencia!J137,"FL"),1,0)</f>
        <v>0</v>
      </c>
      <c r="AV130">
        <f>IF(EXACT(Asistencia!K137,"FL"),1,0)</f>
        <v>0</v>
      </c>
      <c r="AW130">
        <f>IF(EXACT(Asistencia!L137,"FL"),1,0)</f>
        <v>0</v>
      </c>
      <c r="AX130">
        <f t="shared" si="63"/>
        <v>0</v>
      </c>
      <c r="AY130">
        <f>IF(EXACT(Asistencia!F137,"DL"),1,0)</f>
        <v>0</v>
      </c>
      <c r="AZ130">
        <f>IF(EXACT(Asistencia!G137,"DL"),1,0)</f>
        <v>0</v>
      </c>
      <c r="BA130">
        <f>IF(EXACT(Asistencia!H137,"DL"),1,0)</f>
        <v>0</v>
      </c>
      <c r="BB130">
        <f>IF(EXACT(Asistencia!I137,"DL"),1,0)</f>
        <v>0</v>
      </c>
      <c r="BC130">
        <f>IF(EXACT(Asistencia!J137,"DL"),1,0)</f>
        <v>0</v>
      </c>
      <c r="BD130">
        <f>IF(EXACT(Asistencia!K137,"DL"),1,0)</f>
        <v>0</v>
      </c>
      <c r="BE130">
        <f>IF(EXACT(Asistencia!L137,"DL"),1,0)</f>
        <v>0</v>
      </c>
      <c r="BF130">
        <f t="shared" si="64"/>
        <v>0</v>
      </c>
      <c r="BG130">
        <f>IF(ISNUMBER(Asistencia!M137),Asistencia!M137,0)</f>
        <v>0</v>
      </c>
      <c r="BH130">
        <f>IF(ISNUMBER(Asistencia!N137),Asistencia!N137,0)</f>
        <v>0</v>
      </c>
      <c r="BI130">
        <f>IF(ISNUMBER(Asistencia!O137),Asistencia!O137,0)</f>
        <v>0</v>
      </c>
      <c r="BJ130">
        <f>IF(ISNUMBER(Asistencia!P137),Asistencia!P137,0)</f>
        <v>0</v>
      </c>
      <c r="BK130" t="str">
        <f>IF(Asistencia!F137="","",Asistencia!F137)</f>
        <v/>
      </c>
      <c r="BL130" t="str">
        <f>IF(Asistencia!G137="","",Asistencia!G137)</f>
        <v/>
      </c>
      <c r="BM130" t="str">
        <f>IF(Asistencia!H137="","",Asistencia!H137)</f>
        <v/>
      </c>
      <c r="BN130" t="str">
        <f>IF(Asistencia!I137="","",Asistencia!I137)</f>
        <v/>
      </c>
      <c r="BO130" t="str">
        <f>IF(Asistencia!J137="","",Asistencia!J137)</f>
        <v/>
      </c>
      <c r="BP130" t="str">
        <f>IF(Asistencia!K137="","",Asistencia!K137)</f>
        <v/>
      </c>
      <c r="BQ130" t="str">
        <f>IF(Asistencia!L137="","",Asistencia!L137)</f>
        <v/>
      </c>
    </row>
    <row r="131" spans="1:69" x14ac:dyDescent="0.25">
      <c r="A131" s="46"/>
      <c r="B131" s="47"/>
      <c r="C131" s="47"/>
      <c r="D131" s="47"/>
      <c r="E131" s="46"/>
      <c r="F131" s="45"/>
      <c r="G131" s="44"/>
      <c r="H131" s="44"/>
      <c r="I131" s="44"/>
      <c r="J131" s="44"/>
      <c r="K131" s="44"/>
      <c r="L131" s="44"/>
      <c r="M131" s="43"/>
      <c r="N131" s="41"/>
      <c r="O131" s="41"/>
      <c r="P131" s="41"/>
      <c r="Q131" s="41"/>
      <c r="R131" s="41"/>
      <c r="S131" s="41"/>
      <c r="T131" s="48"/>
      <c r="U131" s="41"/>
      <c r="V131" s="41"/>
      <c r="W131" s="42"/>
      <c r="AA131" t="str">
        <f t="shared" si="61"/>
        <v/>
      </c>
      <c r="AB131" t="str">
        <f>IF(Asistencia!A138="","",Asistencia!A138)</f>
        <v/>
      </c>
      <c r="AC131" t="str">
        <f>IF(Asistencia!A138="","",SUBSTITUTE(SUBSTITUTE(SUBSTITUTE(SUBSTITUTE(SUBSTITUTE(SUBSTITUTE(SUBSTITUTE(UPPER(TRIM(Asistencia!A138)),"Á","A"),"É","E"),"Í","I"),"Ó","O"),"Ú","U"),"Ñ","N"),"  "," "))</f>
        <v/>
      </c>
      <c r="AD131" t="str">
        <f>IF(Asistencia!E138="","",Asistencia!E138)</f>
        <v/>
      </c>
      <c r="AE131" t="str">
        <f>IF(Asistencia!D138="","",UPPER(TRIM(Asistencia!D138)))</f>
        <v/>
      </c>
      <c r="AF131" t="s">
        <v>192</v>
      </c>
      <c r="AG131">
        <f>IF(AND(AA131&lt;&gt;"",COUNTIF($AA$5:AA131,AA131)=1),1,0)</f>
        <v>0</v>
      </c>
      <c r="AH131" t="str">
        <f>IF(AG131=1,SUM($AG$5:AG131),"")</f>
        <v/>
      </c>
      <c r="AI131">
        <f>IF(OR(EXACT(Asistencia!F138,"A"),EXACT(Asistencia!F138,"R"),EXACT(Asistencia!F138,"DL"),EXACT(Asistencia!F138,"FL"),EXACT(Asistencia!F138,"FE"),EXACT(Asistencia!F138,"PCS"),EXACT(Asistencia!F138,"V")),1,0)</f>
        <v>0</v>
      </c>
      <c r="AJ131">
        <f>IF(OR(EXACT(Asistencia!G138,"A"),EXACT(Asistencia!G138,"R"),EXACT(Asistencia!G138,"DL"),EXACT(Asistencia!G138,"FL"),EXACT(Asistencia!G138,"FE"),EXACT(Asistencia!G138,"PCS"),EXACT(Asistencia!G138,"V")),1,0)</f>
        <v>0</v>
      </c>
      <c r="AK131">
        <f>IF(OR(EXACT(Asistencia!H138,"A"),EXACT(Asistencia!H138,"R"),EXACT(Asistencia!H138,"DL"),EXACT(Asistencia!H138,"FL"),EXACT(Asistencia!H138,"FE"),EXACT(Asistencia!H138,"PCS"),EXACT(Asistencia!H138,"V")),1,0)</f>
        <v>0</v>
      </c>
      <c r="AL131">
        <f>IF(OR(EXACT(Asistencia!I138,"A"),EXACT(Asistencia!I138,"R"),EXACT(Asistencia!I138,"DL"),EXACT(Asistencia!I138,"FL"),EXACT(Asistencia!I138,"FE"),EXACT(Asistencia!I138,"PCS"),EXACT(Asistencia!I138,"V")),1,0)</f>
        <v>0</v>
      </c>
      <c r="AM131">
        <f>IF(OR(EXACT(Asistencia!J138,"A"),EXACT(Asistencia!J138,"R"),EXACT(Asistencia!J138,"DL"),EXACT(Asistencia!J138,"FL"),EXACT(Asistencia!J138,"FE"),EXACT(Asistencia!J138,"PCS"),EXACT(Asistencia!J138,"V")),1,0)</f>
        <v>0</v>
      </c>
      <c r="AN131">
        <f>IF(OR(EXACT(Asistencia!K138,"A"),EXACT(Asistencia!K138,"R"),EXACT(Asistencia!K138,"DL"),EXACT(Asistencia!K138,"FL"),EXACT(Asistencia!K138,"FE"),EXACT(Asistencia!K138,"PCS"),EXACT(Asistencia!K138,"V")),1,0)</f>
        <v>0</v>
      </c>
      <c r="AO131">
        <f>IF(OR(EXACT(Asistencia!L138,"A"),EXACT(Asistencia!L138,"R"),EXACT(Asistencia!L138,"DL"),EXACT(Asistencia!L138,"FL"),EXACT(Asistencia!L138,"FE"),EXACT(Asistencia!L138,"PCS"),EXACT(Asistencia!L138,"V")),1,0)</f>
        <v>0</v>
      </c>
      <c r="AP131">
        <f t="shared" si="62"/>
        <v>0</v>
      </c>
      <c r="AQ131">
        <f>IF(EXACT(Asistencia!F138,"FL"),1,0)</f>
        <v>0</v>
      </c>
      <c r="AR131">
        <f>IF(EXACT(Asistencia!G138,"FL"),1,0)</f>
        <v>0</v>
      </c>
      <c r="AS131">
        <f>IF(EXACT(Asistencia!H138,"FL"),1,0)</f>
        <v>0</v>
      </c>
      <c r="AT131">
        <f>IF(EXACT(Asistencia!I138,"FL"),1,0)</f>
        <v>0</v>
      </c>
      <c r="AU131">
        <f>IF(EXACT(Asistencia!J138,"FL"),1,0)</f>
        <v>0</v>
      </c>
      <c r="AV131">
        <f>IF(EXACT(Asistencia!K138,"FL"),1,0)</f>
        <v>0</v>
      </c>
      <c r="AW131">
        <f>IF(EXACT(Asistencia!L138,"FL"),1,0)</f>
        <v>0</v>
      </c>
      <c r="AX131">
        <f t="shared" si="63"/>
        <v>0</v>
      </c>
      <c r="AY131">
        <f>IF(EXACT(Asistencia!F138,"DL"),1,0)</f>
        <v>0</v>
      </c>
      <c r="AZ131">
        <f>IF(EXACT(Asistencia!G138,"DL"),1,0)</f>
        <v>0</v>
      </c>
      <c r="BA131">
        <f>IF(EXACT(Asistencia!H138,"DL"),1,0)</f>
        <v>0</v>
      </c>
      <c r="BB131">
        <f>IF(EXACT(Asistencia!I138,"DL"),1,0)</f>
        <v>0</v>
      </c>
      <c r="BC131">
        <f>IF(EXACT(Asistencia!J138,"DL"),1,0)</f>
        <v>0</v>
      </c>
      <c r="BD131">
        <f>IF(EXACT(Asistencia!K138,"DL"),1,0)</f>
        <v>0</v>
      </c>
      <c r="BE131">
        <f>IF(EXACT(Asistencia!L138,"DL"),1,0)</f>
        <v>0</v>
      </c>
      <c r="BF131">
        <f t="shared" si="64"/>
        <v>0</v>
      </c>
      <c r="BG131">
        <f>IF(ISNUMBER(Asistencia!M138),Asistencia!M138,0)</f>
        <v>0</v>
      </c>
      <c r="BH131">
        <f>IF(ISNUMBER(Asistencia!N138),Asistencia!N138,0)</f>
        <v>0</v>
      </c>
      <c r="BI131">
        <f>IF(ISNUMBER(Asistencia!O138),Asistencia!O138,0)</f>
        <v>0</v>
      </c>
      <c r="BJ131">
        <f>IF(ISNUMBER(Asistencia!P138),Asistencia!P138,0)</f>
        <v>0</v>
      </c>
      <c r="BK131" t="str">
        <f>IF(Asistencia!F138="","",Asistencia!F138)</f>
        <v/>
      </c>
      <c r="BL131" t="str">
        <f>IF(Asistencia!G138="","",Asistencia!G138)</f>
        <v/>
      </c>
      <c r="BM131" t="str">
        <f>IF(Asistencia!H138="","",Asistencia!H138)</f>
        <v/>
      </c>
      <c r="BN131" t="str">
        <f>IF(Asistencia!I138="","",Asistencia!I138)</f>
        <v/>
      </c>
      <c r="BO131" t="str">
        <f>IF(Asistencia!J138="","",Asistencia!J138)</f>
        <v/>
      </c>
      <c r="BP131" t="str">
        <f>IF(Asistencia!K138="","",Asistencia!K138)</f>
        <v/>
      </c>
      <c r="BQ131" t="str">
        <f>IF(Asistencia!L138="","",Asistencia!L138)</f>
        <v/>
      </c>
    </row>
    <row r="132" spans="1:69" x14ac:dyDescent="0.25">
      <c r="A132" s="46"/>
      <c r="B132" s="47"/>
      <c r="C132" s="47"/>
      <c r="D132" s="47"/>
      <c r="E132" s="46"/>
      <c r="F132" s="45"/>
      <c r="G132" s="44"/>
      <c r="H132" s="44"/>
      <c r="I132" s="44"/>
      <c r="J132" s="44"/>
      <c r="K132" s="44"/>
      <c r="L132" s="44"/>
      <c r="M132" s="43"/>
      <c r="N132" s="41"/>
      <c r="O132" s="41"/>
      <c r="P132" s="41"/>
      <c r="Q132" s="41"/>
      <c r="R132" s="41"/>
      <c r="S132" s="41"/>
      <c r="T132" s="48"/>
      <c r="U132" s="41"/>
      <c r="V132" s="41"/>
      <c r="W132" s="42"/>
      <c r="AA132" t="str">
        <f t="shared" si="61"/>
        <v/>
      </c>
      <c r="AB132" t="str">
        <f>IF(Asistencia!A139="","",Asistencia!A139)</f>
        <v/>
      </c>
      <c r="AC132" t="str">
        <f>IF(Asistencia!A139="","",SUBSTITUTE(SUBSTITUTE(SUBSTITUTE(SUBSTITUTE(SUBSTITUTE(SUBSTITUTE(SUBSTITUTE(UPPER(TRIM(Asistencia!A139)),"Á","A"),"É","E"),"Í","I"),"Ó","O"),"Ú","U"),"Ñ","N"),"  "," "))</f>
        <v/>
      </c>
      <c r="AD132" t="str">
        <f>IF(Asistencia!E139="","",Asistencia!E139)</f>
        <v/>
      </c>
      <c r="AE132" t="str">
        <f>IF(Asistencia!D139="","",UPPER(TRIM(Asistencia!D139)))</f>
        <v/>
      </c>
      <c r="AF132" t="s">
        <v>192</v>
      </c>
      <c r="AG132">
        <f>IF(AND(AA132&lt;&gt;"",COUNTIF($AA$5:AA132,AA132)=1),1,0)</f>
        <v>0</v>
      </c>
      <c r="AH132" t="str">
        <f>IF(AG132=1,SUM($AG$5:AG132),"")</f>
        <v/>
      </c>
      <c r="AI132">
        <f>IF(OR(EXACT(Asistencia!F139,"A"),EXACT(Asistencia!F139,"R"),EXACT(Asistencia!F139,"DL"),EXACT(Asistencia!F139,"FL"),EXACT(Asistencia!F139,"FE"),EXACT(Asistencia!F139,"PCS"),EXACT(Asistencia!F139,"V")),1,0)</f>
        <v>0</v>
      </c>
      <c r="AJ132">
        <f>IF(OR(EXACT(Asistencia!G139,"A"),EXACT(Asistencia!G139,"R"),EXACT(Asistencia!G139,"DL"),EXACT(Asistencia!G139,"FL"),EXACT(Asistencia!G139,"FE"),EXACT(Asistencia!G139,"PCS"),EXACT(Asistencia!G139,"V")),1,0)</f>
        <v>0</v>
      </c>
      <c r="AK132">
        <f>IF(OR(EXACT(Asistencia!H139,"A"),EXACT(Asistencia!H139,"R"),EXACT(Asistencia!H139,"DL"),EXACT(Asistencia!H139,"FL"),EXACT(Asistencia!H139,"FE"),EXACT(Asistencia!H139,"PCS"),EXACT(Asistencia!H139,"V")),1,0)</f>
        <v>0</v>
      </c>
      <c r="AL132">
        <f>IF(OR(EXACT(Asistencia!I139,"A"),EXACT(Asistencia!I139,"R"),EXACT(Asistencia!I139,"DL"),EXACT(Asistencia!I139,"FL"),EXACT(Asistencia!I139,"FE"),EXACT(Asistencia!I139,"PCS"),EXACT(Asistencia!I139,"V")),1,0)</f>
        <v>0</v>
      </c>
      <c r="AM132">
        <f>IF(OR(EXACT(Asistencia!J139,"A"),EXACT(Asistencia!J139,"R"),EXACT(Asistencia!J139,"DL"),EXACT(Asistencia!J139,"FL"),EXACT(Asistencia!J139,"FE"),EXACT(Asistencia!J139,"PCS"),EXACT(Asistencia!J139,"V")),1,0)</f>
        <v>0</v>
      </c>
      <c r="AN132">
        <f>IF(OR(EXACT(Asistencia!K139,"A"),EXACT(Asistencia!K139,"R"),EXACT(Asistencia!K139,"DL"),EXACT(Asistencia!K139,"FL"),EXACT(Asistencia!K139,"FE"),EXACT(Asistencia!K139,"PCS"),EXACT(Asistencia!K139,"V")),1,0)</f>
        <v>0</v>
      </c>
      <c r="AO132">
        <f>IF(OR(EXACT(Asistencia!L139,"A"),EXACT(Asistencia!L139,"R"),EXACT(Asistencia!L139,"DL"),EXACT(Asistencia!L139,"FL"),EXACT(Asistencia!L139,"FE"),EXACT(Asistencia!L139,"PCS"),EXACT(Asistencia!L139,"V")),1,0)</f>
        <v>0</v>
      </c>
      <c r="AP132">
        <f t="shared" si="62"/>
        <v>0</v>
      </c>
      <c r="AQ132">
        <f>IF(EXACT(Asistencia!F139,"FL"),1,0)</f>
        <v>0</v>
      </c>
      <c r="AR132">
        <f>IF(EXACT(Asistencia!G139,"FL"),1,0)</f>
        <v>0</v>
      </c>
      <c r="AS132">
        <f>IF(EXACT(Asistencia!H139,"FL"),1,0)</f>
        <v>0</v>
      </c>
      <c r="AT132">
        <f>IF(EXACT(Asistencia!I139,"FL"),1,0)</f>
        <v>0</v>
      </c>
      <c r="AU132">
        <f>IF(EXACT(Asistencia!J139,"FL"),1,0)</f>
        <v>0</v>
      </c>
      <c r="AV132">
        <f>IF(EXACT(Asistencia!K139,"FL"),1,0)</f>
        <v>0</v>
      </c>
      <c r="AW132">
        <f>IF(EXACT(Asistencia!L139,"FL"),1,0)</f>
        <v>0</v>
      </c>
      <c r="AX132">
        <f t="shared" si="63"/>
        <v>0</v>
      </c>
      <c r="AY132">
        <f>IF(EXACT(Asistencia!F139,"DL"),1,0)</f>
        <v>0</v>
      </c>
      <c r="AZ132">
        <f>IF(EXACT(Asistencia!G139,"DL"),1,0)</f>
        <v>0</v>
      </c>
      <c r="BA132">
        <f>IF(EXACT(Asistencia!H139,"DL"),1,0)</f>
        <v>0</v>
      </c>
      <c r="BB132">
        <f>IF(EXACT(Asistencia!I139,"DL"),1,0)</f>
        <v>0</v>
      </c>
      <c r="BC132">
        <f>IF(EXACT(Asistencia!J139,"DL"),1,0)</f>
        <v>0</v>
      </c>
      <c r="BD132">
        <f>IF(EXACT(Asistencia!K139,"DL"),1,0)</f>
        <v>0</v>
      </c>
      <c r="BE132">
        <f>IF(EXACT(Asistencia!L139,"DL"),1,0)</f>
        <v>0</v>
      </c>
      <c r="BF132">
        <f t="shared" si="64"/>
        <v>0</v>
      </c>
      <c r="BG132">
        <f>IF(ISNUMBER(Asistencia!M139),Asistencia!M139,0)</f>
        <v>0</v>
      </c>
      <c r="BH132">
        <f>IF(ISNUMBER(Asistencia!N139),Asistencia!N139,0)</f>
        <v>0</v>
      </c>
      <c r="BI132">
        <f>IF(ISNUMBER(Asistencia!O139),Asistencia!O139,0)</f>
        <v>0</v>
      </c>
      <c r="BJ132">
        <f>IF(ISNUMBER(Asistencia!P139),Asistencia!P139,0)</f>
        <v>0</v>
      </c>
      <c r="BK132" t="str">
        <f>IF(Asistencia!F139="","",Asistencia!F139)</f>
        <v/>
      </c>
      <c r="BL132" t="str">
        <f>IF(Asistencia!G139="","",Asistencia!G139)</f>
        <v/>
      </c>
      <c r="BM132" t="str">
        <f>IF(Asistencia!H139="","",Asistencia!H139)</f>
        <v/>
      </c>
      <c r="BN132" t="str">
        <f>IF(Asistencia!I139="","",Asistencia!I139)</f>
        <v/>
      </c>
      <c r="BO132" t="str">
        <f>IF(Asistencia!J139="","",Asistencia!J139)</f>
        <v/>
      </c>
      <c r="BP132" t="str">
        <f>IF(Asistencia!K139="","",Asistencia!K139)</f>
        <v/>
      </c>
      <c r="BQ132" t="str">
        <f>IF(Asistencia!L139="","",Asistencia!L139)</f>
        <v/>
      </c>
    </row>
    <row r="133" spans="1:69" x14ac:dyDescent="0.25">
      <c r="A133" s="46"/>
      <c r="B133" s="47"/>
      <c r="C133" s="47"/>
      <c r="D133" s="47"/>
      <c r="E133" s="46"/>
      <c r="F133" s="45"/>
      <c r="G133" s="44"/>
      <c r="H133" s="44"/>
      <c r="I133" s="44"/>
      <c r="J133" s="44"/>
      <c r="K133" s="44"/>
      <c r="L133" s="44"/>
      <c r="M133" s="43"/>
      <c r="N133" s="41"/>
      <c r="O133" s="41"/>
      <c r="P133" s="41"/>
      <c r="Q133" s="41"/>
      <c r="R133" s="41"/>
      <c r="S133" s="41"/>
      <c r="T133" s="48"/>
      <c r="U133" s="41"/>
      <c r="V133" s="41"/>
      <c r="W133" s="42"/>
      <c r="AA133" t="str">
        <f t="shared" ref="AA133:AA196" si="84">IF(AC133="","","M:"&amp;AC133)</f>
        <v/>
      </c>
      <c r="AB133" t="str">
        <f>IF(Asistencia!A140="","",Asistencia!A140)</f>
        <v/>
      </c>
      <c r="AC133" t="str">
        <f>IF(Asistencia!A140="","",SUBSTITUTE(SUBSTITUTE(SUBSTITUTE(SUBSTITUTE(SUBSTITUTE(SUBSTITUTE(SUBSTITUTE(UPPER(TRIM(Asistencia!A140)),"Á","A"),"É","E"),"Í","I"),"Ó","O"),"Ú","U"),"Ñ","N"),"  "," "))</f>
        <v/>
      </c>
      <c r="AD133" t="str">
        <f>IF(Asistencia!E140="","",Asistencia!E140)</f>
        <v/>
      </c>
      <c r="AE133" t="str">
        <f>IF(Asistencia!D140="","",UPPER(TRIM(Asistencia!D140)))</f>
        <v/>
      </c>
      <c r="AF133" t="s">
        <v>192</v>
      </c>
      <c r="AG133">
        <f>IF(AND(AA133&lt;&gt;"",COUNTIF($AA$5:AA133,AA133)=1),1,0)</f>
        <v>0</v>
      </c>
      <c r="AH133" t="str">
        <f>IF(AG133=1,SUM($AG$5:AG133),"")</f>
        <v/>
      </c>
      <c r="AI133">
        <f>IF(OR(EXACT(Asistencia!F140,"A"),EXACT(Asistencia!F140,"R"),EXACT(Asistencia!F140,"DL"),EXACT(Asistencia!F140,"FL"),EXACT(Asistencia!F140,"FE"),EXACT(Asistencia!F140,"PCS"),EXACT(Asistencia!F140,"V")),1,0)</f>
        <v>0</v>
      </c>
      <c r="AJ133">
        <f>IF(OR(EXACT(Asistencia!G140,"A"),EXACT(Asistencia!G140,"R"),EXACT(Asistencia!G140,"DL"),EXACT(Asistencia!G140,"FL"),EXACT(Asistencia!G140,"FE"),EXACT(Asistencia!G140,"PCS"),EXACT(Asistencia!G140,"V")),1,0)</f>
        <v>0</v>
      </c>
      <c r="AK133">
        <f>IF(OR(EXACT(Asistencia!H140,"A"),EXACT(Asistencia!H140,"R"),EXACT(Asistencia!H140,"DL"),EXACT(Asistencia!H140,"FL"),EXACT(Asistencia!H140,"FE"),EXACT(Asistencia!H140,"PCS"),EXACT(Asistencia!H140,"V")),1,0)</f>
        <v>0</v>
      </c>
      <c r="AL133">
        <f>IF(OR(EXACT(Asistencia!I140,"A"),EXACT(Asistencia!I140,"R"),EXACT(Asistencia!I140,"DL"),EXACT(Asistencia!I140,"FL"),EXACT(Asistencia!I140,"FE"),EXACT(Asistencia!I140,"PCS"),EXACT(Asistencia!I140,"V")),1,0)</f>
        <v>0</v>
      </c>
      <c r="AM133">
        <f>IF(OR(EXACT(Asistencia!J140,"A"),EXACT(Asistencia!J140,"R"),EXACT(Asistencia!J140,"DL"),EXACT(Asistencia!J140,"FL"),EXACT(Asistencia!J140,"FE"),EXACT(Asistencia!J140,"PCS"),EXACT(Asistencia!J140,"V")),1,0)</f>
        <v>0</v>
      </c>
      <c r="AN133">
        <f>IF(OR(EXACT(Asistencia!K140,"A"),EXACT(Asistencia!K140,"R"),EXACT(Asistencia!K140,"DL"),EXACT(Asistencia!K140,"FL"),EXACT(Asistencia!K140,"FE"),EXACT(Asistencia!K140,"PCS"),EXACT(Asistencia!K140,"V")),1,0)</f>
        <v>0</v>
      </c>
      <c r="AO133">
        <f>IF(OR(EXACT(Asistencia!L140,"A"),EXACT(Asistencia!L140,"R"),EXACT(Asistencia!L140,"DL"),EXACT(Asistencia!L140,"FL"),EXACT(Asistencia!L140,"FE"),EXACT(Asistencia!L140,"PCS"),EXACT(Asistencia!L140,"V")),1,0)</f>
        <v>0</v>
      </c>
      <c r="AP133">
        <f t="shared" ref="AP133:AP196" si="85">SUM(AI133:AO133)</f>
        <v>0</v>
      </c>
      <c r="AQ133">
        <f>IF(EXACT(Asistencia!F140,"FL"),1,0)</f>
        <v>0</v>
      </c>
      <c r="AR133">
        <f>IF(EXACT(Asistencia!G140,"FL"),1,0)</f>
        <v>0</v>
      </c>
      <c r="AS133">
        <f>IF(EXACT(Asistencia!H140,"FL"),1,0)</f>
        <v>0</v>
      </c>
      <c r="AT133">
        <f>IF(EXACT(Asistencia!I140,"FL"),1,0)</f>
        <v>0</v>
      </c>
      <c r="AU133">
        <f>IF(EXACT(Asistencia!J140,"FL"),1,0)</f>
        <v>0</v>
      </c>
      <c r="AV133">
        <f>IF(EXACT(Asistencia!K140,"FL"),1,0)</f>
        <v>0</v>
      </c>
      <c r="AW133">
        <f>IF(EXACT(Asistencia!L140,"FL"),1,0)</f>
        <v>0</v>
      </c>
      <c r="AX133">
        <f t="shared" ref="AX133:AX196" si="86">SUM(AQ133:AW133)</f>
        <v>0</v>
      </c>
      <c r="AY133">
        <f>IF(EXACT(Asistencia!F140,"DL"),1,0)</f>
        <v>0</v>
      </c>
      <c r="AZ133">
        <f>IF(EXACT(Asistencia!G140,"DL"),1,0)</f>
        <v>0</v>
      </c>
      <c r="BA133">
        <f>IF(EXACT(Asistencia!H140,"DL"),1,0)</f>
        <v>0</v>
      </c>
      <c r="BB133">
        <f>IF(EXACT(Asistencia!I140,"DL"),1,0)</f>
        <v>0</v>
      </c>
      <c r="BC133">
        <f>IF(EXACT(Asistencia!J140,"DL"),1,0)</f>
        <v>0</v>
      </c>
      <c r="BD133">
        <f>IF(EXACT(Asistencia!K140,"DL"),1,0)</f>
        <v>0</v>
      </c>
      <c r="BE133">
        <f>IF(EXACT(Asistencia!L140,"DL"),1,0)</f>
        <v>0</v>
      </c>
      <c r="BF133">
        <f t="shared" ref="BF133:BF196" si="87">SUM(AY133:BE133)</f>
        <v>0</v>
      </c>
      <c r="BG133">
        <f>IF(ISNUMBER(Asistencia!M140),Asistencia!M140,0)</f>
        <v>0</v>
      </c>
      <c r="BH133">
        <f>IF(ISNUMBER(Asistencia!N140),Asistencia!N140,0)</f>
        <v>0</v>
      </c>
      <c r="BI133">
        <f>IF(ISNUMBER(Asistencia!O140),Asistencia!O140,0)</f>
        <v>0</v>
      </c>
      <c r="BJ133">
        <f>IF(ISNUMBER(Asistencia!P140),Asistencia!P140,0)</f>
        <v>0</v>
      </c>
      <c r="BK133" t="str">
        <f>IF(Asistencia!F140="","",Asistencia!F140)</f>
        <v/>
      </c>
      <c r="BL133" t="str">
        <f>IF(Asistencia!G140="","",Asistencia!G140)</f>
        <v/>
      </c>
      <c r="BM133" t="str">
        <f>IF(Asistencia!H140="","",Asistencia!H140)</f>
        <v/>
      </c>
      <c r="BN133" t="str">
        <f>IF(Asistencia!I140="","",Asistencia!I140)</f>
        <v/>
      </c>
      <c r="BO133" t="str">
        <f>IF(Asistencia!J140="","",Asistencia!J140)</f>
        <v/>
      </c>
      <c r="BP133" t="str">
        <f>IF(Asistencia!K140="","",Asistencia!K140)</f>
        <v/>
      </c>
      <c r="BQ133" t="str">
        <f>IF(Asistencia!L140="","",Asistencia!L140)</f>
        <v/>
      </c>
    </row>
    <row r="134" spans="1:69" x14ac:dyDescent="0.25">
      <c r="A134" s="46"/>
      <c r="B134" s="47"/>
      <c r="C134" s="47"/>
      <c r="D134" s="47"/>
      <c r="E134" s="46"/>
      <c r="F134" s="45"/>
      <c r="G134" s="44"/>
      <c r="H134" s="44"/>
      <c r="I134" s="44"/>
      <c r="J134" s="44"/>
      <c r="K134" s="44"/>
      <c r="L134" s="44"/>
      <c r="M134" s="43"/>
      <c r="N134" s="41"/>
      <c r="O134" s="41"/>
      <c r="P134" s="41"/>
      <c r="Q134" s="41"/>
      <c r="R134" s="41"/>
      <c r="S134" s="41"/>
      <c r="T134" s="48"/>
      <c r="U134" s="41"/>
      <c r="V134" s="41"/>
      <c r="W134" s="42"/>
      <c r="AA134" t="str">
        <f t="shared" si="84"/>
        <v/>
      </c>
      <c r="AB134" t="str">
        <f>IF(Asistencia!A141="","",Asistencia!A141)</f>
        <v/>
      </c>
      <c r="AC134" t="str">
        <f>IF(Asistencia!A141="","",SUBSTITUTE(SUBSTITUTE(SUBSTITUTE(SUBSTITUTE(SUBSTITUTE(SUBSTITUTE(SUBSTITUTE(UPPER(TRIM(Asistencia!A141)),"Á","A"),"É","E"),"Í","I"),"Ó","O"),"Ú","U"),"Ñ","N"),"  "," "))</f>
        <v/>
      </c>
      <c r="AD134" t="str">
        <f>IF(Asistencia!E141="","",Asistencia!E141)</f>
        <v/>
      </c>
      <c r="AE134" t="str">
        <f>IF(Asistencia!D141="","",UPPER(TRIM(Asistencia!D141)))</f>
        <v/>
      </c>
      <c r="AF134" t="s">
        <v>192</v>
      </c>
      <c r="AG134">
        <f>IF(AND(AA134&lt;&gt;"",COUNTIF($AA$5:AA134,AA134)=1),1,0)</f>
        <v>0</v>
      </c>
      <c r="AH134" t="str">
        <f>IF(AG134=1,SUM($AG$5:AG134),"")</f>
        <v/>
      </c>
      <c r="AI134">
        <f>IF(OR(EXACT(Asistencia!F141,"A"),EXACT(Asistencia!F141,"R"),EXACT(Asistencia!F141,"DL"),EXACT(Asistencia!F141,"FL"),EXACT(Asistencia!F141,"FE"),EXACT(Asistencia!F141,"PCS"),EXACT(Asistencia!F141,"V")),1,0)</f>
        <v>0</v>
      </c>
      <c r="AJ134">
        <f>IF(OR(EXACT(Asistencia!G141,"A"),EXACT(Asistencia!G141,"R"),EXACT(Asistencia!G141,"DL"),EXACT(Asistencia!G141,"FL"),EXACT(Asistencia!G141,"FE"),EXACT(Asistencia!G141,"PCS"),EXACT(Asistencia!G141,"V")),1,0)</f>
        <v>0</v>
      </c>
      <c r="AK134">
        <f>IF(OR(EXACT(Asistencia!H141,"A"),EXACT(Asistencia!H141,"R"),EXACT(Asistencia!H141,"DL"),EXACT(Asistencia!H141,"FL"),EXACT(Asistencia!H141,"FE"),EXACT(Asistencia!H141,"PCS"),EXACT(Asistencia!H141,"V")),1,0)</f>
        <v>0</v>
      </c>
      <c r="AL134">
        <f>IF(OR(EXACT(Asistencia!I141,"A"),EXACT(Asistencia!I141,"R"),EXACT(Asistencia!I141,"DL"),EXACT(Asistencia!I141,"FL"),EXACT(Asistencia!I141,"FE"),EXACT(Asistencia!I141,"PCS"),EXACT(Asistencia!I141,"V")),1,0)</f>
        <v>0</v>
      </c>
      <c r="AM134">
        <f>IF(OR(EXACT(Asistencia!J141,"A"),EXACT(Asistencia!J141,"R"),EXACT(Asistencia!J141,"DL"),EXACT(Asistencia!J141,"FL"),EXACT(Asistencia!J141,"FE"),EXACT(Asistencia!J141,"PCS"),EXACT(Asistencia!J141,"V")),1,0)</f>
        <v>0</v>
      </c>
      <c r="AN134">
        <f>IF(OR(EXACT(Asistencia!K141,"A"),EXACT(Asistencia!K141,"R"),EXACT(Asistencia!K141,"DL"),EXACT(Asistencia!K141,"FL"),EXACT(Asistencia!K141,"FE"),EXACT(Asistencia!K141,"PCS"),EXACT(Asistencia!K141,"V")),1,0)</f>
        <v>0</v>
      </c>
      <c r="AO134">
        <f>IF(OR(EXACT(Asistencia!L141,"A"),EXACT(Asistencia!L141,"R"),EXACT(Asistencia!L141,"DL"),EXACT(Asistencia!L141,"FL"),EXACT(Asistencia!L141,"FE"),EXACT(Asistencia!L141,"PCS"),EXACT(Asistencia!L141,"V")),1,0)</f>
        <v>0</v>
      </c>
      <c r="AP134">
        <f t="shared" si="85"/>
        <v>0</v>
      </c>
      <c r="AQ134">
        <f>IF(EXACT(Asistencia!F141,"FL"),1,0)</f>
        <v>0</v>
      </c>
      <c r="AR134">
        <f>IF(EXACT(Asistencia!G141,"FL"),1,0)</f>
        <v>0</v>
      </c>
      <c r="AS134">
        <f>IF(EXACT(Asistencia!H141,"FL"),1,0)</f>
        <v>0</v>
      </c>
      <c r="AT134">
        <f>IF(EXACT(Asistencia!I141,"FL"),1,0)</f>
        <v>0</v>
      </c>
      <c r="AU134">
        <f>IF(EXACT(Asistencia!J141,"FL"),1,0)</f>
        <v>0</v>
      </c>
      <c r="AV134">
        <f>IF(EXACT(Asistencia!K141,"FL"),1,0)</f>
        <v>0</v>
      </c>
      <c r="AW134">
        <f>IF(EXACT(Asistencia!L141,"FL"),1,0)</f>
        <v>0</v>
      </c>
      <c r="AX134">
        <f t="shared" si="86"/>
        <v>0</v>
      </c>
      <c r="AY134">
        <f>IF(EXACT(Asistencia!F141,"DL"),1,0)</f>
        <v>0</v>
      </c>
      <c r="AZ134">
        <f>IF(EXACT(Asistencia!G141,"DL"),1,0)</f>
        <v>0</v>
      </c>
      <c r="BA134">
        <f>IF(EXACT(Asistencia!H141,"DL"),1,0)</f>
        <v>0</v>
      </c>
      <c r="BB134">
        <f>IF(EXACT(Asistencia!I141,"DL"),1,0)</f>
        <v>0</v>
      </c>
      <c r="BC134">
        <f>IF(EXACT(Asistencia!J141,"DL"),1,0)</f>
        <v>0</v>
      </c>
      <c r="BD134">
        <f>IF(EXACT(Asistencia!K141,"DL"),1,0)</f>
        <v>0</v>
      </c>
      <c r="BE134">
        <f>IF(EXACT(Asistencia!L141,"DL"),1,0)</f>
        <v>0</v>
      </c>
      <c r="BF134">
        <f t="shared" si="87"/>
        <v>0</v>
      </c>
      <c r="BG134">
        <f>IF(ISNUMBER(Asistencia!M141),Asistencia!M141,0)</f>
        <v>0</v>
      </c>
      <c r="BH134">
        <f>IF(ISNUMBER(Asistencia!N141),Asistencia!N141,0)</f>
        <v>0</v>
      </c>
      <c r="BI134">
        <f>IF(ISNUMBER(Asistencia!O141),Asistencia!O141,0)</f>
        <v>0</v>
      </c>
      <c r="BJ134">
        <f>IF(ISNUMBER(Asistencia!P141),Asistencia!P141,0)</f>
        <v>0</v>
      </c>
      <c r="BK134" t="str">
        <f>IF(Asistencia!F141="","",Asistencia!F141)</f>
        <v/>
      </c>
      <c r="BL134" t="str">
        <f>IF(Asistencia!G141="","",Asistencia!G141)</f>
        <v/>
      </c>
      <c r="BM134" t="str">
        <f>IF(Asistencia!H141="","",Asistencia!H141)</f>
        <v/>
      </c>
      <c r="BN134" t="str">
        <f>IF(Asistencia!I141="","",Asistencia!I141)</f>
        <v/>
      </c>
      <c r="BO134" t="str">
        <f>IF(Asistencia!J141="","",Asistencia!J141)</f>
        <v/>
      </c>
      <c r="BP134" t="str">
        <f>IF(Asistencia!K141="","",Asistencia!K141)</f>
        <v/>
      </c>
      <c r="BQ134" t="str">
        <f>IF(Asistencia!L141="","",Asistencia!L141)</f>
        <v/>
      </c>
    </row>
    <row r="135" spans="1:69" x14ac:dyDescent="0.25">
      <c r="A135" s="46"/>
      <c r="B135" s="47"/>
      <c r="C135" s="47"/>
      <c r="D135" s="47"/>
      <c r="E135" s="46"/>
      <c r="F135" s="45"/>
      <c r="G135" s="44"/>
      <c r="H135" s="44"/>
      <c r="I135" s="44"/>
      <c r="J135" s="44"/>
      <c r="K135" s="44"/>
      <c r="L135" s="44"/>
      <c r="M135" s="43"/>
      <c r="N135" s="41"/>
      <c r="O135" s="41"/>
      <c r="P135" s="41"/>
      <c r="Q135" s="41"/>
      <c r="R135" s="41"/>
      <c r="S135" s="41"/>
      <c r="T135" s="48"/>
      <c r="U135" s="41"/>
      <c r="V135" s="41"/>
      <c r="W135" s="42"/>
      <c r="AA135" t="str">
        <f t="shared" si="84"/>
        <v/>
      </c>
      <c r="AB135" t="str">
        <f>IF(Asistencia!A142="","",Asistencia!A142)</f>
        <v/>
      </c>
      <c r="AC135" t="str">
        <f>IF(Asistencia!A142="","",SUBSTITUTE(SUBSTITUTE(SUBSTITUTE(SUBSTITUTE(SUBSTITUTE(SUBSTITUTE(SUBSTITUTE(UPPER(TRIM(Asistencia!A142)),"Á","A"),"É","E"),"Í","I"),"Ó","O"),"Ú","U"),"Ñ","N"),"  "," "))</f>
        <v/>
      </c>
      <c r="AD135" t="str">
        <f>IF(Asistencia!E142="","",Asistencia!E142)</f>
        <v/>
      </c>
      <c r="AE135" t="str">
        <f>IF(Asistencia!D142="","",UPPER(TRIM(Asistencia!D142)))</f>
        <v/>
      </c>
      <c r="AF135" t="s">
        <v>192</v>
      </c>
      <c r="AG135">
        <f>IF(AND(AA135&lt;&gt;"",COUNTIF($AA$5:AA135,AA135)=1),1,0)</f>
        <v>0</v>
      </c>
      <c r="AH135" t="str">
        <f>IF(AG135=1,SUM($AG$5:AG135),"")</f>
        <v/>
      </c>
      <c r="AI135">
        <f>IF(OR(EXACT(Asistencia!F142,"A"),EXACT(Asistencia!F142,"R"),EXACT(Asistencia!F142,"DL"),EXACT(Asistencia!F142,"FL"),EXACT(Asistencia!F142,"FE"),EXACT(Asistencia!F142,"PCS"),EXACT(Asistencia!F142,"V")),1,0)</f>
        <v>0</v>
      </c>
      <c r="AJ135">
        <f>IF(OR(EXACT(Asistencia!G142,"A"),EXACT(Asistencia!G142,"R"),EXACT(Asistencia!G142,"DL"),EXACT(Asistencia!G142,"FL"),EXACT(Asistencia!G142,"FE"),EXACT(Asistencia!G142,"PCS"),EXACT(Asistencia!G142,"V")),1,0)</f>
        <v>0</v>
      </c>
      <c r="AK135">
        <f>IF(OR(EXACT(Asistencia!H142,"A"),EXACT(Asistencia!H142,"R"),EXACT(Asistencia!H142,"DL"),EXACT(Asistencia!H142,"FL"),EXACT(Asistencia!H142,"FE"),EXACT(Asistencia!H142,"PCS"),EXACT(Asistencia!H142,"V")),1,0)</f>
        <v>0</v>
      </c>
      <c r="AL135">
        <f>IF(OR(EXACT(Asistencia!I142,"A"),EXACT(Asistencia!I142,"R"),EXACT(Asistencia!I142,"DL"),EXACT(Asistencia!I142,"FL"),EXACT(Asistencia!I142,"FE"),EXACT(Asistencia!I142,"PCS"),EXACT(Asistencia!I142,"V")),1,0)</f>
        <v>0</v>
      </c>
      <c r="AM135">
        <f>IF(OR(EXACT(Asistencia!J142,"A"),EXACT(Asistencia!J142,"R"),EXACT(Asistencia!J142,"DL"),EXACT(Asistencia!J142,"FL"),EXACT(Asistencia!J142,"FE"),EXACT(Asistencia!J142,"PCS"),EXACT(Asistencia!J142,"V")),1,0)</f>
        <v>0</v>
      </c>
      <c r="AN135">
        <f>IF(OR(EXACT(Asistencia!K142,"A"),EXACT(Asistencia!K142,"R"),EXACT(Asistencia!K142,"DL"),EXACT(Asistencia!K142,"FL"),EXACT(Asistencia!K142,"FE"),EXACT(Asistencia!K142,"PCS"),EXACT(Asistencia!K142,"V")),1,0)</f>
        <v>0</v>
      </c>
      <c r="AO135">
        <f>IF(OR(EXACT(Asistencia!L142,"A"),EXACT(Asistencia!L142,"R"),EXACT(Asistencia!L142,"DL"),EXACT(Asistencia!L142,"FL"),EXACT(Asistencia!L142,"FE"),EXACT(Asistencia!L142,"PCS"),EXACT(Asistencia!L142,"V")),1,0)</f>
        <v>0</v>
      </c>
      <c r="AP135">
        <f t="shared" si="85"/>
        <v>0</v>
      </c>
      <c r="AQ135">
        <f>IF(EXACT(Asistencia!F142,"FL"),1,0)</f>
        <v>0</v>
      </c>
      <c r="AR135">
        <f>IF(EXACT(Asistencia!G142,"FL"),1,0)</f>
        <v>0</v>
      </c>
      <c r="AS135">
        <f>IF(EXACT(Asistencia!H142,"FL"),1,0)</f>
        <v>0</v>
      </c>
      <c r="AT135">
        <f>IF(EXACT(Asistencia!I142,"FL"),1,0)</f>
        <v>0</v>
      </c>
      <c r="AU135">
        <f>IF(EXACT(Asistencia!J142,"FL"),1,0)</f>
        <v>0</v>
      </c>
      <c r="AV135">
        <f>IF(EXACT(Asistencia!K142,"FL"),1,0)</f>
        <v>0</v>
      </c>
      <c r="AW135">
        <f>IF(EXACT(Asistencia!L142,"FL"),1,0)</f>
        <v>0</v>
      </c>
      <c r="AX135">
        <f t="shared" si="86"/>
        <v>0</v>
      </c>
      <c r="AY135">
        <f>IF(EXACT(Asistencia!F142,"DL"),1,0)</f>
        <v>0</v>
      </c>
      <c r="AZ135">
        <f>IF(EXACT(Asistencia!G142,"DL"),1,0)</f>
        <v>0</v>
      </c>
      <c r="BA135">
        <f>IF(EXACT(Asistencia!H142,"DL"),1,0)</f>
        <v>0</v>
      </c>
      <c r="BB135">
        <f>IF(EXACT(Asistencia!I142,"DL"),1,0)</f>
        <v>0</v>
      </c>
      <c r="BC135">
        <f>IF(EXACT(Asistencia!J142,"DL"),1,0)</f>
        <v>0</v>
      </c>
      <c r="BD135">
        <f>IF(EXACT(Asistencia!K142,"DL"),1,0)</f>
        <v>0</v>
      </c>
      <c r="BE135">
        <f>IF(EXACT(Asistencia!L142,"DL"),1,0)</f>
        <v>0</v>
      </c>
      <c r="BF135">
        <f t="shared" si="87"/>
        <v>0</v>
      </c>
      <c r="BG135">
        <f>IF(ISNUMBER(Asistencia!M142),Asistencia!M142,0)</f>
        <v>0</v>
      </c>
      <c r="BH135">
        <f>IF(ISNUMBER(Asistencia!N142),Asistencia!N142,0)</f>
        <v>0</v>
      </c>
      <c r="BI135">
        <f>IF(ISNUMBER(Asistencia!O142),Asistencia!O142,0)</f>
        <v>0</v>
      </c>
      <c r="BJ135">
        <f>IF(ISNUMBER(Asistencia!P142),Asistencia!P142,0)</f>
        <v>0</v>
      </c>
      <c r="BK135" t="str">
        <f>IF(Asistencia!F142="","",Asistencia!F142)</f>
        <v/>
      </c>
      <c r="BL135" t="str">
        <f>IF(Asistencia!G142="","",Asistencia!G142)</f>
        <v/>
      </c>
      <c r="BM135" t="str">
        <f>IF(Asistencia!H142="","",Asistencia!H142)</f>
        <v/>
      </c>
      <c r="BN135" t="str">
        <f>IF(Asistencia!I142="","",Asistencia!I142)</f>
        <v/>
      </c>
      <c r="BO135" t="str">
        <f>IF(Asistencia!J142="","",Asistencia!J142)</f>
        <v/>
      </c>
      <c r="BP135" t="str">
        <f>IF(Asistencia!K142="","",Asistencia!K142)</f>
        <v/>
      </c>
      <c r="BQ135" t="str">
        <f>IF(Asistencia!L142="","",Asistencia!L142)</f>
        <v/>
      </c>
    </row>
    <row r="136" spans="1:69" x14ac:dyDescent="0.25">
      <c r="A136" s="46"/>
      <c r="B136" s="47"/>
      <c r="C136" s="47"/>
      <c r="D136" s="47"/>
      <c r="E136" s="46"/>
      <c r="F136" s="45"/>
      <c r="G136" s="44"/>
      <c r="H136" s="44"/>
      <c r="I136" s="44"/>
      <c r="J136" s="44"/>
      <c r="K136" s="44"/>
      <c r="L136" s="44"/>
      <c r="M136" s="43"/>
      <c r="N136" s="41"/>
      <c r="O136" s="41"/>
      <c r="P136" s="41"/>
      <c r="Q136" s="41"/>
      <c r="R136" s="41"/>
      <c r="S136" s="41"/>
      <c r="T136" s="48"/>
      <c r="U136" s="41"/>
      <c r="V136" s="41"/>
      <c r="W136" s="42"/>
      <c r="AA136" t="str">
        <f t="shared" si="84"/>
        <v/>
      </c>
      <c r="AB136" t="str">
        <f>IF(Asistencia!A143="","",Asistencia!A143)</f>
        <v/>
      </c>
      <c r="AC136" t="str">
        <f>IF(Asistencia!A143="","",SUBSTITUTE(SUBSTITUTE(SUBSTITUTE(SUBSTITUTE(SUBSTITUTE(SUBSTITUTE(SUBSTITUTE(UPPER(TRIM(Asistencia!A143)),"Á","A"),"É","E"),"Í","I"),"Ó","O"),"Ú","U"),"Ñ","N"),"  "," "))</f>
        <v/>
      </c>
      <c r="AD136" t="str">
        <f>IF(Asistencia!E143="","",Asistencia!E143)</f>
        <v/>
      </c>
      <c r="AE136" t="str">
        <f>IF(Asistencia!D143="","",UPPER(TRIM(Asistencia!D143)))</f>
        <v/>
      </c>
      <c r="AF136" t="s">
        <v>192</v>
      </c>
      <c r="AG136">
        <f>IF(AND(AA136&lt;&gt;"",COUNTIF($AA$5:AA136,AA136)=1),1,0)</f>
        <v>0</v>
      </c>
      <c r="AH136" t="str">
        <f>IF(AG136=1,SUM($AG$5:AG136),"")</f>
        <v/>
      </c>
      <c r="AI136">
        <f>IF(OR(EXACT(Asistencia!F143,"A"),EXACT(Asistencia!F143,"R"),EXACT(Asistencia!F143,"DL"),EXACT(Asistencia!F143,"FL"),EXACT(Asistencia!F143,"FE"),EXACT(Asistencia!F143,"PCS"),EXACT(Asistencia!F143,"V")),1,0)</f>
        <v>0</v>
      </c>
      <c r="AJ136">
        <f>IF(OR(EXACT(Asistencia!G143,"A"),EXACT(Asistencia!G143,"R"),EXACT(Asistencia!G143,"DL"),EXACT(Asistencia!G143,"FL"),EXACT(Asistencia!G143,"FE"),EXACT(Asistencia!G143,"PCS"),EXACT(Asistencia!G143,"V")),1,0)</f>
        <v>0</v>
      </c>
      <c r="AK136">
        <f>IF(OR(EXACT(Asistencia!H143,"A"),EXACT(Asistencia!H143,"R"),EXACT(Asistencia!H143,"DL"),EXACT(Asistencia!H143,"FL"),EXACT(Asistencia!H143,"FE"),EXACT(Asistencia!H143,"PCS"),EXACT(Asistencia!H143,"V")),1,0)</f>
        <v>0</v>
      </c>
      <c r="AL136">
        <f>IF(OR(EXACT(Asistencia!I143,"A"),EXACT(Asistencia!I143,"R"),EXACT(Asistencia!I143,"DL"),EXACT(Asistencia!I143,"FL"),EXACT(Asistencia!I143,"FE"),EXACT(Asistencia!I143,"PCS"),EXACT(Asistencia!I143,"V")),1,0)</f>
        <v>0</v>
      </c>
      <c r="AM136">
        <f>IF(OR(EXACT(Asistencia!J143,"A"),EXACT(Asistencia!J143,"R"),EXACT(Asistencia!J143,"DL"),EXACT(Asistencia!J143,"FL"),EXACT(Asistencia!J143,"FE"),EXACT(Asistencia!J143,"PCS"),EXACT(Asistencia!J143,"V")),1,0)</f>
        <v>0</v>
      </c>
      <c r="AN136">
        <f>IF(OR(EXACT(Asistencia!K143,"A"),EXACT(Asistencia!K143,"R"),EXACT(Asistencia!K143,"DL"),EXACT(Asistencia!K143,"FL"),EXACT(Asistencia!K143,"FE"),EXACT(Asistencia!K143,"PCS"),EXACT(Asistencia!K143,"V")),1,0)</f>
        <v>0</v>
      </c>
      <c r="AO136">
        <f>IF(OR(EXACT(Asistencia!L143,"A"),EXACT(Asistencia!L143,"R"),EXACT(Asistencia!L143,"DL"),EXACT(Asistencia!L143,"FL"),EXACT(Asistencia!L143,"FE"),EXACT(Asistencia!L143,"PCS"),EXACT(Asistencia!L143,"V")),1,0)</f>
        <v>0</v>
      </c>
      <c r="AP136">
        <f t="shared" si="85"/>
        <v>0</v>
      </c>
      <c r="AQ136">
        <f>IF(EXACT(Asistencia!F143,"FL"),1,0)</f>
        <v>0</v>
      </c>
      <c r="AR136">
        <f>IF(EXACT(Asistencia!G143,"FL"),1,0)</f>
        <v>0</v>
      </c>
      <c r="AS136">
        <f>IF(EXACT(Asistencia!H143,"FL"),1,0)</f>
        <v>0</v>
      </c>
      <c r="AT136">
        <f>IF(EXACT(Asistencia!I143,"FL"),1,0)</f>
        <v>0</v>
      </c>
      <c r="AU136">
        <f>IF(EXACT(Asistencia!J143,"FL"),1,0)</f>
        <v>0</v>
      </c>
      <c r="AV136">
        <f>IF(EXACT(Asistencia!K143,"FL"),1,0)</f>
        <v>0</v>
      </c>
      <c r="AW136">
        <f>IF(EXACT(Asistencia!L143,"FL"),1,0)</f>
        <v>0</v>
      </c>
      <c r="AX136">
        <f t="shared" si="86"/>
        <v>0</v>
      </c>
      <c r="AY136">
        <f>IF(EXACT(Asistencia!F143,"DL"),1,0)</f>
        <v>0</v>
      </c>
      <c r="AZ136">
        <f>IF(EXACT(Asistencia!G143,"DL"),1,0)</f>
        <v>0</v>
      </c>
      <c r="BA136">
        <f>IF(EXACT(Asistencia!H143,"DL"),1,0)</f>
        <v>0</v>
      </c>
      <c r="BB136">
        <f>IF(EXACT(Asistencia!I143,"DL"),1,0)</f>
        <v>0</v>
      </c>
      <c r="BC136">
        <f>IF(EXACT(Asistencia!J143,"DL"),1,0)</f>
        <v>0</v>
      </c>
      <c r="BD136">
        <f>IF(EXACT(Asistencia!K143,"DL"),1,0)</f>
        <v>0</v>
      </c>
      <c r="BE136">
        <f>IF(EXACT(Asistencia!L143,"DL"),1,0)</f>
        <v>0</v>
      </c>
      <c r="BF136">
        <f t="shared" si="87"/>
        <v>0</v>
      </c>
      <c r="BG136">
        <f>IF(ISNUMBER(Asistencia!M143),Asistencia!M143,0)</f>
        <v>0</v>
      </c>
      <c r="BH136">
        <f>IF(ISNUMBER(Asistencia!N143),Asistencia!N143,0)</f>
        <v>0</v>
      </c>
      <c r="BI136">
        <f>IF(ISNUMBER(Asistencia!O143),Asistencia!O143,0)</f>
        <v>0</v>
      </c>
      <c r="BJ136">
        <f>IF(ISNUMBER(Asistencia!P143),Asistencia!P143,0)</f>
        <v>0</v>
      </c>
      <c r="BK136" t="str">
        <f>IF(Asistencia!F143="","",Asistencia!F143)</f>
        <v/>
      </c>
      <c r="BL136" t="str">
        <f>IF(Asistencia!G143="","",Asistencia!G143)</f>
        <v/>
      </c>
      <c r="BM136" t="str">
        <f>IF(Asistencia!H143="","",Asistencia!H143)</f>
        <v/>
      </c>
      <c r="BN136" t="str">
        <f>IF(Asistencia!I143="","",Asistencia!I143)</f>
        <v/>
      </c>
      <c r="BO136" t="str">
        <f>IF(Asistencia!J143="","",Asistencia!J143)</f>
        <v/>
      </c>
      <c r="BP136" t="str">
        <f>IF(Asistencia!K143="","",Asistencia!K143)</f>
        <v/>
      </c>
      <c r="BQ136" t="str">
        <f>IF(Asistencia!L143="","",Asistencia!L143)</f>
        <v/>
      </c>
    </row>
    <row r="137" spans="1:69" x14ac:dyDescent="0.25">
      <c r="A137" s="46"/>
      <c r="B137" s="47"/>
      <c r="C137" s="47"/>
      <c r="D137" s="47"/>
      <c r="E137" s="46"/>
      <c r="F137" s="45"/>
      <c r="G137" s="44"/>
      <c r="H137" s="44"/>
      <c r="I137" s="44"/>
      <c r="J137" s="44"/>
      <c r="K137" s="44"/>
      <c r="L137" s="44"/>
      <c r="M137" s="43"/>
      <c r="N137" s="41"/>
      <c r="O137" s="41"/>
      <c r="P137" s="41"/>
      <c r="Q137" s="41"/>
      <c r="R137" s="41"/>
      <c r="S137" s="41"/>
      <c r="T137" s="48"/>
      <c r="U137" s="41"/>
      <c r="V137" s="41"/>
      <c r="W137" s="42"/>
      <c r="AA137" t="str">
        <f t="shared" si="84"/>
        <v/>
      </c>
      <c r="AB137" t="str">
        <f>IF(Asistencia!A144="","",Asistencia!A144)</f>
        <v/>
      </c>
      <c r="AC137" t="str">
        <f>IF(Asistencia!A144="","",SUBSTITUTE(SUBSTITUTE(SUBSTITUTE(SUBSTITUTE(SUBSTITUTE(SUBSTITUTE(SUBSTITUTE(UPPER(TRIM(Asistencia!A144)),"Á","A"),"É","E"),"Í","I"),"Ó","O"),"Ú","U"),"Ñ","N"),"  "," "))</f>
        <v/>
      </c>
      <c r="AD137" t="str">
        <f>IF(Asistencia!E144="","",Asistencia!E144)</f>
        <v/>
      </c>
      <c r="AE137" t="str">
        <f>IF(Asistencia!D144="","",UPPER(TRIM(Asistencia!D144)))</f>
        <v/>
      </c>
      <c r="AF137" t="s">
        <v>192</v>
      </c>
      <c r="AG137">
        <f>IF(AND(AA137&lt;&gt;"",COUNTIF($AA$5:AA137,AA137)=1),1,0)</f>
        <v>0</v>
      </c>
      <c r="AH137" t="str">
        <f>IF(AG137=1,SUM($AG$5:AG137),"")</f>
        <v/>
      </c>
      <c r="AI137">
        <f>IF(OR(EXACT(Asistencia!F144,"A"),EXACT(Asistencia!F144,"R"),EXACT(Asistencia!F144,"DL"),EXACT(Asistencia!F144,"FL"),EXACT(Asistencia!F144,"FE"),EXACT(Asistencia!F144,"PCS"),EXACT(Asistencia!F144,"V")),1,0)</f>
        <v>0</v>
      </c>
      <c r="AJ137">
        <f>IF(OR(EXACT(Asistencia!G144,"A"),EXACT(Asistencia!G144,"R"),EXACT(Asistencia!G144,"DL"),EXACT(Asistencia!G144,"FL"),EXACT(Asistencia!G144,"FE"),EXACT(Asistencia!G144,"PCS"),EXACT(Asistencia!G144,"V")),1,0)</f>
        <v>0</v>
      </c>
      <c r="AK137">
        <f>IF(OR(EXACT(Asistencia!H144,"A"),EXACT(Asistencia!H144,"R"),EXACT(Asistencia!H144,"DL"),EXACT(Asistencia!H144,"FL"),EXACT(Asistencia!H144,"FE"),EXACT(Asistencia!H144,"PCS"),EXACT(Asistencia!H144,"V")),1,0)</f>
        <v>0</v>
      </c>
      <c r="AL137">
        <f>IF(OR(EXACT(Asistencia!I144,"A"),EXACT(Asistencia!I144,"R"),EXACT(Asistencia!I144,"DL"),EXACT(Asistencia!I144,"FL"),EXACT(Asistencia!I144,"FE"),EXACT(Asistencia!I144,"PCS"),EXACT(Asistencia!I144,"V")),1,0)</f>
        <v>0</v>
      </c>
      <c r="AM137">
        <f>IF(OR(EXACT(Asistencia!J144,"A"),EXACT(Asistencia!J144,"R"),EXACT(Asistencia!J144,"DL"),EXACT(Asistencia!J144,"FL"),EXACT(Asistencia!J144,"FE"),EXACT(Asistencia!J144,"PCS"),EXACT(Asistencia!J144,"V")),1,0)</f>
        <v>0</v>
      </c>
      <c r="AN137">
        <f>IF(OR(EXACT(Asistencia!K144,"A"),EXACT(Asistencia!K144,"R"),EXACT(Asistencia!K144,"DL"),EXACT(Asistencia!K144,"FL"),EXACT(Asistencia!K144,"FE"),EXACT(Asistencia!K144,"PCS"),EXACT(Asistencia!K144,"V")),1,0)</f>
        <v>0</v>
      </c>
      <c r="AO137">
        <f>IF(OR(EXACT(Asistencia!L144,"A"),EXACT(Asistencia!L144,"R"),EXACT(Asistencia!L144,"DL"),EXACT(Asistencia!L144,"FL"),EXACT(Asistencia!L144,"FE"),EXACT(Asistencia!L144,"PCS"),EXACT(Asistencia!L144,"V")),1,0)</f>
        <v>0</v>
      </c>
      <c r="AP137">
        <f t="shared" si="85"/>
        <v>0</v>
      </c>
      <c r="AQ137">
        <f>IF(EXACT(Asistencia!F144,"FL"),1,0)</f>
        <v>0</v>
      </c>
      <c r="AR137">
        <f>IF(EXACT(Asistencia!G144,"FL"),1,0)</f>
        <v>0</v>
      </c>
      <c r="AS137">
        <f>IF(EXACT(Asistencia!H144,"FL"),1,0)</f>
        <v>0</v>
      </c>
      <c r="AT137">
        <f>IF(EXACT(Asistencia!I144,"FL"),1,0)</f>
        <v>0</v>
      </c>
      <c r="AU137">
        <f>IF(EXACT(Asistencia!J144,"FL"),1,0)</f>
        <v>0</v>
      </c>
      <c r="AV137">
        <f>IF(EXACT(Asistencia!K144,"FL"),1,0)</f>
        <v>0</v>
      </c>
      <c r="AW137">
        <f>IF(EXACT(Asistencia!L144,"FL"),1,0)</f>
        <v>0</v>
      </c>
      <c r="AX137">
        <f t="shared" si="86"/>
        <v>0</v>
      </c>
      <c r="AY137">
        <f>IF(EXACT(Asistencia!F144,"DL"),1,0)</f>
        <v>0</v>
      </c>
      <c r="AZ137">
        <f>IF(EXACT(Asistencia!G144,"DL"),1,0)</f>
        <v>0</v>
      </c>
      <c r="BA137">
        <f>IF(EXACT(Asistencia!H144,"DL"),1,0)</f>
        <v>0</v>
      </c>
      <c r="BB137">
        <f>IF(EXACT(Asistencia!I144,"DL"),1,0)</f>
        <v>0</v>
      </c>
      <c r="BC137">
        <f>IF(EXACT(Asistencia!J144,"DL"),1,0)</f>
        <v>0</v>
      </c>
      <c r="BD137">
        <f>IF(EXACT(Asistencia!K144,"DL"),1,0)</f>
        <v>0</v>
      </c>
      <c r="BE137">
        <f>IF(EXACT(Asistencia!L144,"DL"),1,0)</f>
        <v>0</v>
      </c>
      <c r="BF137">
        <f t="shared" si="87"/>
        <v>0</v>
      </c>
      <c r="BG137">
        <f>IF(ISNUMBER(Asistencia!M144),Asistencia!M144,0)</f>
        <v>0</v>
      </c>
      <c r="BH137">
        <f>IF(ISNUMBER(Asistencia!N144),Asistencia!N144,0)</f>
        <v>0</v>
      </c>
      <c r="BI137">
        <f>IF(ISNUMBER(Asistencia!O144),Asistencia!O144,0)</f>
        <v>0</v>
      </c>
      <c r="BJ137">
        <f>IF(ISNUMBER(Asistencia!P144),Asistencia!P144,0)</f>
        <v>0</v>
      </c>
      <c r="BK137" t="str">
        <f>IF(Asistencia!F144="","",Asistencia!F144)</f>
        <v/>
      </c>
      <c r="BL137" t="str">
        <f>IF(Asistencia!G144="","",Asistencia!G144)</f>
        <v/>
      </c>
      <c r="BM137" t="str">
        <f>IF(Asistencia!H144="","",Asistencia!H144)</f>
        <v/>
      </c>
      <c r="BN137" t="str">
        <f>IF(Asistencia!I144="","",Asistencia!I144)</f>
        <v/>
      </c>
      <c r="BO137" t="str">
        <f>IF(Asistencia!J144="","",Asistencia!J144)</f>
        <v/>
      </c>
      <c r="BP137" t="str">
        <f>IF(Asistencia!K144="","",Asistencia!K144)</f>
        <v/>
      </c>
      <c r="BQ137" t="str">
        <f>IF(Asistencia!L144="","",Asistencia!L144)</f>
        <v/>
      </c>
    </row>
    <row r="138" spans="1:69" x14ac:dyDescent="0.25">
      <c r="A138" s="46"/>
      <c r="B138" s="47"/>
      <c r="C138" s="47"/>
      <c r="D138" s="47"/>
      <c r="E138" s="46"/>
      <c r="F138" s="45"/>
      <c r="G138" s="44"/>
      <c r="H138" s="44"/>
      <c r="I138" s="44"/>
      <c r="J138" s="44"/>
      <c r="K138" s="44"/>
      <c r="L138" s="44"/>
      <c r="M138" s="43"/>
      <c r="N138" s="41"/>
      <c r="O138" s="41"/>
      <c r="P138" s="41"/>
      <c r="Q138" s="41"/>
      <c r="R138" s="41"/>
      <c r="S138" s="41"/>
      <c r="T138" s="48"/>
      <c r="U138" s="41"/>
      <c r="V138" s="41"/>
      <c r="W138" s="42"/>
      <c r="AA138" t="str">
        <f t="shared" si="84"/>
        <v/>
      </c>
      <c r="AB138" t="str">
        <f>IF(Asistencia!A145="","",Asistencia!A145)</f>
        <v/>
      </c>
      <c r="AC138" t="str">
        <f>IF(Asistencia!A145="","",SUBSTITUTE(SUBSTITUTE(SUBSTITUTE(SUBSTITUTE(SUBSTITUTE(SUBSTITUTE(SUBSTITUTE(UPPER(TRIM(Asistencia!A145)),"Á","A"),"É","E"),"Í","I"),"Ó","O"),"Ú","U"),"Ñ","N"),"  "," "))</f>
        <v/>
      </c>
      <c r="AD138" t="str">
        <f>IF(Asistencia!E145="","",Asistencia!E145)</f>
        <v/>
      </c>
      <c r="AE138" t="str">
        <f>IF(Asistencia!D145="","",UPPER(TRIM(Asistencia!D145)))</f>
        <v/>
      </c>
      <c r="AF138" t="s">
        <v>192</v>
      </c>
      <c r="AG138">
        <f>IF(AND(AA138&lt;&gt;"",COUNTIF($AA$5:AA138,AA138)=1),1,0)</f>
        <v>0</v>
      </c>
      <c r="AH138" t="str">
        <f>IF(AG138=1,SUM($AG$5:AG138),"")</f>
        <v/>
      </c>
      <c r="AI138">
        <f>IF(OR(EXACT(Asistencia!F145,"A"),EXACT(Asistencia!F145,"R"),EXACT(Asistencia!F145,"DL"),EXACT(Asistencia!F145,"FL"),EXACT(Asistencia!F145,"FE"),EXACT(Asistencia!F145,"PCS"),EXACT(Asistencia!F145,"V")),1,0)</f>
        <v>0</v>
      </c>
      <c r="AJ138">
        <f>IF(OR(EXACT(Asistencia!G145,"A"),EXACT(Asistencia!G145,"R"),EXACT(Asistencia!G145,"DL"),EXACT(Asistencia!G145,"FL"),EXACT(Asistencia!G145,"FE"),EXACT(Asistencia!G145,"PCS"),EXACT(Asistencia!G145,"V")),1,0)</f>
        <v>0</v>
      </c>
      <c r="AK138">
        <f>IF(OR(EXACT(Asistencia!H145,"A"),EXACT(Asistencia!H145,"R"),EXACT(Asistencia!H145,"DL"),EXACT(Asistencia!H145,"FL"),EXACT(Asistencia!H145,"FE"),EXACT(Asistencia!H145,"PCS"),EXACT(Asistencia!H145,"V")),1,0)</f>
        <v>0</v>
      </c>
      <c r="AL138">
        <f>IF(OR(EXACT(Asistencia!I145,"A"),EXACT(Asistencia!I145,"R"),EXACT(Asistencia!I145,"DL"),EXACT(Asistencia!I145,"FL"),EXACT(Asistencia!I145,"FE"),EXACT(Asistencia!I145,"PCS"),EXACT(Asistencia!I145,"V")),1,0)</f>
        <v>0</v>
      </c>
      <c r="AM138">
        <f>IF(OR(EXACT(Asistencia!J145,"A"),EXACT(Asistencia!J145,"R"),EXACT(Asistencia!J145,"DL"),EXACT(Asistencia!J145,"FL"),EXACT(Asistencia!J145,"FE"),EXACT(Asistencia!J145,"PCS"),EXACT(Asistencia!J145,"V")),1,0)</f>
        <v>0</v>
      </c>
      <c r="AN138">
        <f>IF(OR(EXACT(Asistencia!K145,"A"),EXACT(Asistencia!K145,"R"),EXACT(Asistencia!K145,"DL"),EXACT(Asistencia!K145,"FL"),EXACT(Asistencia!K145,"FE"),EXACT(Asistencia!K145,"PCS"),EXACT(Asistencia!K145,"V")),1,0)</f>
        <v>0</v>
      </c>
      <c r="AO138">
        <f>IF(OR(EXACT(Asistencia!L145,"A"),EXACT(Asistencia!L145,"R"),EXACT(Asistencia!L145,"DL"),EXACT(Asistencia!L145,"FL"),EXACT(Asistencia!L145,"FE"),EXACT(Asistencia!L145,"PCS"),EXACT(Asistencia!L145,"V")),1,0)</f>
        <v>0</v>
      </c>
      <c r="AP138">
        <f t="shared" si="85"/>
        <v>0</v>
      </c>
      <c r="AQ138">
        <f>IF(EXACT(Asistencia!F145,"FL"),1,0)</f>
        <v>0</v>
      </c>
      <c r="AR138">
        <f>IF(EXACT(Asistencia!G145,"FL"),1,0)</f>
        <v>0</v>
      </c>
      <c r="AS138">
        <f>IF(EXACT(Asistencia!H145,"FL"),1,0)</f>
        <v>0</v>
      </c>
      <c r="AT138">
        <f>IF(EXACT(Asistencia!I145,"FL"),1,0)</f>
        <v>0</v>
      </c>
      <c r="AU138">
        <f>IF(EXACT(Asistencia!J145,"FL"),1,0)</f>
        <v>0</v>
      </c>
      <c r="AV138">
        <f>IF(EXACT(Asistencia!K145,"FL"),1,0)</f>
        <v>0</v>
      </c>
      <c r="AW138">
        <f>IF(EXACT(Asistencia!L145,"FL"),1,0)</f>
        <v>0</v>
      </c>
      <c r="AX138">
        <f t="shared" si="86"/>
        <v>0</v>
      </c>
      <c r="AY138">
        <f>IF(EXACT(Asistencia!F145,"DL"),1,0)</f>
        <v>0</v>
      </c>
      <c r="AZ138">
        <f>IF(EXACT(Asistencia!G145,"DL"),1,0)</f>
        <v>0</v>
      </c>
      <c r="BA138">
        <f>IF(EXACT(Asistencia!H145,"DL"),1,0)</f>
        <v>0</v>
      </c>
      <c r="BB138">
        <f>IF(EXACT(Asistencia!I145,"DL"),1,0)</f>
        <v>0</v>
      </c>
      <c r="BC138">
        <f>IF(EXACT(Asistencia!J145,"DL"),1,0)</f>
        <v>0</v>
      </c>
      <c r="BD138">
        <f>IF(EXACT(Asistencia!K145,"DL"),1,0)</f>
        <v>0</v>
      </c>
      <c r="BE138">
        <f>IF(EXACT(Asistencia!L145,"DL"),1,0)</f>
        <v>0</v>
      </c>
      <c r="BF138">
        <f t="shared" si="87"/>
        <v>0</v>
      </c>
      <c r="BG138">
        <f>IF(ISNUMBER(Asistencia!M145),Asistencia!M145,0)</f>
        <v>0</v>
      </c>
      <c r="BH138">
        <f>IF(ISNUMBER(Asistencia!N145),Asistencia!N145,0)</f>
        <v>0</v>
      </c>
      <c r="BI138">
        <f>IF(ISNUMBER(Asistencia!O145),Asistencia!O145,0)</f>
        <v>0</v>
      </c>
      <c r="BJ138">
        <f>IF(ISNUMBER(Asistencia!P145),Asistencia!P145,0)</f>
        <v>0</v>
      </c>
      <c r="BK138" t="str">
        <f>IF(Asistencia!F145="","",Asistencia!F145)</f>
        <v/>
      </c>
      <c r="BL138" t="str">
        <f>IF(Asistencia!G145="","",Asistencia!G145)</f>
        <v/>
      </c>
      <c r="BM138" t="str">
        <f>IF(Asistencia!H145="","",Asistencia!H145)</f>
        <v/>
      </c>
      <c r="BN138" t="str">
        <f>IF(Asistencia!I145="","",Asistencia!I145)</f>
        <v/>
      </c>
      <c r="BO138" t="str">
        <f>IF(Asistencia!J145="","",Asistencia!J145)</f>
        <v/>
      </c>
      <c r="BP138" t="str">
        <f>IF(Asistencia!K145="","",Asistencia!K145)</f>
        <v/>
      </c>
      <c r="BQ138" t="str">
        <f>IF(Asistencia!L145="","",Asistencia!L145)</f>
        <v/>
      </c>
    </row>
    <row r="139" spans="1:69" x14ac:dyDescent="0.25">
      <c r="A139" s="46"/>
      <c r="B139" s="47"/>
      <c r="C139" s="47"/>
      <c r="D139" s="47"/>
      <c r="E139" s="46"/>
      <c r="F139" s="45"/>
      <c r="G139" s="44"/>
      <c r="H139" s="44"/>
      <c r="I139" s="44"/>
      <c r="J139" s="44"/>
      <c r="K139" s="44"/>
      <c r="L139" s="44"/>
      <c r="M139" s="43"/>
      <c r="N139" s="41"/>
      <c r="O139" s="41"/>
      <c r="P139" s="41"/>
      <c r="Q139" s="41"/>
      <c r="R139" s="41"/>
      <c r="S139" s="41"/>
      <c r="T139" s="48"/>
      <c r="U139" s="41"/>
      <c r="V139" s="41"/>
      <c r="W139" s="42"/>
      <c r="AA139" t="str">
        <f t="shared" si="84"/>
        <v/>
      </c>
      <c r="AB139" t="str">
        <f>IF(Asistencia!A146="","",Asistencia!A146)</f>
        <v/>
      </c>
      <c r="AC139" t="str">
        <f>IF(Asistencia!A146="","",SUBSTITUTE(SUBSTITUTE(SUBSTITUTE(SUBSTITUTE(SUBSTITUTE(SUBSTITUTE(SUBSTITUTE(UPPER(TRIM(Asistencia!A146)),"Á","A"),"É","E"),"Í","I"),"Ó","O"),"Ú","U"),"Ñ","N"),"  "," "))</f>
        <v/>
      </c>
      <c r="AD139" t="str">
        <f>IF(Asistencia!E146="","",Asistencia!E146)</f>
        <v/>
      </c>
      <c r="AE139" t="str">
        <f>IF(Asistencia!D146="","",UPPER(TRIM(Asistencia!D146)))</f>
        <v/>
      </c>
      <c r="AF139" t="s">
        <v>192</v>
      </c>
      <c r="AG139">
        <f>IF(AND(AA139&lt;&gt;"",COUNTIF($AA$5:AA139,AA139)=1),1,0)</f>
        <v>0</v>
      </c>
      <c r="AH139" t="str">
        <f>IF(AG139=1,SUM($AG$5:AG139),"")</f>
        <v/>
      </c>
      <c r="AI139">
        <f>IF(OR(EXACT(Asistencia!F146,"A"),EXACT(Asistencia!F146,"R"),EXACT(Asistencia!F146,"DL"),EXACT(Asistencia!F146,"FL"),EXACT(Asistencia!F146,"FE"),EXACT(Asistencia!F146,"PCS"),EXACT(Asistencia!F146,"V")),1,0)</f>
        <v>0</v>
      </c>
      <c r="AJ139">
        <f>IF(OR(EXACT(Asistencia!G146,"A"),EXACT(Asistencia!G146,"R"),EXACT(Asistencia!G146,"DL"),EXACT(Asistencia!G146,"FL"),EXACT(Asistencia!G146,"FE"),EXACT(Asistencia!G146,"PCS"),EXACT(Asistencia!G146,"V")),1,0)</f>
        <v>0</v>
      </c>
      <c r="AK139">
        <f>IF(OR(EXACT(Asistencia!H146,"A"),EXACT(Asistencia!H146,"R"),EXACT(Asistencia!H146,"DL"),EXACT(Asistencia!H146,"FL"),EXACT(Asistencia!H146,"FE"),EXACT(Asistencia!H146,"PCS"),EXACT(Asistencia!H146,"V")),1,0)</f>
        <v>0</v>
      </c>
      <c r="AL139">
        <f>IF(OR(EXACT(Asistencia!I146,"A"),EXACT(Asistencia!I146,"R"),EXACT(Asistencia!I146,"DL"),EXACT(Asistencia!I146,"FL"),EXACT(Asistencia!I146,"FE"),EXACT(Asistencia!I146,"PCS"),EXACT(Asistencia!I146,"V")),1,0)</f>
        <v>0</v>
      </c>
      <c r="AM139">
        <f>IF(OR(EXACT(Asistencia!J146,"A"),EXACT(Asistencia!J146,"R"),EXACT(Asistencia!J146,"DL"),EXACT(Asistencia!J146,"FL"),EXACT(Asistencia!J146,"FE"),EXACT(Asistencia!J146,"PCS"),EXACT(Asistencia!J146,"V")),1,0)</f>
        <v>0</v>
      </c>
      <c r="AN139">
        <f>IF(OR(EXACT(Asistencia!K146,"A"),EXACT(Asistencia!K146,"R"),EXACT(Asistencia!K146,"DL"),EXACT(Asistencia!K146,"FL"),EXACT(Asistencia!K146,"FE"),EXACT(Asistencia!K146,"PCS"),EXACT(Asistencia!K146,"V")),1,0)</f>
        <v>0</v>
      </c>
      <c r="AO139">
        <f>IF(OR(EXACT(Asistencia!L146,"A"),EXACT(Asistencia!L146,"R"),EXACT(Asistencia!L146,"DL"),EXACT(Asistencia!L146,"FL"),EXACT(Asistencia!L146,"FE"),EXACT(Asistencia!L146,"PCS"),EXACT(Asistencia!L146,"V")),1,0)</f>
        <v>0</v>
      </c>
      <c r="AP139">
        <f t="shared" si="85"/>
        <v>0</v>
      </c>
      <c r="AQ139">
        <f>IF(EXACT(Asistencia!F146,"FL"),1,0)</f>
        <v>0</v>
      </c>
      <c r="AR139">
        <f>IF(EXACT(Asistencia!G146,"FL"),1,0)</f>
        <v>0</v>
      </c>
      <c r="AS139">
        <f>IF(EXACT(Asistencia!H146,"FL"),1,0)</f>
        <v>0</v>
      </c>
      <c r="AT139">
        <f>IF(EXACT(Asistencia!I146,"FL"),1,0)</f>
        <v>0</v>
      </c>
      <c r="AU139">
        <f>IF(EXACT(Asistencia!J146,"FL"),1,0)</f>
        <v>0</v>
      </c>
      <c r="AV139">
        <f>IF(EXACT(Asistencia!K146,"FL"),1,0)</f>
        <v>0</v>
      </c>
      <c r="AW139">
        <f>IF(EXACT(Asistencia!L146,"FL"),1,0)</f>
        <v>0</v>
      </c>
      <c r="AX139">
        <f t="shared" si="86"/>
        <v>0</v>
      </c>
      <c r="AY139">
        <f>IF(EXACT(Asistencia!F146,"DL"),1,0)</f>
        <v>0</v>
      </c>
      <c r="AZ139">
        <f>IF(EXACT(Asistencia!G146,"DL"),1,0)</f>
        <v>0</v>
      </c>
      <c r="BA139">
        <f>IF(EXACT(Asistencia!H146,"DL"),1,0)</f>
        <v>0</v>
      </c>
      <c r="BB139">
        <f>IF(EXACT(Asistencia!I146,"DL"),1,0)</f>
        <v>0</v>
      </c>
      <c r="BC139">
        <f>IF(EXACT(Asistencia!J146,"DL"),1,0)</f>
        <v>0</v>
      </c>
      <c r="BD139">
        <f>IF(EXACT(Asistencia!K146,"DL"),1,0)</f>
        <v>0</v>
      </c>
      <c r="BE139">
        <f>IF(EXACT(Asistencia!L146,"DL"),1,0)</f>
        <v>0</v>
      </c>
      <c r="BF139">
        <f t="shared" si="87"/>
        <v>0</v>
      </c>
      <c r="BG139">
        <f>IF(ISNUMBER(Asistencia!M146),Asistencia!M146,0)</f>
        <v>0</v>
      </c>
      <c r="BH139">
        <f>IF(ISNUMBER(Asistencia!N146),Asistencia!N146,0)</f>
        <v>0</v>
      </c>
      <c r="BI139">
        <f>IF(ISNUMBER(Asistencia!O146),Asistencia!O146,0)</f>
        <v>0</v>
      </c>
      <c r="BJ139">
        <f>IF(ISNUMBER(Asistencia!P146),Asistencia!P146,0)</f>
        <v>0</v>
      </c>
      <c r="BK139" t="str">
        <f>IF(Asistencia!F146="","",Asistencia!F146)</f>
        <v/>
      </c>
      <c r="BL139" t="str">
        <f>IF(Asistencia!G146="","",Asistencia!G146)</f>
        <v/>
      </c>
      <c r="BM139" t="str">
        <f>IF(Asistencia!H146="","",Asistencia!H146)</f>
        <v/>
      </c>
      <c r="BN139" t="str">
        <f>IF(Asistencia!I146="","",Asistencia!I146)</f>
        <v/>
      </c>
      <c r="BO139" t="str">
        <f>IF(Asistencia!J146="","",Asistencia!J146)</f>
        <v/>
      </c>
      <c r="BP139" t="str">
        <f>IF(Asistencia!K146="","",Asistencia!K146)</f>
        <v/>
      </c>
      <c r="BQ139" t="str">
        <f>IF(Asistencia!L146="","",Asistencia!L146)</f>
        <v/>
      </c>
    </row>
    <row r="140" spans="1:69" x14ac:dyDescent="0.25">
      <c r="A140" s="46"/>
      <c r="B140" s="47"/>
      <c r="C140" s="47"/>
      <c r="D140" s="47"/>
      <c r="E140" s="46"/>
      <c r="F140" s="45"/>
      <c r="G140" s="44"/>
      <c r="H140" s="44"/>
      <c r="I140" s="44"/>
      <c r="J140" s="44"/>
      <c r="K140" s="44"/>
      <c r="L140" s="44"/>
      <c r="M140" s="43"/>
      <c r="N140" s="41"/>
      <c r="O140" s="41"/>
      <c r="P140" s="41"/>
      <c r="Q140" s="41"/>
      <c r="R140" s="41"/>
      <c r="S140" s="41"/>
      <c r="T140" s="48"/>
      <c r="U140" s="41"/>
      <c r="V140" s="41"/>
      <c r="W140" s="42"/>
      <c r="AA140" t="str">
        <f t="shared" si="84"/>
        <v/>
      </c>
      <c r="AB140" t="str">
        <f>IF(Asistencia!A147="","",Asistencia!A147)</f>
        <v/>
      </c>
      <c r="AC140" t="str">
        <f>IF(Asistencia!A147="","",SUBSTITUTE(SUBSTITUTE(SUBSTITUTE(SUBSTITUTE(SUBSTITUTE(SUBSTITUTE(SUBSTITUTE(UPPER(TRIM(Asistencia!A147)),"Á","A"),"É","E"),"Í","I"),"Ó","O"),"Ú","U"),"Ñ","N"),"  "," "))</f>
        <v/>
      </c>
      <c r="AD140" t="str">
        <f>IF(Asistencia!E147="","",Asistencia!E147)</f>
        <v/>
      </c>
      <c r="AE140" t="str">
        <f>IF(Asistencia!D147="","",UPPER(TRIM(Asistencia!D147)))</f>
        <v/>
      </c>
      <c r="AF140" t="s">
        <v>192</v>
      </c>
      <c r="AG140">
        <f>IF(AND(AA140&lt;&gt;"",COUNTIF($AA$5:AA140,AA140)=1),1,0)</f>
        <v>0</v>
      </c>
      <c r="AH140" t="str">
        <f>IF(AG140=1,SUM($AG$5:AG140),"")</f>
        <v/>
      </c>
      <c r="AI140">
        <f>IF(OR(EXACT(Asistencia!F147,"A"),EXACT(Asistencia!F147,"R"),EXACT(Asistencia!F147,"DL"),EXACT(Asistencia!F147,"FL"),EXACT(Asistencia!F147,"FE"),EXACT(Asistencia!F147,"PCS"),EXACT(Asistencia!F147,"V")),1,0)</f>
        <v>0</v>
      </c>
      <c r="AJ140">
        <f>IF(OR(EXACT(Asistencia!G147,"A"),EXACT(Asistencia!G147,"R"),EXACT(Asistencia!G147,"DL"),EXACT(Asistencia!G147,"FL"),EXACT(Asistencia!G147,"FE"),EXACT(Asistencia!G147,"PCS"),EXACT(Asistencia!G147,"V")),1,0)</f>
        <v>0</v>
      </c>
      <c r="AK140">
        <f>IF(OR(EXACT(Asistencia!H147,"A"),EXACT(Asistencia!H147,"R"),EXACT(Asistencia!H147,"DL"),EXACT(Asistencia!H147,"FL"),EXACT(Asistencia!H147,"FE"),EXACT(Asistencia!H147,"PCS"),EXACT(Asistencia!H147,"V")),1,0)</f>
        <v>0</v>
      </c>
      <c r="AL140">
        <f>IF(OR(EXACT(Asistencia!I147,"A"),EXACT(Asistencia!I147,"R"),EXACT(Asistencia!I147,"DL"),EXACT(Asistencia!I147,"FL"),EXACT(Asistencia!I147,"FE"),EXACT(Asistencia!I147,"PCS"),EXACT(Asistencia!I147,"V")),1,0)</f>
        <v>0</v>
      </c>
      <c r="AM140">
        <f>IF(OR(EXACT(Asistencia!J147,"A"),EXACT(Asistencia!J147,"R"),EXACT(Asistencia!J147,"DL"),EXACT(Asistencia!J147,"FL"),EXACT(Asistencia!J147,"FE"),EXACT(Asistencia!J147,"PCS"),EXACT(Asistencia!J147,"V")),1,0)</f>
        <v>0</v>
      </c>
      <c r="AN140">
        <f>IF(OR(EXACT(Asistencia!K147,"A"),EXACT(Asistencia!K147,"R"),EXACT(Asistencia!K147,"DL"),EXACT(Asistencia!K147,"FL"),EXACT(Asistencia!K147,"FE"),EXACT(Asistencia!K147,"PCS"),EXACT(Asistencia!K147,"V")),1,0)</f>
        <v>0</v>
      </c>
      <c r="AO140">
        <f>IF(OR(EXACT(Asistencia!L147,"A"),EXACT(Asistencia!L147,"R"),EXACT(Asistencia!L147,"DL"),EXACT(Asistencia!L147,"FL"),EXACT(Asistencia!L147,"FE"),EXACT(Asistencia!L147,"PCS"),EXACT(Asistencia!L147,"V")),1,0)</f>
        <v>0</v>
      </c>
      <c r="AP140">
        <f t="shared" si="85"/>
        <v>0</v>
      </c>
      <c r="AQ140">
        <f>IF(EXACT(Asistencia!F147,"FL"),1,0)</f>
        <v>0</v>
      </c>
      <c r="AR140">
        <f>IF(EXACT(Asistencia!G147,"FL"),1,0)</f>
        <v>0</v>
      </c>
      <c r="AS140">
        <f>IF(EXACT(Asistencia!H147,"FL"),1,0)</f>
        <v>0</v>
      </c>
      <c r="AT140">
        <f>IF(EXACT(Asistencia!I147,"FL"),1,0)</f>
        <v>0</v>
      </c>
      <c r="AU140">
        <f>IF(EXACT(Asistencia!J147,"FL"),1,0)</f>
        <v>0</v>
      </c>
      <c r="AV140">
        <f>IF(EXACT(Asistencia!K147,"FL"),1,0)</f>
        <v>0</v>
      </c>
      <c r="AW140">
        <f>IF(EXACT(Asistencia!L147,"FL"),1,0)</f>
        <v>0</v>
      </c>
      <c r="AX140">
        <f t="shared" si="86"/>
        <v>0</v>
      </c>
      <c r="AY140">
        <f>IF(EXACT(Asistencia!F147,"DL"),1,0)</f>
        <v>0</v>
      </c>
      <c r="AZ140">
        <f>IF(EXACT(Asistencia!G147,"DL"),1,0)</f>
        <v>0</v>
      </c>
      <c r="BA140">
        <f>IF(EXACT(Asistencia!H147,"DL"),1,0)</f>
        <v>0</v>
      </c>
      <c r="BB140">
        <f>IF(EXACT(Asistencia!I147,"DL"),1,0)</f>
        <v>0</v>
      </c>
      <c r="BC140">
        <f>IF(EXACT(Asistencia!J147,"DL"),1,0)</f>
        <v>0</v>
      </c>
      <c r="BD140">
        <f>IF(EXACT(Asistencia!K147,"DL"),1,0)</f>
        <v>0</v>
      </c>
      <c r="BE140">
        <f>IF(EXACT(Asistencia!L147,"DL"),1,0)</f>
        <v>0</v>
      </c>
      <c r="BF140">
        <f t="shared" si="87"/>
        <v>0</v>
      </c>
      <c r="BG140">
        <f>IF(ISNUMBER(Asistencia!M147),Asistencia!M147,0)</f>
        <v>0</v>
      </c>
      <c r="BH140">
        <f>IF(ISNUMBER(Asistencia!N147),Asistencia!N147,0)</f>
        <v>0</v>
      </c>
      <c r="BI140">
        <f>IF(ISNUMBER(Asistencia!O147),Asistencia!O147,0)</f>
        <v>0</v>
      </c>
      <c r="BJ140">
        <f>IF(ISNUMBER(Asistencia!P147),Asistencia!P147,0)</f>
        <v>0</v>
      </c>
      <c r="BK140" t="str">
        <f>IF(Asistencia!F147="","",Asistencia!F147)</f>
        <v/>
      </c>
      <c r="BL140" t="str">
        <f>IF(Asistencia!G147="","",Asistencia!G147)</f>
        <v/>
      </c>
      <c r="BM140" t="str">
        <f>IF(Asistencia!H147="","",Asistencia!H147)</f>
        <v/>
      </c>
      <c r="BN140" t="str">
        <f>IF(Asistencia!I147="","",Asistencia!I147)</f>
        <v/>
      </c>
      <c r="BO140" t="str">
        <f>IF(Asistencia!J147="","",Asistencia!J147)</f>
        <v/>
      </c>
      <c r="BP140" t="str">
        <f>IF(Asistencia!K147="","",Asistencia!K147)</f>
        <v/>
      </c>
      <c r="BQ140" t="str">
        <f>IF(Asistencia!L147="","",Asistencia!L147)</f>
        <v/>
      </c>
    </row>
    <row r="141" spans="1:69" x14ac:dyDescent="0.25">
      <c r="A141" s="46"/>
      <c r="B141" s="47"/>
      <c r="C141" s="47"/>
      <c r="D141" s="47"/>
      <c r="E141" s="46"/>
      <c r="F141" s="45"/>
      <c r="G141" s="44"/>
      <c r="H141" s="44"/>
      <c r="I141" s="44"/>
      <c r="J141" s="44"/>
      <c r="K141" s="44"/>
      <c r="L141" s="44"/>
      <c r="M141" s="43"/>
      <c r="N141" s="41"/>
      <c r="O141" s="41"/>
      <c r="P141" s="41"/>
      <c r="Q141" s="41"/>
      <c r="R141" s="41"/>
      <c r="S141" s="41"/>
      <c r="T141" s="48"/>
      <c r="U141" s="41"/>
      <c r="V141" s="41"/>
      <c r="W141" s="42"/>
      <c r="AA141" t="str">
        <f t="shared" si="84"/>
        <v/>
      </c>
      <c r="AB141" t="str">
        <f>IF(Asistencia!A148="","",Asistencia!A148)</f>
        <v/>
      </c>
      <c r="AC141" t="str">
        <f>IF(Asistencia!A148="","",SUBSTITUTE(SUBSTITUTE(SUBSTITUTE(SUBSTITUTE(SUBSTITUTE(SUBSTITUTE(SUBSTITUTE(UPPER(TRIM(Asistencia!A148)),"Á","A"),"É","E"),"Í","I"),"Ó","O"),"Ú","U"),"Ñ","N"),"  "," "))</f>
        <v/>
      </c>
      <c r="AD141" t="str">
        <f>IF(Asistencia!E148="","",Asistencia!E148)</f>
        <v/>
      </c>
      <c r="AE141" t="str">
        <f>IF(Asistencia!D148="","",UPPER(TRIM(Asistencia!D148)))</f>
        <v/>
      </c>
      <c r="AF141" t="s">
        <v>192</v>
      </c>
      <c r="AG141">
        <f>IF(AND(AA141&lt;&gt;"",COUNTIF($AA$5:AA141,AA141)=1),1,0)</f>
        <v>0</v>
      </c>
      <c r="AH141" t="str">
        <f>IF(AG141=1,SUM($AG$5:AG141),"")</f>
        <v/>
      </c>
      <c r="AI141">
        <f>IF(OR(EXACT(Asistencia!F148,"A"),EXACT(Asistencia!F148,"R"),EXACT(Asistencia!F148,"DL"),EXACT(Asistencia!F148,"FL"),EXACT(Asistencia!F148,"FE"),EXACT(Asistencia!F148,"PCS"),EXACT(Asistencia!F148,"V")),1,0)</f>
        <v>0</v>
      </c>
      <c r="AJ141">
        <f>IF(OR(EXACT(Asistencia!G148,"A"),EXACT(Asistencia!G148,"R"),EXACT(Asistencia!G148,"DL"),EXACT(Asistencia!G148,"FL"),EXACT(Asistencia!G148,"FE"),EXACT(Asistencia!G148,"PCS"),EXACT(Asistencia!G148,"V")),1,0)</f>
        <v>0</v>
      </c>
      <c r="AK141">
        <f>IF(OR(EXACT(Asistencia!H148,"A"),EXACT(Asistencia!H148,"R"),EXACT(Asistencia!H148,"DL"),EXACT(Asistencia!H148,"FL"),EXACT(Asistencia!H148,"FE"),EXACT(Asistencia!H148,"PCS"),EXACT(Asistencia!H148,"V")),1,0)</f>
        <v>0</v>
      </c>
      <c r="AL141">
        <f>IF(OR(EXACT(Asistencia!I148,"A"),EXACT(Asistencia!I148,"R"),EXACT(Asistencia!I148,"DL"),EXACT(Asistencia!I148,"FL"),EXACT(Asistencia!I148,"FE"),EXACT(Asistencia!I148,"PCS"),EXACT(Asistencia!I148,"V")),1,0)</f>
        <v>0</v>
      </c>
      <c r="AM141">
        <f>IF(OR(EXACT(Asistencia!J148,"A"),EXACT(Asistencia!J148,"R"),EXACT(Asistencia!J148,"DL"),EXACT(Asistencia!J148,"FL"),EXACT(Asistencia!J148,"FE"),EXACT(Asistencia!J148,"PCS"),EXACT(Asistencia!J148,"V")),1,0)</f>
        <v>0</v>
      </c>
      <c r="AN141">
        <f>IF(OR(EXACT(Asistencia!K148,"A"),EXACT(Asistencia!K148,"R"),EXACT(Asistencia!K148,"DL"),EXACT(Asistencia!K148,"FL"),EXACT(Asistencia!K148,"FE"),EXACT(Asistencia!K148,"PCS"),EXACT(Asistencia!K148,"V")),1,0)</f>
        <v>0</v>
      </c>
      <c r="AO141">
        <f>IF(OR(EXACT(Asistencia!L148,"A"),EXACT(Asistencia!L148,"R"),EXACT(Asistencia!L148,"DL"),EXACT(Asistencia!L148,"FL"),EXACT(Asistencia!L148,"FE"),EXACT(Asistencia!L148,"PCS"),EXACT(Asistencia!L148,"V")),1,0)</f>
        <v>0</v>
      </c>
      <c r="AP141">
        <f t="shared" si="85"/>
        <v>0</v>
      </c>
      <c r="AQ141">
        <f>IF(EXACT(Asistencia!F148,"FL"),1,0)</f>
        <v>0</v>
      </c>
      <c r="AR141">
        <f>IF(EXACT(Asistencia!G148,"FL"),1,0)</f>
        <v>0</v>
      </c>
      <c r="AS141">
        <f>IF(EXACT(Asistencia!H148,"FL"),1,0)</f>
        <v>0</v>
      </c>
      <c r="AT141">
        <f>IF(EXACT(Asistencia!I148,"FL"),1,0)</f>
        <v>0</v>
      </c>
      <c r="AU141">
        <f>IF(EXACT(Asistencia!J148,"FL"),1,0)</f>
        <v>0</v>
      </c>
      <c r="AV141">
        <f>IF(EXACT(Asistencia!K148,"FL"),1,0)</f>
        <v>0</v>
      </c>
      <c r="AW141">
        <f>IF(EXACT(Asistencia!L148,"FL"),1,0)</f>
        <v>0</v>
      </c>
      <c r="AX141">
        <f t="shared" si="86"/>
        <v>0</v>
      </c>
      <c r="AY141">
        <f>IF(EXACT(Asistencia!F148,"DL"),1,0)</f>
        <v>0</v>
      </c>
      <c r="AZ141">
        <f>IF(EXACT(Asistencia!G148,"DL"),1,0)</f>
        <v>0</v>
      </c>
      <c r="BA141">
        <f>IF(EXACT(Asistencia!H148,"DL"),1,0)</f>
        <v>0</v>
      </c>
      <c r="BB141">
        <f>IF(EXACT(Asistencia!I148,"DL"),1,0)</f>
        <v>0</v>
      </c>
      <c r="BC141">
        <f>IF(EXACT(Asistencia!J148,"DL"),1,0)</f>
        <v>0</v>
      </c>
      <c r="BD141">
        <f>IF(EXACT(Asistencia!K148,"DL"),1,0)</f>
        <v>0</v>
      </c>
      <c r="BE141">
        <f>IF(EXACT(Asistencia!L148,"DL"),1,0)</f>
        <v>0</v>
      </c>
      <c r="BF141">
        <f t="shared" si="87"/>
        <v>0</v>
      </c>
      <c r="BG141">
        <f>IF(ISNUMBER(Asistencia!M148),Asistencia!M148,0)</f>
        <v>0</v>
      </c>
      <c r="BH141">
        <f>IF(ISNUMBER(Asistencia!N148),Asistencia!N148,0)</f>
        <v>0</v>
      </c>
      <c r="BI141">
        <f>IF(ISNUMBER(Asistencia!O148),Asistencia!O148,0)</f>
        <v>0</v>
      </c>
      <c r="BJ141">
        <f>IF(ISNUMBER(Asistencia!P148),Asistencia!P148,0)</f>
        <v>0</v>
      </c>
      <c r="BK141" t="str">
        <f>IF(Asistencia!F148="","",Asistencia!F148)</f>
        <v/>
      </c>
      <c r="BL141" t="str">
        <f>IF(Asistencia!G148="","",Asistencia!G148)</f>
        <v/>
      </c>
      <c r="BM141" t="str">
        <f>IF(Asistencia!H148="","",Asistencia!H148)</f>
        <v/>
      </c>
      <c r="BN141" t="str">
        <f>IF(Asistencia!I148="","",Asistencia!I148)</f>
        <v/>
      </c>
      <c r="BO141" t="str">
        <f>IF(Asistencia!J148="","",Asistencia!J148)</f>
        <v/>
      </c>
      <c r="BP141" t="str">
        <f>IF(Asistencia!K148="","",Asistencia!K148)</f>
        <v/>
      </c>
      <c r="BQ141" t="str">
        <f>IF(Asistencia!L148="","",Asistencia!L148)</f>
        <v/>
      </c>
    </row>
    <row r="142" spans="1:69" x14ac:dyDescent="0.25">
      <c r="A142" s="46"/>
      <c r="B142" s="47"/>
      <c r="C142" s="47"/>
      <c r="D142" s="47"/>
      <c r="E142" s="46"/>
      <c r="F142" s="45"/>
      <c r="G142" s="44"/>
      <c r="H142" s="44"/>
      <c r="I142" s="44"/>
      <c r="J142" s="44"/>
      <c r="K142" s="44"/>
      <c r="L142" s="44"/>
      <c r="M142" s="43"/>
      <c r="N142" s="41"/>
      <c r="O142" s="41"/>
      <c r="P142" s="41"/>
      <c r="Q142" s="41"/>
      <c r="R142" s="41"/>
      <c r="S142" s="41"/>
      <c r="T142" s="48"/>
      <c r="U142" s="41"/>
      <c r="V142" s="41"/>
      <c r="W142" s="42"/>
      <c r="AA142" t="str">
        <f t="shared" si="84"/>
        <v/>
      </c>
      <c r="AB142" t="str">
        <f>IF(Asistencia!A149="","",Asistencia!A149)</f>
        <v/>
      </c>
      <c r="AC142" t="str">
        <f>IF(Asistencia!A149="","",SUBSTITUTE(SUBSTITUTE(SUBSTITUTE(SUBSTITUTE(SUBSTITUTE(SUBSTITUTE(SUBSTITUTE(UPPER(TRIM(Asistencia!A149)),"Á","A"),"É","E"),"Í","I"),"Ó","O"),"Ú","U"),"Ñ","N"),"  "," "))</f>
        <v/>
      </c>
      <c r="AD142" t="str">
        <f>IF(Asistencia!E149="","",Asistencia!E149)</f>
        <v/>
      </c>
      <c r="AE142" t="str">
        <f>IF(Asistencia!D149="","",UPPER(TRIM(Asistencia!D149)))</f>
        <v/>
      </c>
      <c r="AF142" t="s">
        <v>192</v>
      </c>
      <c r="AG142">
        <f>IF(AND(AA142&lt;&gt;"",COUNTIF($AA$5:AA142,AA142)=1),1,0)</f>
        <v>0</v>
      </c>
      <c r="AH142" t="str">
        <f>IF(AG142=1,SUM($AG$5:AG142),"")</f>
        <v/>
      </c>
      <c r="AI142">
        <f>IF(OR(EXACT(Asistencia!F149,"A"),EXACT(Asistencia!F149,"R"),EXACT(Asistencia!F149,"DL"),EXACT(Asistencia!F149,"FL"),EXACT(Asistencia!F149,"FE"),EXACT(Asistencia!F149,"PCS"),EXACT(Asistencia!F149,"V")),1,0)</f>
        <v>0</v>
      </c>
      <c r="AJ142">
        <f>IF(OR(EXACT(Asistencia!G149,"A"),EXACT(Asistencia!G149,"R"),EXACT(Asistencia!G149,"DL"),EXACT(Asistencia!G149,"FL"),EXACT(Asistencia!G149,"FE"),EXACT(Asistencia!G149,"PCS"),EXACT(Asistencia!G149,"V")),1,0)</f>
        <v>0</v>
      </c>
      <c r="AK142">
        <f>IF(OR(EXACT(Asistencia!H149,"A"),EXACT(Asistencia!H149,"R"),EXACT(Asistencia!H149,"DL"),EXACT(Asistencia!H149,"FL"),EXACT(Asistencia!H149,"FE"),EXACT(Asistencia!H149,"PCS"),EXACT(Asistencia!H149,"V")),1,0)</f>
        <v>0</v>
      </c>
      <c r="AL142">
        <f>IF(OR(EXACT(Asistencia!I149,"A"),EXACT(Asistencia!I149,"R"),EXACT(Asistencia!I149,"DL"),EXACT(Asistencia!I149,"FL"),EXACT(Asistencia!I149,"FE"),EXACT(Asistencia!I149,"PCS"),EXACT(Asistencia!I149,"V")),1,0)</f>
        <v>0</v>
      </c>
      <c r="AM142">
        <f>IF(OR(EXACT(Asistencia!J149,"A"),EXACT(Asistencia!J149,"R"),EXACT(Asistencia!J149,"DL"),EXACT(Asistencia!J149,"FL"),EXACT(Asistencia!J149,"FE"),EXACT(Asistencia!J149,"PCS"),EXACT(Asistencia!J149,"V")),1,0)</f>
        <v>0</v>
      </c>
      <c r="AN142">
        <f>IF(OR(EXACT(Asistencia!K149,"A"),EXACT(Asistencia!K149,"R"),EXACT(Asistencia!K149,"DL"),EXACT(Asistencia!K149,"FL"),EXACT(Asistencia!K149,"FE"),EXACT(Asistencia!K149,"PCS"),EXACT(Asistencia!K149,"V")),1,0)</f>
        <v>0</v>
      </c>
      <c r="AO142">
        <f>IF(OR(EXACT(Asistencia!L149,"A"),EXACT(Asistencia!L149,"R"),EXACT(Asistencia!L149,"DL"),EXACT(Asistencia!L149,"FL"),EXACT(Asistencia!L149,"FE"),EXACT(Asistencia!L149,"PCS"),EXACT(Asistencia!L149,"V")),1,0)</f>
        <v>0</v>
      </c>
      <c r="AP142">
        <f t="shared" si="85"/>
        <v>0</v>
      </c>
      <c r="AQ142">
        <f>IF(EXACT(Asistencia!F149,"FL"),1,0)</f>
        <v>0</v>
      </c>
      <c r="AR142">
        <f>IF(EXACT(Asistencia!G149,"FL"),1,0)</f>
        <v>0</v>
      </c>
      <c r="AS142">
        <f>IF(EXACT(Asistencia!H149,"FL"),1,0)</f>
        <v>0</v>
      </c>
      <c r="AT142">
        <f>IF(EXACT(Asistencia!I149,"FL"),1,0)</f>
        <v>0</v>
      </c>
      <c r="AU142">
        <f>IF(EXACT(Asistencia!J149,"FL"),1,0)</f>
        <v>0</v>
      </c>
      <c r="AV142">
        <f>IF(EXACT(Asistencia!K149,"FL"),1,0)</f>
        <v>0</v>
      </c>
      <c r="AW142">
        <f>IF(EXACT(Asistencia!L149,"FL"),1,0)</f>
        <v>0</v>
      </c>
      <c r="AX142">
        <f t="shared" si="86"/>
        <v>0</v>
      </c>
      <c r="AY142">
        <f>IF(EXACT(Asistencia!F149,"DL"),1,0)</f>
        <v>0</v>
      </c>
      <c r="AZ142">
        <f>IF(EXACT(Asistencia!G149,"DL"),1,0)</f>
        <v>0</v>
      </c>
      <c r="BA142">
        <f>IF(EXACT(Asistencia!H149,"DL"),1,0)</f>
        <v>0</v>
      </c>
      <c r="BB142">
        <f>IF(EXACT(Asistencia!I149,"DL"),1,0)</f>
        <v>0</v>
      </c>
      <c r="BC142">
        <f>IF(EXACT(Asistencia!J149,"DL"),1,0)</f>
        <v>0</v>
      </c>
      <c r="BD142">
        <f>IF(EXACT(Asistencia!K149,"DL"),1,0)</f>
        <v>0</v>
      </c>
      <c r="BE142">
        <f>IF(EXACT(Asistencia!L149,"DL"),1,0)</f>
        <v>0</v>
      </c>
      <c r="BF142">
        <f t="shared" si="87"/>
        <v>0</v>
      </c>
      <c r="BG142">
        <f>IF(ISNUMBER(Asistencia!M149),Asistencia!M149,0)</f>
        <v>0</v>
      </c>
      <c r="BH142">
        <f>IF(ISNUMBER(Asistencia!N149),Asistencia!N149,0)</f>
        <v>0</v>
      </c>
      <c r="BI142">
        <f>IF(ISNUMBER(Asistencia!O149),Asistencia!O149,0)</f>
        <v>0</v>
      </c>
      <c r="BJ142">
        <f>IF(ISNUMBER(Asistencia!P149),Asistencia!P149,0)</f>
        <v>0</v>
      </c>
      <c r="BK142" t="str">
        <f>IF(Asistencia!F149="","",Asistencia!F149)</f>
        <v/>
      </c>
      <c r="BL142" t="str">
        <f>IF(Asistencia!G149="","",Asistencia!G149)</f>
        <v/>
      </c>
      <c r="BM142" t="str">
        <f>IF(Asistencia!H149="","",Asistencia!H149)</f>
        <v/>
      </c>
      <c r="BN142" t="str">
        <f>IF(Asistencia!I149="","",Asistencia!I149)</f>
        <v/>
      </c>
      <c r="BO142" t="str">
        <f>IF(Asistencia!J149="","",Asistencia!J149)</f>
        <v/>
      </c>
      <c r="BP142" t="str">
        <f>IF(Asistencia!K149="","",Asistencia!K149)</f>
        <v/>
      </c>
      <c r="BQ142" t="str">
        <f>IF(Asistencia!L149="","",Asistencia!L149)</f>
        <v/>
      </c>
    </row>
    <row r="143" spans="1:69" x14ac:dyDescent="0.25">
      <c r="A143" s="46"/>
      <c r="B143" s="47"/>
      <c r="C143" s="47"/>
      <c r="D143" s="47"/>
      <c r="E143" s="46"/>
      <c r="F143" s="45"/>
      <c r="G143" s="44"/>
      <c r="H143" s="44"/>
      <c r="I143" s="44"/>
      <c r="J143" s="44"/>
      <c r="K143" s="44"/>
      <c r="L143" s="44"/>
      <c r="M143" s="43"/>
      <c r="N143" s="41"/>
      <c r="O143" s="41"/>
      <c r="P143" s="41"/>
      <c r="Q143" s="41"/>
      <c r="R143" s="41"/>
      <c r="S143" s="41"/>
      <c r="T143" s="48"/>
      <c r="U143" s="41"/>
      <c r="V143" s="41"/>
      <c r="W143" s="42"/>
      <c r="AA143" t="str">
        <f t="shared" si="84"/>
        <v/>
      </c>
      <c r="AB143" t="str">
        <f>IF(Asistencia!A150="","",Asistencia!A150)</f>
        <v/>
      </c>
      <c r="AC143" t="str">
        <f>IF(Asistencia!A150="","",SUBSTITUTE(SUBSTITUTE(SUBSTITUTE(SUBSTITUTE(SUBSTITUTE(SUBSTITUTE(SUBSTITUTE(UPPER(TRIM(Asistencia!A150)),"Á","A"),"É","E"),"Í","I"),"Ó","O"),"Ú","U"),"Ñ","N"),"  "," "))</f>
        <v/>
      </c>
      <c r="AD143" t="str">
        <f>IF(Asistencia!E150="","",Asistencia!E150)</f>
        <v/>
      </c>
      <c r="AE143" t="str">
        <f>IF(Asistencia!D150="","",UPPER(TRIM(Asistencia!D150)))</f>
        <v/>
      </c>
      <c r="AF143" t="s">
        <v>192</v>
      </c>
      <c r="AG143">
        <f>IF(AND(AA143&lt;&gt;"",COUNTIF($AA$5:AA143,AA143)=1),1,0)</f>
        <v>0</v>
      </c>
      <c r="AH143" t="str">
        <f>IF(AG143=1,SUM($AG$5:AG143),"")</f>
        <v/>
      </c>
      <c r="AI143">
        <f>IF(OR(EXACT(Asistencia!F150,"A"),EXACT(Asistencia!F150,"R"),EXACT(Asistencia!F150,"DL"),EXACT(Asistencia!F150,"FL"),EXACT(Asistencia!F150,"FE"),EXACT(Asistencia!F150,"PCS"),EXACT(Asistencia!F150,"V")),1,0)</f>
        <v>0</v>
      </c>
      <c r="AJ143">
        <f>IF(OR(EXACT(Asistencia!G150,"A"),EXACT(Asistencia!G150,"R"),EXACT(Asistencia!G150,"DL"),EXACT(Asistencia!G150,"FL"),EXACT(Asistencia!G150,"FE"),EXACT(Asistencia!G150,"PCS"),EXACT(Asistencia!G150,"V")),1,0)</f>
        <v>0</v>
      </c>
      <c r="AK143">
        <f>IF(OR(EXACT(Asistencia!H150,"A"),EXACT(Asistencia!H150,"R"),EXACT(Asistencia!H150,"DL"),EXACT(Asistencia!H150,"FL"),EXACT(Asistencia!H150,"FE"),EXACT(Asistencia!H150,"PCS"),EXACT(Asistencia!H150,"V")),1,0)</f>
        <v>0</v>
      </c>
      <c r="AL143">
        <f>IF(OR(EXACT(Asistencia!I150,"A"),EXACT(Asistencia!I150,"R"),EXACT(Asistencia!I150,"DL"),EXACT(Asistencia!I150,"FL"),EXACT(Asistencia!I150,"FE"),EXACT(Asistencia!I150,"PCS"),EXACT(Asistencia!I150,"V")),1,0)</f>
        <v>0</v>
      </c>
      <c r="AM143">
        <f>IF(OR(EXACT(Asistencia!J150,"A"),EXACT(Asistencia!J150,"R"),EXACT(Asistencia!J150,"DL"),EXACT(Asistencia!J150,"FL"),EXACT(Asistencia!J150,"FE"),EXACT(Asistencia!J150,"PCS"),EXACT(Asistencia!J150,"V")),1,0)</f>
        <v>0</v>
      </c>
      <c r="AN143">
        <f>IF(OR(EXACT(Asistencia!K150,"A"),EXACT(Asistencia!K150,"R"),EXACT(Asistencia!K150,"DL"),EXACT(Asistencia!K150,"FL"),EXACT(Asistencia!K150,"FE"),EXACT(Asistencia!K150,"PCS"),EXACT(Asistencia!K150,"V")),1,0)</f>
        <v>0</v>
      </c>
      <c r="AO143">
        <f>IF(OR(EXACT(Asistencia!L150,"A"),EXACT(Asistencia!L150,"R"),EXACT(Asistencia!L150,"DL"),EXACT(Asistencia!L150,"FL"),EXACT(Asistencia!L150,"FE"),EXACT(Asistencia!L150,"PCS"),EXACT(Asistencia!L150,"V")),1,0)</f>
        <v>0</v>
      </c>
      <c r="AP143">
        <f t="shared" si="85"/>
        <v>0</v>
      </c>
      <c r="AQ143">
        <f>IF(EXACT(Asistencia!F150,"FL"),1,0)</f>
        <v>0</v>
      </c>
      <c r="AR143">
        <f>IF(EXACT(Asistencia!G150,"FL"),1,0)</f>
        <v>0</v>
      </c>
      <c r="AS143">
        <f>IF(EXACT(Asistencia!H150,"FL"),1,0)</f>
        <v>0</v>
      </c>
      <c r="AT143">
        <f>IF(EXACT(Asistencia!I150,"FL"),1,0)</f>
        <v>0</v>
      </c>
      <c r="AU143">
        <f>IF(EXACT(Asistencia!J150,"FL"),1,0)</f>
        <v>0</v>
      </c>
      <c r="AV143">
        <f>IF(EXACT(Asistencia!K150,"FL"),1,0)</f>
        <v>0</v>
      </c>
      <c r="AW143">
        <f>IF(EXACT(Asistencia!L150,"FL"),1,0)</f>
        <v>0</v>
      </c>
      <c r="AX143">
        <f t="shared" si="86"/>
        <v>0</v>
      </c>
      <c r="AY143">
        <f>IF(EXACT(Asistencia!F150,"DL"),1,0)</f>
        <v>0</v>
      </c>
      <c r="AZ143">
        <f>IF(EXACT(Asistencia!G150,"DL"),1,0)</f>
        <v>0</v>
      </c>
      <c r="BA143">
        <f>IF(EXACT(Asistencia!H150,"DL"),1,0)</f>
        <v>0</v>
      </c>
      <c r="BB143">
        <f>IF(EXACT(Asistencia!I150,"DL"),1,0)</f>
        <v>0</v>
      </c>
      <c r="BC143">
        <f>IF(EXACT(Asistencia!J150,"DL"),1,0)</f>
        <v>0</v>
      </c>
      <c r="BD143">
        <f>IF(EXACT(Asistencia!K150,"DL"),1,0)</f>
        <v>0</v>
      </c>
      <c r="BE143">
        <f>IF(EXACT(Asistencia!L150,"DL"),1,0)</f>
        <v>0</v>
      </c>
      <c r="BF143">
        <f t="shared" si="87"/>
        <v>0</v>
      </c>
      <c r="BG143">
        <f>IF(ISNUMBER(Asistencia!M150),Asistencia!M150,0)</f>
        <v>0</v>
      </c>
      <c r="BH143">
        <f>IF(ISNUMBER(Asistencia!N150),Asistencia!N150,0)</f>
        <v>0</v>
      </c>
      <c r="BI143">
        <f>IF(ISNUMBER(Asistencia!O150),Asistencia!O150,0)</f>
        <v>0</v>
      </c>
      <c r="BJ143">
        <f>IF(ISNUMBER(Asistencia!P150),Asistencia!P150,0)</f>
        <v>0</v>
      </c>
      <c r="BK143" t="str">
        <f>IF(Asistencia!F150="","",Asistencia!F150)</f>
        <v/>
      </c>
      <c r="BL143" t="str">
        <f>IF(Asistencia!G150="","",Asistencia!G150)</f>
        <v/>
      </c>
      <c r="BM143" t="str">
        <f>IF(Asistencia!H150="","",Asistencia!H150)</f>
        <v/>
      </c>
      <c r="BN143" t="str">
        <f>IF(Asistencia!I150="","",Asistencia!I150)</f>
        <v/>
      </c>
      <c r="BO143" t="str">
        <f>IF(Asistencia!J150="","",Asistencia!J150)</f>
        <v/>
      </c>
      <c r="BP143" t="str">
        <f>IF(Asistencia!K150="","",Asistencia!K150)</f>
        <v/>
      </c>
      <c r="BQ143" t="str">
        <f>IF(Asistencia!L150="","",Asistencia!L150)</f>
        <v/>
      </c>
    </row>
    <row r="144" spans="1:69" x14ac:dyDescent="0.25">
      <c r="A144" s="46"/>
      <c r="B144" s="47"/>
      <c r="C144" s="47"/>
      <c r="D144" s="47"/>
      <c r="E144" s="46"/>
      <c r="F144" s="45"/>
      <c r="G144" s="44"/>
      <c r="H144" s="44"/>
      <c r="I144" s="44"/>
      <c r="J144" s="44"/>
      <c r="K144" s="44"/>
      <c r="L144" s="44"/>
      <c r="M144" s="43"/>
      <c r="N144" s="41"/>
      <c r="O144" s="41"/>
      <c r="P144" s="41"/>
      <c r="Q144" s="41"/>
      <c r="R144" s="41"/>
      <c r="S144" s="41"/>
      <c r="T144" s="48"/>
      <c r="U144" s="41"/>
      <c r="V144" s="41"/>
      <c r="W144" s="42"/>
      <c r="AA144" t="str">
        <f t="shared" si="84"/>
        <v/>
      </c>
      <c r="AB144" t="str">
        <f>IF(Asistencia!A151="","",Asistencia!A151)</f>
        <v/>
      </c>
      <c r="AC144" t="str">
        <f>IF(Asistencia!A151="","",SUBSTITUTE(SUBSTITUTE(SUBSTITUTE(SUBSTITUTE(SUBSTITUTE(SUBSTITUTE(SUBSTITUTE(UPPER(TRIM(Asistencia!A151)),"Á","A"),"É","E"),"Í","I"),"Ó","O"),"Ú","U"),"Ñ","N"),"  "," "))</f>
        <v/>
      </c>
      <c r="AD144" t="str">
        <f>IF(Asistencia!E151="","",Asistencia!E151)</f>
        <v/>
      </c>
      <c r="AE144" t="str">
        <f>IF(Asistencia!D151="","",UPPER(TRIM(Asistencia!D151)))</f>
        <v/>
      </c>
      <c r="AF144" t="s">
        <v>192</v>
      </c>
      <c r="AG144">
        <f>IF(AND(AA144&lt;&gt;"",COUNTIF($AA$5:AA144,AA144)=1),1,0)</f>
        <v>0</v>
      </c>
      <c r="AH144" t="str">
        <f>IF(AG144=1,SUM($AG$5:AG144),"")</f>
        <v/>
      </c>
      <c r="AI144">
        <f>IF(OR(EXACT(Asistencia!F151,"A"),EXACT(Asistencia!F151,"R"),EXACT(Asistencia!F151,"DL"),EXACT(Asistencia!F151,"FL"),EXACT(Asistencia!F151,"FE"),EXACT(Asistencia!F151,"PCS"),EXACT(Asistencia!F151,"V")),1,0)</f>
        <v>0</v>
      </c>
      <c r="AJ144">
        <f>IF(OR(EXACT(Asistencia!G151,"A"),EXACT(Asistencia!G151,"R"),EXACT(Asistencia!G151,"DL"),EXACT(Asistencia!G151,"FL"),EXACT(Asistencia!G151,"FE"),EXACT(Asistencia!G151,"PCS"),EXACT(Asistencia!G151,"V")),1,0)</f>
        <v>0</v>
      </c>
      <c r="AK144">
        <f>IF(OR(EXACT(Asistencia!H151,"A"),EXACT(Asistencia!H151,"R"),EXACT(Asistencia!H151,"DL"),EXACT(Asistencia!H151,"FL"),EXACT(Asistencia!H151,"FE"),EXACT(Asistencia!H151,"PCS"),EXACT(Asistencia!H151,"V")),1,0)</f>
        <v>0</v>
      </c>
      <c r="AL144">
        <f>IF(OR(EXACT(Asistencia!I151,"A"),EXACT(Asistencia!I151,"R"),EXACT(Asistencia!I151,"DL"),EXACT(Asistencia!I151,"FL"),EXACT(Asistencia!I151,"FE"),EXACT(Asistencia!I151,"PCS"),EXACT(Asistencia!I151,"V")),1,0)</f>
        <v>0</v>
      </c>
      <c r="AM144">
        <f>IF(OR(EXACT(Asistencia!J151,"A"),EXACT(Asistencia!J151,"R"),EXACT(Asistencia!J151,"DL"),EXACT(Asistencia!J151,"FL"),EXACT(Asistencia!J151,"FE"),EXACT(Asistencia!J151,"PCS"),EXACT(Asistencia!J151,"V")),1,0)</f>
        <v>0</v>
      </c>
      <c r="AN144">
        <f>IF(OR(EXACT(Asistencia!K151,"A"),EXACT(Asistencia!K151,"R"),EXACT(Asistencia!K151,"DL"),EXACT(Asistencia!K151,"FL"),EXACT(Asistencia!K151,"FE"),EXACT(Asistencia!K151,"PCS"),EXACT(Asistencia!K151,"V")),1,0)</f>
        <v>0</v>
      </c>
      <c r="AO144">
        <f>IF(OR(EXACT(Asistencia!L151,"A"),EXACT(Asistencia!L151,"R"),EXACT(Asistencia!L151,"DL"),EXACT(Asistencia!L151,"FL"),EXACT(Asistencia!L151,"FE"),EXACT(Asistencia!L151,"PCS"),EXACT(Asistencia!L151,"V")),1,0)</f>
        <v>0</v>
      </c>
      <c r="AP144">
        <f t="shared" si="85"/>
        <v>0</v>
      </c>
      <c r="AQ144">
        <f>IF(EXACT(Asistencia!F151,"FL"),1,0)</f>
        <v>0</v>
      </c>
      <c r="AR144">
        <f>IF(EXACT(Asistencia!G151,"FL"),1,0)</f>
        <v>0</v>
      </c>
      <c r="AS144">
        <f>IF(EXACT(Asistencia!H151,"FL"),1,0)</f>
        <v>0</v>
      </c>
      <c r="AT144">
        <f>IF(EXACT(Asistencia!I151,"FL"),1,0)</f>
        <v>0</v>
      </c>
      <c r="AU144">
        <f>IF(EXACT(Asistencia!J151,"FL"),1,0)</f>
        <v>0</v>
      </c>
      <c r="AV144">
        <f>IF(EXACT(Asistencia!K151,"FL"),1,0)</f>
        <v>0</v>
      </c>
      <c r="AW144">
        <f>IF(EXACT(Asistencia!L151,"FL"),1,0)</f>
        <v>0</v>
      </c>
      <c r="AX144">
        <f t="shared" si="86"/>
        <v>0</v>
      </c>
      <c r="AY144">
        <f>IF(EXACT(Asistencia!F151,"DL"),1,0)</f>
        <v>0</v>
      </c>
      <c r="AZ144">
        <f>IF(EXACT(Asistencia!G151,"DL"),1,0)</f>
        <v>0</v>
      </c>
      <c r="BA144">
        <f>IF(EXACT(Asistencia!H151,"DL"),1,0)</f>
        <v>0</v>
      </c>
      <c r="BB144">
        <f>IF(EXACT(Asistencia!I151,"DL"),1,0)</f>
        <v>0</v>
      </c>
      <c r="BC144">
        <f>IF(EXACT(Asistencia!J151,"DL"),1,0)</f>
        <v>0</v>
      </c>
      <c r="BD144">
        <f>IF(EXACT(Asistencia!K151,"DL"),1,0)</f>
        <v>0</v>
      </c>
      <c r="BE144">
        <f>IF(EXACT(Asistencia!L151,"DL"),1,0)</f>
        <v>0</v>
      </c>
      <c r="BF144">
        <f t="shared" si="87"/>
        <v>0</v>
      </c>
      <c r="BG144">
        <f>IF(ISNUMBER(Asistencia!M151),Asistencia!M151,0)</f>
        <v>0</v>
      </c>
      <c r="BH144">
        <f>IF(ISNUMBER(Asistencia!N151),Asistencia!N151,0)</f>
        <v>0</v>
      </c>
      <c r="BI144">
        <f>IF(ISNUMBER(Asistencia!O151),Asistencia!O151,0)</f>
        <v>0</v>
      </c>
      <c r="BJ144">
        <f>IF(ISNUMBER(Asistencia!P151),Asistencia!P151,0)</f>
        <v>0</v>
      </c>
      <c r="BK144" t="str">
        <f>IF(Asistencia!F151="","",Asistencia!F151)</f>
        <v/>
      </c>
      <c r="BL144" t="str">
        <f>IF(Asistencia!G151="","",Asistencia!G151)</f>
        <v/>
      </c>
      <c r="BM144" t="str">
        <f>IF(Asistencia!H151="","",Asistencia!H151)</f>
        <v/>
      </c>
      <c r="BN144" t="str">
        <f>IF(Asistencia!I151="","",Asistencia!I151)</f>
        <v/>
      </c>
      <c r="BO144" t="str">
        <f>IF(Asistencia!J151="","",Asistencia!J151)</f>
        <v/>
      </c>
      <c r="BP144" t="str">
        <f>IF(Asistencia!K151="","",Asistencia!K151)</f>
        <v/>
      </c>
      <c r="BQ144" t="str">
        <f>IF(Asistencia!L151="","",Asistencia!L151)</f>
        <v/>
      </c>
    </row>
    <row r="145" spans="1:69" x14ac:dyDescent="0.25">
      <c r="A145" s="46"/>
      <c r="B145" s="47"/>
      <c r="C145" s="47"/>
      <c r="D145" s="47"/>
      <c r="E145" s="46"/>
      <c r="F145" s="45"/>
      <c r="G145" s="44"/>
      <c r="H145" s="44"/>
      <c r="I145" s="44"/>
      <c r="J145" s="44"/>
      <c r="K145" s="44"/>
      <c r="L145" s="44"/>
      <c r="M145" s="43"/>
      <c r="N145" s="41"/>
      <c r="O145" s="41"/>
      <c r="P145" s="41"/>
      <c r="Q145" s="41"/>
      <c r="R145" s="41"/>
      <c r="S145" s="41"/>
      <c r="T145" s="48"/>
      <c r="U145" s="41"/>
      <c r="V145" s="41"/>
      <c r="W145" s="42"/>
      <c r="AA145" t="str">
        <f t="shared" si="84"/>
        <v/>
      </c>
      <c r="AB145" t="str">
        <f>IF(Asistencia!A152="","",Asistencia!A152)</f>
        <v/>
      </c>
      <c r="AC145" t="str">
        <f>IF(Asistencia!A152="","",SUBSTITUTE(SUBSTITUTE(SUBSTITUTE(SUBSTITUTE(SUBSTITUTE(SUBSTITUTE(SUBSTITUTE(UPPER(TRIM(Asistencia!A152)),"Á","A"),"É","E"),"Í","I"),"Ó","O"),"Ú","U"),"Ñ","N"),"  "," "))</f>
        <v/>
      </c>
      <c r="AD145" t="str">
        <f>IF(Asistencia!E152="","",Asistencia!E152)</f>
        <v/>
      </c>
      <c r="AE145" t="str">
        <f>IF(Asistencia!D152="","",UPPER(TRIM(Asistencia!D152)))</f>
        <v/>
      </c>
      <c r="AF145" t="s">
        <v>192</v>
      </c>
      <c r="AG145">
        <f>IF(AND(AA145&lt;&gt;"",COUNTIF($AA$5:AA145,AA145)=1),1,0)</f>
        <v>0</v>
      </c>
      <c r="AH145" t="str">
        <f>IF(AG145=1,SUM($AG$5:AG145),"")</f>
        <v/>
      </c>
      <c r="AI145">
        <f>IF(OR(EXACT(Asistencia!F152,"A"),EXACT(Asistencia!F152,"R"),EXACT(Asistencia!F152,"DL"),EXACT(Asistencia!F152,"FL"),EXACT(Asistencia!F152,"FE"),EXACT(Asistencia!F152,"PCS"),EXACT(Asistencia!F152,"V")),1,0)</f>
        <v>0</v>
      </c>
      <c r="AJ145">
        <f>IF(OR(EXACT(Asistencia!G152,"A"),EXACT(Asistencia!G152,"R"),EXACT(Asistencia!G152,"DL"),EXACT(Asistencia!G152,"FL"),EXACT(Asistencia!G152,"FE"),EXACT(Asistencia!G152,"PCS"),EXACT(Asistencia!G152,"V")),1,0)</f>
        <v>0</v>
      </c>
      <c r="AK145">
        <f>IF(OR(EXACT(Asistencia!H152,"A"),EXACT(Asistencia!H152,"R"),EXACT(Asistencia!H152,"DL"),EXACT(Asistencia!H152,"FL"),EXACT(Asistencia!H152,"FE"),EXACT(Asistencia!H152,"PCS"),EXACT(Asistencia!H152,"V")),1,0)</f>
        <v>0</v>
      </c>
      <c r="AL145">
        <f>IF(OR(EXACT(Asistencia!I152,"A"),EXACT(Asistencia!I152,"R"),EXACT(Asistencia!I152,"DL"),EXACT(Asistencia!I152,"FL"),EXACT(Asistencia!I152,"FE"),EXACT(Asistencia!I152,"PCS"),EXACT(Asistencia!I152,"V")),1,0)</f>
        <v>0</v>
      </c>
      <c r="AM145">
        <f>IF(OR(EXACT(Asistencia!J152,"A"),EXACT(Asistencia!J152,"R"),EXACT(Asistencia!J152,"DL"),EXACT(Asistencia!J152,"FL"),EXACT(Asistencia!J152,"FE"),EXACT(Asistencia!J152,"PCS"),EXACT(Asistencia!J152,"V")),1,0)</f>
        <v>0</v>
      </c>
      <c r="AN145">
        <f>IF(OR(EXACT(Asistencia!K152,"A"),EXACT(Asistencia!K152,"R"),EXACT(Asistencia!K152,"DL"),EXACT(Asistencia!K152,"FL"),EXACT(Asistencia!K152,"FE"),EXACT(Asistencia!K152,"PCS"),EXACT(Asistencia!K152,"V")),1,0)</f>
        <v>0</v>
      </c>
      <c r="AO145">
        <f>IF(OR(EXACT(Asistencia!L152,"A"),EXACT(Asistencia!L152,"R"),EXACT(Asistencia!L152,"DL"),EXACT(Asistencia!L152,"FL"),EXACT(Asistencia!L152,"FE"),EXACT(Asistencia!L152,"PCS"),EXACT(Asistencia!L152,"V")),1,0)</f>
        <v>0</v>
      </c>
      <c r="AP145">
        <f t="shared" si="85"/>
        <v>0</v>
      </c>
      <c r="AQ145">
        <f>IF(EXACT(Asistencia!F152,"FL"),1,0)</f>
        <v>0</v>
      </c>
      <c r="AR145">
        <f>IF(EXACT(Asistencia!G152,"FL"),1,0)</f>
        <v>0</v>
      </c>
      <c r="AS145">
        <f>IF(EXACT(Asistencia!H152,"FL"),1,0)</f>
        <v>0</v>
      </c>
      <c r="AT145">
        <f>IF(EXACT(Asistencia!I152,"FL"),1,0)</f>
        <v>0</v>
      </c>
      <c r="AU145">
        <f>IF(EXACT(Asistencia!J152,"FL"),1,0)</f>
        <v>0</v>
      </c>
      <c r="AV145">
        <f>IF(EXACT(Asistencia!K152,"FL"),1,0)</f>
        <v>0</v>
      </c>
      <c r="AW145">
        <f>IF(EXACT(Asistencia!L152,"FL"),1,0)</f>
        <v>0</v>
      </c>
      <c r="AX145">
        <f t="shared" si="86"/>
        <v>0</v>
      </c>
      <c r="AY145">
        <f>IF(EXACT(Asistencia!F152,"DL"),1,0)</f>
        <v>0</v>
      </c>
      <c r="AZ145">
        <f>IF(EXACT(Asistencia!G152,"DL"),1,0)</f>
        <v>0</v>
      </c>
      <c r="BA145">
        <f>IF(EXACT(Asistencia!H152,"DL"),1,0)</f>
        <v>0</v>
      </c>
      <c r="BB145">
        <f>IF(EXACT(Asistencia!I152,"DL"),1,0)</f>
        <v>0</v>
      </c>
      <c r="BC145">
        <f>IF(EXACT(Asistencia!J152,"DL"),1,0)</f>
        <v>0</v>
      </c>
      <c r="BD145">
        <f>IF(EXACT(Asistencia!K152,"DL"),1,0)</f>
        <v>0</v>
      </c>
      <c r="BE145">
        <f>IF(EXACT(Asistencia!L152,"DL"),1,0)</f>
        <v>0</v>
      </c>
      <c r="BF145">
        <f t="shared" si="87"/>
        <v>0</v>
      </c>
      <c r="BG145">
        <f>IF(ISNUMBER(Asistencia!M152),Asistencia!M152,0)</f>
        <v>0</v>
      </c>
      <c r="BH145">
        <f>IF(ISNUMBER(Asistencia!N152),Asistencia!N152,0)</f>
        <v>0</v>
      </c>
      <c r="BI145">
        <f>IF(ISNUMBER(Asistencia!O152),Asistencia!O152,0)</f>
        <v>0</v>
      </c>
      <c r="BJ145">
        <f>IF(ISNUMBER(Asistencia!P152),Asistencia!P152,0)</f>
        <v>0</v>
      </c>
      <c r="BK145" t="str">
        <f>IF(Asistencia!F152="","",Asistencia!F152)</f>
        <v/>
      </c>
      <c r="BL145" t="str">
        <f>IF(Asistencia!G152="","",Asistencia!G152)</f>
        <v/>
      </c>
      <c r="BM145" t="str">
        <f>IF(Asistencia!H152="","",Asistencia!H152)</f>
        <v/>
      </c>
      <c r="BN145" t="str">
        <f>IF(Asistencia!I152="","",Asistencia!I152)</f>
        <v/>
      </c>
      <c r="BO145" t="str">
        <f>IF(Asistencia!J152="","",Asistencia!J152)</f>
        <v/>
      </c>
      <c r="BP145" t="str">
        <f>IF(Asistencia!K152="","",Asistencia!K152)</f>
        <v/>
      </c>
      <c r="BQ145" t="str">
        <f>IF(Asistencia!L152="","",Asistencia!L152)</f>
        <v/>
      </c>
    </row>
    <row r="146" spans="1:69" x14ac:dyDescent="0.25">
      <c r="A146" s="46"/>
      <c r="B146" s="47"/>
      <c r="C146" s="47"/>
      <c r="D146" s="47"/>
      <c r="E146" s="46"/>
      <c r="F146" s="45"/>
      <c r="G146" s="44"/>
      <c r="H146" s="44"/>
      <c r="I146" s="44"/>
      <c r="J146" s="44"/>
      <c r="K146" s="44"/>
      <c r="L146" s="44"/>
      <c r="M146" s="43"/>
      <c r="N146" s="41"/>
      <c r="O146" s="41"/>
      <c r="P146" s="41"/>
      <c r="Q146" s="41"/>
      <c r="R146" s="41"/>
      <c r="S146" s="41"/>
      <c r="T146" s="48"/>
      <c r="U146" s="41"/>
      <c r="V146" s="41"/>
      <c r="W146" s="42"/>
      <c r="AA146" t="str">
        <f t="shared" si="84"/>
        <v/>
      </c>
      <c r="AB146" t="str">
        <f>IF(Asistencia!A153="","",Asistencia!A153)</f>
        <v/>
      </c>
      <c r="AC146" t="str">
        <f>IF(Asistencia!A153="","",SUBSTITUTE(SUBSTITUTE(SUBSTITUTE(SUBSTITUTE(SUBSTITUTE(SUBSTITUTE(SUBSTITUTE(UPPER(TRIM(Asistencia!A153)),"Á","A"),"É","E"),"Í","I"),"Ó","O"),"Ú","U"),"Ñ","N"),"  "," "))</f>
        <v/>
      </c>
      <c r="AD146" t="str">
        <f>IF(Asistencia!E153="","",Asistencia!E153)</f>
        <v/>
      </c>
      <c r="AE146" t="str">
        <f>IF(Asistencia!D153="","",UPPER(TRIM(Asistencia!D153)))</f>
        <v/>
      </c>
      <c r="AF146" t="s">
        <v>192</v>
      </c>
      <c r="AG146">
        <f>IF(AND(AA146&lt;&gt;"",COUNTIF($AA$5:AA146,AA146)=1),1,0)</f>
        <v>0</v>
      </c>
      <c r="AH146" t="str">
        <f>IF(AG146=1,SUM($AG$5:AG146),"")</f>
        <v/>
      </c>
      <c r="AI146">
        <f>IF(OR(EXACT(Asistencia!F153,"A"),EXACT(Asistencia!F153,"R"),EXACT(Asistencia!F153,"DL"),EXACT(Asistencia!F153,"FL"),EXACT(Asistencia!F153,"FE"),EXACT(Asistencia!F153,"PCS"),EXACT(Asistencia!F153,"V")),1,0)</f>
        <v>0</v>
      </c>
      <c r="AJ146">
        <f>IF(OR(EXACT(Asistencia!G153,"A"),EXACT(Asistencia!G153,"R"),EXACT(Asistencia!G153,"DL"),EXACT(Asistencia!G153,"FL"),EXACT(Asistencia!G153,"FE"),EXACT(Asistencia!G153,"PCS"),EXACT(Asistencia!G153,"V")),1,0)</f>
        <v>0</v>
      </c>
      <c r="AK146">
        <f>IF(OR(EXACT(Asistencia!H153,"A"),EXACT(Asistencia!H153,"R"),EXACT(Asistencia!H153,"DL"),EXACT(Asistencia!H153,"FL"),EXACT(Asistencia!H153,"FE"),EXACT(Asistencia!H153,"PCS"),EXACT(Asistencia!H153,"V")),1,0)</f>
        <v>0</v>
      </c>
      <c r="AL146">
        <f>IF(OR(EXACT(Asistencia!I153,"A"),EXACT(Asistencia!I153,"R"),EXACT(Asistencia!I153,"DL"),EXACT(Asistencia!I153,"FL"),EXACT(Asistencia!I153,"FE"),EXACT(Asistencia!I153,"PCS"),EXACT(Asistencia!I153,"V")),1,0)</f>
        <v>0</v>
      </c>
      <c r="AM146">
        <f>IF(OR(EXACT(Asistencia!J153,"A"),EXACT(Asistencia!J153,"R"),EXACT(Asistencia!J153,"DL"),EXACT(Asistencia!J153,"FL"),EXACT(Asistencia!J153,"FE"),EXACT(Asistencia!J153,"PCS"),EXACT(Asistencia!J153,"V")),1,0)</f>
        <v>0</v>
      </c>
      <c r="AN146">
        <f>IF(OR(EXACT(Asistencia!K153,"A"),EXACT(Asistencia!K153,"R"),EXACT(Asistencia!K153,"DL"),EXACT(Asistencia!K153,"FL"),EXACT(Asistencia!K153,"FE"),EXACT(Asistencia!K153,"PCS"),EXACT(Asistencia!K153,"V")),1,0)</f>
        <v>0</v>
      </c>
      <c r="AO146">
        <f>IF(OR(EXACT(Asistencia!L153,"A"),EXACT(Asistencia!L153,"R"),EXACT(Asistencia!L153,"DL"),EXACT(Asistencia!L153,"FL"),EXACT(Asistencia!L153,"FE"),EXACT(Asistencia!L153,"PCS"),EXACT(Asistencia!L153,"V")),1,0)</f>
        <v>0</v>
      </c>
      <c r="AP146">
        <f t="shared" si="85"/>
        <v>0</v>
      </c>
      <c r="AQ146">
        <f>IF(EXACT(Asistencia!F153,"FL"),1,0)</f>
        <v>0</v>
      </c>
      <c r="AR146">
        <f>IF(EXACT(Asistencia!G153,"FL"),1,0)</f>
        <v>0</v>
      </c>
      <c r="AS146">
        <f>IF(EXACT(Asistencia!H153,"FL"),1,0)</f>
        <v>0</v>
      </c>
      <c r="AT146">
        <f>IF(EXACT(Asistencia!I153,"FL"),1,0)</f>
        <v>0</v>
      </c>
      <c r="AU146">
        <f>IF(EXACT(Asistencia!J153,"FL"),1,0)</f>
        <v>0</v>
      </c>
      <c r="AV146">
        <f>IF(EXACT(Asistencia!K153,"FL"),1,0)</f>
        <v>0</v>
      </c>
      <c r="AW146">
        <f>IF(EXACT(Asistencia!L153,"FL"),1,0)</f>
        <v>0</v>
      </c>
      <c r="AX146">
        <f t="shared" si="86"/>
        <v>0</v>
      </c>
      <c r="AY146">
        <f>IF(EXACT(Asistencia!F153,"DL"),1,0)</f>
        <v>0</v>
      </c>
      <c r="AZ146">
        <f>IF(EXACT(Asistencia!G153,"DL"),1,0)</f>
        <v>0</v>
      </c>
      <c r="BA146">
        <f>IF(EXACT(Asistencia!H153,"DL"),1,0)</f>
        <v>0</v>
      </c>
      <c r="BB146">
        <f>IF(EXACT(Asistencia!I153,"DL"),1,0)</f>
        <v>0</v>
      </c>
      <c r="BC146">
        <f>IF(EXACT(Asistencia!J153,"DL"),1,0)</f>
        <v>0</v>
      </c>
      <c r="BD146">
        <f>IF(EXACT(Asistencia!K153,"DL"),1,0)</f>
        <v>0</v>
      </c>
      <c r="BE146">
        <f>IF(EXACT(Asistencia!L153,"DL"),1,0)</f>
        <v>0</v>
      </c>
      <c r="BF146">
        <f t="shared" si="87"/>
        <v>0</v>
      </c>
      <c r="BG146">
        <f>IF(ISNUMBER(Asistencia!M153),Asistencia!M153,0)</f>
        <v>0</v>
      </c>
      <c r="BH146">
        <f>IF(ISNUMBER(Asistencia!N153),Asistencia!N153,0)</f>
        <v>0</v>
      </c>
      <c r="BI146">
        <f>IF(ISNUMBER(Asistencia!O153),Asistencia!O153,0)</f>
        <v>0</v>
      </c>
      <c r="BJ146">
        <f>IF(ISNUMBER(Asistencia!P153),Asistencia!P153,0)</f>
        <v>0</v>
      </c>
      <c r="BK146" t="str">
        <f>IF(Asistencia!F153="","",Asistencia!F153)</f>
        <v/>
      </c>
      <c r="BL146" t="str">
        <f>IF(Asistencia!G153="","",Asistencia!G153)</f>
        <v/>
      </c>
      <c r="BM146" t="str">
        <f>IF(Asistencia!H153="","",Asistencia!H153)</f>
        <v/>
      </c>
      <c r="BN146" t="str">
        <f>IF(Asistencia!I153="","",Asistencia!I153)</f>
        <v/>
      </c>
      <c r="BO146" t="str">
        <f>IF(Asistencia!J153="","",Asistencia!J153)</f>
        <v/>
      </c>
      <c r="BP146" t="str">
        <f>IF(Asistencia!K153="","",Asistencia!K153)</f>
        <v/>
      </c>
      <c r="BQ146" t="str">
        <f>IF(Asistencia!L153="","",Asistencia!L153)</f>
        <v/>
      </c>
    </row>
    <row r="147" spans="1:69" x14ac:dyDescent="0.25">
      <c r="A147" s="46"/>
      <c r="B147" s="47"/>
      <c r="C147" s="47"/>
      <c r="D147" s="47"/>
      <c r="E147" s="46"/>
      <c r="F147" s="45"/>
      <c r="G147" s="44"/>
      <c r="H147" s="44"/>
      <c r="I147" s="44"/>
      <c r="J147" s="44"/>
      <c r="K147" s="44"/>
      <c r="L147" s="44"/>
      <c r="M147" s="43"/>
      <c r="N147" s="41"/>
      <c r="O147" s="41"/>
      <c r="P147" s="41"/>
      <c r="Q147" s="41"/>
      <c r="R147" s="41"/>
      <c r="S147" s="41"/>
      <c r="T147" s="48"/>
      <c r="U147" s="41"/>
      <c r="V147" s="41"/>
      <c r="W147" s="42"/>
      <c r="AA147" t="str">
        <f t="shared" si="84"/>
        <v/>
      </c>
      <c r="AB147" t="str">
        <f>IF(Asistencia!A154="","",Asistencia!A154)</f>
        <v/>
      </c>
      <c r="AC147" t="str">
        <f>IF(Asistencia!A154="","",SUBSTITUTE(SUBSTITUTE(SUBSTITUTE(SUBSTITUTE(SUBSTITUTE(SUBSTITUTE(SUBSTITUTE(UPPER(TRIM(Asistencia!A154)),"Á","A"),"É","E"),"Í","I"),"Ó","O"),"Ú","U"),"Ñ","N"),"  "," "))</f>
        <v/>
      </c>
      <c r="AD147" t="str">
        <f>IF(Asistencia!E154="","",Asistencia!E154)</f>
        <v/>
      </c>
      <c r="AE147" t="str">
        <f>IF(Asistencia!D154="","",UPPER(TRIM(Asistencia!D154)))</f>
        <v/>
      </c>
      <c r="AF147" t="s">
        <v>192</v>
      </c>
      <c r="AG147">
        <f>IF(AND(AA147&lt;&gt;"",COUNTIF($AA$5:AA147,AA147)=1),1,0)</f>
        <v>0</v>
      </c>
      <c r="AH147" t="str">
        <f>IF(AG147=1,SUM($AG$5:AG147),"")</f>
        <v/>
      </c>
      <c r="AI147">
        <f>IF(OR(EXACT(Asistencia!F154,"A"),EXACT(Asistencia!F154,"R"),EXACT(Asistencia!F154,"DL"),EXACT(Asistencia!F154,"FL"),EXACT(Asistencia!F154,"FE"),EXACT(Asistencia!F154,"PCS"),EXACT(Asistencia!F154,"V")),1,0)</f>
        <v>0</v>
      </c>
      <c r="AJ147">
        <f>IF(OR(EXACT(Asistencia!G154,"A"),EXACT(Asistencia!G154,"R"),EXACT(Asistencia!G154,"DL"),EXACT(Asistencia!G154,"FL"),EXACT(Asistencia!G154,"FE"),EXACT(Asistencia!G154,"PCS"),EXACT(Asistencia!G154,"V")),1,0)</f>
        <v>0</v>
      </c>
      <c r="AK147">
        <f>IF(OR(EXACT(Asistencia!H154,"A"),EXACT(Asistencia!H154,"R"),EXACT(Asistencia!H154,"DL"),EXACT(Asistencia!H154,"FL"),EXACT(Asistencia!H154,"FE"),EXACT(Asistencia!H154,"PCS"),EXACT(Asistencia!H154,"V")),1,0)</f>
        <v>0</v>
      </c>
      <c r="AL147">
        <f>IF(OR(EXACT(Asistencia!I154,"A"),EXACT(Asistencia!I154,"R"),EXACT(Asistencia!I154,"DL"),EXACT(Asistencia!I154,"FL"),EXACT(Asistencia!I154,"FE"),EXACT(Asistencia!I154,"PCS"),EXACT(Asistencia!I154,"V")),1,0)</f>
        <v>0</v>
      </c>
      <c r="AM147">
        <f>IF(OR(EXACT(Asistencia!J154,"A"),EXACT(Asistencia!J154,"R"),EXACT(Asistencia!J154,"DL"),EXACT(Asistencia!J154,"FL"),EXACT(Asistencia!J154,"FE"),EXACT(Asistencia!J154,"PCS"),EXACT(Asistencia!J154,"V")),1,0)</f>
        <v>0</v>
      </c>
      <c r="AN147">
        <f>IF(OR(EXACT(Asistencia!K154,"A"),EXACT(Asistencia!K154,"R"),EXACT(Asistencia!K154,"DL"),EXACT(Asistencia!K154,"FL"),EXACT(Asistencia!K154,"FE"),EXACT(Asistencia!K154,"PCS"),EXACT(Asistencia!K154,"V")),1,0)</f>
        <v>0</v>
      </c>
      <c r="AO147">
        <f>IF(OR(EXACT(Asistencia!L154,"A"),EXACT(Asistencia!L154,"R"),EXACT(Asistencia!L154,"DL"),EXACT(Asistencia!L154,"FL"),EXACT(Asistencia!L154,"FE"),EXACT(Asistencia!L154,"PCS"),EXACT(Asistencia!L154,"V")),1,0)</f>
        <v>0</v>
      </c>
      <c r="AP147">
        <f t="shared" si="85"/>
        <v>0</v>
      </c>
      <c r="AQ147">
        <f>IF(EXACT(Asistencia!F154,"FL"),1,0)</f>
        <v>0</v>
      </c>
      <c r="AR147">
        <f>IF(EXACT(Asistencia!G154,"FL"),1,0)</f>
        <v>0</v>
      </c>
      <c r="AS147">
        <f>IF(EXACT(Asistencia!H154,"FL"),1,0)</f>
        <v>0</v>
      </c>
      <c r="AT147">
        <f>IF(EXACT(Asistencia!I154,"FL"),1,0)</f>
        <v>0</v>
      </c>
      <c r="AU147">
        <f>IF(EXACT(Asistencia!J154,"FL"),1,0)</f>
        <v>0</v>
      </c>
      <c r="AV147">
        <f>IF(EXACT(Asistencia!K154,"FL"),1,0)</f>
        <v>0</v>
      </c>
      <c r="AW147">
        <f>IF(EXACT(Asistencia!L154,"FL"),1,0)</f>
        <v>0</v>
      </c>
      <c r="AX147">
        <f t="shared" si="86"/>
        <v>0</v>
      </c>
      <c r="AY147">
        <f>IF(EXACT(Asistencia!F154,"DL"),1,0)</f>
        <v>0</v>
      </c>
      <c r="AZ147">
        <f>IF(EXACT(Asistencia!G154,"DL"),1,0)</f>
        <v>0</v>
      </c>
      <c r="BA147">
        <f>IF(EXACT(Asistencia!H154,"DL"),1,0)</f>
        <v>0</v>
      </c>
      <c r="BB147">
        <f>IF(EXACT(Asistencia!I154,"DL"),1,0)</f>
        <v>0</v>
      </c>
      <c r="BC147">
        <f>IF(EXACT(Asistencia!J154,"DL"),1,0)</f>
        <v>0</v>
      </c>
      <c r="BD147">
        <f>IF(EXACT(Asistencia!K154,"DL"),1,0)</f>
        <v>0</v>
      </c>
      <c r="BE147">
        <f>IF(EXACT(Asistencia!L154,"DL"),1,0)</f>
        <v>0</v>
      </c>
      <c r="BF147">
        <f t="shared" si="87"/>
        <v>0</v>
      </c>
      <c r="BG147">
        <f>IF(ISNUMBER(Asistencia!M154),Asistencia!M154,0)</f>
        <v>0</v>
      </c>
      <c r="BH147">
        <f>IF(ISNUMBER(Asistencia!N154),Asistencia!N154,0)</f>
        <v>0</v>
      </c>
      <c r="BI147">
        <f>IF(ISNUMBER(Asistencia!O154),Asistencia!O154,0)</f>
        <v>0</v>
      </c>
      <c r="BJ147">
        <f>IF(ISNUMBER(Asistencia!P154),Asistencia!P154,0)</f>
        <v>0</v>
      </c>
      <c r="BK147" t="str">
        <f>IF(Asistencia!F154="","",Asistencia!F154)</f>
        <v/>
      </c>
      <c r="BL147" t="str">
        <f>IF(Asistencia!G154="","",Asistencia!G154)</f>
        <v/>
      </c>
      <c r="BM147" t="str">
        <f>IF(Asistencia!H154="","",Asistencia!H154)</f>
        <v/>
      </c>
      <c r="BN147" t="str">
        <f>IF(Asistencia!I154="","",Asistencia!I154)</f>
        <v/>
      </c>
      <c r="BO147" t="str">
        <f>IF(Asistencia!J154="","",Asistencia!J154)</f>
        <v/>
      </c>
      <c r="BP147" t="str">
        <f>IF(Asistencia!K154="","",Asistencia!K154)</f>
        <v/>
      </c>
      <c r="BQ147" t="str">
        <f>IF(Asistencia!L154="","",Asistencia!L154)</f>
        <v/>
      </c>
    </row>
    <row r="148" spans="1:69" x14ac:dyDescent="0.25">
      <c r="A148" s="46"/>
      <c r="B148" s="47"/>
      <c r="C148" s="47"/>
      <c r="D148" s="47"/>
      <c r="E148" s="46"/>
      <c r="F148" s="45"/>
      <c r="G148" s="44"/>
      <c r="H148" s="44"/>
      <c r="I148" s="44"/>
      <c r="J148" s="44"/>
      <c r="K148" s="44"/>
      <c r="L148" s="44"/>
      <c r="M148" s="43"/>
      <c r="N148" s="41"/>
      <c r="O148" s="41"/>
      <c r="P148" s="41"/>
      <c r="Q148" s="41"/>
      <c r="R148" s="41"/>
      <c r="S148" s="41"/>
      <c r="T148" s="48"/>
      <c r="U148" s="41"/>
      <c r="V148" s="41"/>
      <c r="W148" s="42"/>
      <c r="AA148" t="str">
        <f t="shared" si="84"/>
        <v/>
      </c>
      <c r="AB148" t="str">
        <f>IF(Asistencia!A155="","",Asistencia!A155)</f>
        <v/>
      </c>
      <c r="AC148" t="str">
        <f>IF(Asistencia!A155="","",SUBSTITUTE(SUBSTITUTE(SUBSTITUTE(SUBSTITUTE(SUBSTITUTE(SUBSTITUTE(SUBSTITUTE(UPPER(TRIM(Asistencia!A155)),"Á","A"),"É","E"),"Í","I"),"Ó","O"),"Ú","U"),"Ñ","N"),"  "," "))</f>
        <v/>
      </c>
      <c r="AD148" t="str">
        <f>IF(Asistencia!E155="","",Asistencia!E155)</f>
        <v/>
      </c>
      <c r="AE148" t="str">
        <f>IF(Asistencia!D155="","",UPPER(TRIM(Asistencia!D155)))</f>
        <v/>
      </c>
      <c r="AF148" t="s">
        <v>192</v>
      </c>
      <c r="AG148">
        <f>IF(AND(AA148&lt;&gt;"",COUNTIF($AA$5:AA148,AA148)=1),1,0)</f>
        <v>0</v>
      </c>
      <c r="AH148" t="str">
        <f>IF(AG148=1,SUM($AG$5:AG148),"")</f>
        <v/>
      </c>
      <c r="AI148">
        <f>IF(OR(EXACT(Asistencia!F155,"A"),EXACT(Asistencia!F155,"R"),EXACT(Asistencia!F155,"DL"),EXACT(Asistencia!F155,"FL"),EXACT(Asistencia!F155,"FE"),EXACT(Asistencia!F155,"PCS"),EXACT(Asistencia!F155,"V")),1,0)</f>
        <v>0</v>
      </c>
      <c r="AJ148">
        <f>IF(OR(EXACT(Asistencia!G155,"A"),EXACT(Asistencia!G155,"R"),EXACT(Asistencia!G155,"DL"),EXACT(Asistencia!G155,"FL"),EXACT(Asistencia!G155,"FE"),EXACT(Asistencia!G155,"PCS"),EXACT(Asistencia!G155,"V")),1,0)</f>
        <v>0</v>
      </c>
      <c r="AK148">
        <f>IF(OR(EXACT(Asistencia!H155,"A"),EXACT(Asistencia!H155,"R"),EXACT(Asistencia!H155,"DL"),EXACT(Asistencia!H155,"FL"),EXACT(Asistencia!H155,"FE"),EXACT(Asistencia!H155,"PCS"),EXACT(Asistencia!H155,"V")),1,0)</f>
        <v>0</v>
      </c>
      <c r="AL148">
        <f>IF(OR(EXACT(Asistencia!I155,"A"),EXACT(Asistencia!I155,"R"),EXACT(Asistencia!I155,"DL"),EXACT(Asistencia!I155,"FL"),EXACT(Asistencia!I155,"FE"),EXACT(Asistencia!I155,"PCS"),EXACT(Asistencia!I155,"V")),1,0)</f>
        <v>0</v>
      </c>
      <c r="AM148">
        <f>IF(OR(EXACT(Asistencia!J155,"A"),EXACT(Asistencia!J155,"R"),EXACT(Asistencia!J155,"DL"),EXACT(Asistencia!J155,"FL"),EXACT(Asistencia!J155,"FE"),EXACT(Asistencia!J155,"PCS"),EXACT(Asistencia!J155,"V")),1,0)</f>
        <v>0</v>
      </c>
      <c r="AN148">
        <f>IF(OR(EXACT(Asistencia!K155,"A"),EXACT(Asistencia!K155,"R"),EXACT(Asistencia!K155,"DL"),EXACT(Asistencia!K155,"FL"),EXACT(Asistencia!K155,"FE"),EXACT(Asistencia!K155,"PCS"),EXACT(Asistencia!K155,"V")),1,0)</f>
        <v>0</v>
      </c>
      <c r="AO148">
        <f>IF(OR(EXACT(Asistencia!L155,"A"),EXACT(Asistencia!L155,"R"),EXACT(Asistencia!L155,"DL"),EXACT(Asistencia!L155,"FL"),EXACT(Asistencia!L155,"FE"),EXACT(Asistencia!L155,"PCS"),EXACT(Asistencia!L155,"V")),1,0)</f>
        <v>0</v>
      </c>
      <c r="AP148">
        <f t="shared" si="85"/>
        <v>0</v>
      </c>
      <c r="AQ148">
        <f>IF(EXACT(Asistencia!F155,"FL"),1,0)</f>
        <v>0</v>
      </c>
      <c r="AR148">
        <f>IF(EXACT(Asistencia!G155,"FL"),1,0)</f>
        <v>0</v>
      </c>
      <c r="AS148">
        <f>IF(EXACT(Asistencia!H155,"FL"),1,0)</f>
        <v>0</v>
      </c>
      <c r="AT148">
        <f>IF(EXACT(Asistencia!I155,"FL"),1,0)</f>
        <v>0</v>
      </c>
      <c r="AU148">
        <f>IF(EXACT(Asistencia!J155,"FL"),1,0)</f>
        <v>0</v>
      </c>
      <c r="AV148">
        <f>IF(EXACT(Asistencia!K155,"FL"),1,0)</f>
        <v>0</v>
      </c>
      <c r="AW148">
        <f>IF(EXACT(Asistencia!L155,"FL"),1,0)</f>
        <v>0</v>
      </c>
      <c r="AX148">
        <f t="shared" si="86"/>
        <v>0</v>
      </c>
      <c r="AY148">
        <f>IF(EXACT(Asistencia!F155,"DL"),1,0)</f>
        <v>0</v>
      </c>
      <c r="AZ148">
        <f>IF(EXACT(Asistencia!G155,"DL"),1,0)</f>
        <v>0</v>
      </c>
      <c r="BA148">
        <f>IF(EXACT(Asistencia!H155,"DL"),1,0)</f>
        <v>0</v>
      </c>
      <c r="BB148">
        <f>IF(EXACT(Asistencia!I155,"DL"),1,0)</f>
        <v>0</v>
      </c>
      <c r="BC148">
        <f>IF(EXACT(Asistencia!J155,"DL"),1,0)</f>
        <v>0</v>
      </c>
      <c r="BD148">
        <f>IF(EXACT(Asistencia!K155,"DL"),1,0)</f>
        <v>0</v>
      </c>
      <c r="BE148">
        <f>IF(EXACT(Asistencia!L155,"DL"),1,0)</f>
        <v>0</v>
      </c>
      <c r="BF148">
        <f t="shared" si="87"/>
        <v>0</v>
      </c>
      <c r="BG148">
        <f>IF(ISNUMBER(Asistencia!M155),Asistencia!M155,0)</f>
        <v>0</v>
      </c>
      <c r="BH148">
        <f>IF(ISNUMBER(Asistencia!N155),Asistencia!N155,0)</f>
        <v>0</v>
      </c>
      <c r="BI148">
        <f>IF(ISNUMBER(Asistencia!O155),Asistencia!O155,0)</f>
        <v>0</v>
      </c>
      <c r="BJ148">
        <f>IF(ISNUMBER(Asistencia!P155),Asistencia!P155,0)</f>
        <v>0</v>
      </c>
      <c r="BK148" t="str">
        <f>IF(Asistencia!F155="","",Asistencia!F155)</f>
        <v/>
      </c>
      <c r="BL148" t="str">
        <f>IF(Asistencia!G155="","",Asistencia!G155)</f>
        <v/>
      </c>
      <c r="BM148" t="str">
        <f>IF(Asistencia!H155="","",Asistencia!H155)</f>
        <v/>
      </c>
      <c r="BN148" t="str">
        <f>IF(Asistencia!I155="","",Asistencia!I155)</f>
        <v/>
      </c>
      <c r="BO148" t="str">
        <f>IF(Asistencia!J155="","",Asistencia!J155)</f>
        <v/>
      </c>
      <c r="BP148" t="str">
        <f>IF(Asistencia!K155="","",Asistencia!K155)</f>
        <v/>
      </c>
      <c r="BQ148" t="str">
        <f>IF(Asistencia!L155="","",Asistencia!L155)</f>
        <v/>
      </c>
    </row>
    <row r="149" spans="1:69" x14ac:dyDescent="0.25">
      <c r="A149" s="46"/>
      <c r="B149" s="47"/>
      <c r="C149" s="47"/>
      <c r="D149" s="47"/>
      <c r="E149" s="46"/>
      <c r="F149" s="45"/>
      <c r="G149" s="44"/>
      <c r="H149" s="44"/>
      <c r="I149" s="44"/>
      <c r="J149" s="44"/>
      <c r="K149" s="44"/>
      <c r="L149" s="44"/>
      <c r="M149" s="43"/>
      <c r="N149" s="41"/>
      <c r="O149" s="41"/>
      <c r="P149" s="41"/>
      <c r="Q149" s="41"/>
      <c r="R149" s="41"/>
      <c r="S149" s="41"/>
      <c r="T149" s="48"/>
      <c r="U149" s="41"/>
      <c r="V149" s="41"/>
      <c r="W149" s="42"/>
      <c r="AA149" t="str">
        <f t="shared" si="84"/>
        <v/>
      </c>
      <c r="AB149" t="str">
        <f>IF(Asistencia!A156="","",Asistencia!A156)</f>
        <v/>
      </c>
      <c r="AC149" t="str">
        <f>IF(Asistencia!A156="","",SUBSTITUTE(SUBSTITUTE(SUBSTITUTE(SUBSTITUTE(SUBSTITUTE(SUBSTITUTE(SUBSTITUTE(UPPER(TRIM(Asistencia!A156)),"Á","A"),"É","E"),"Í","I"),"Ó","O"),"Ú","U"),"Ñ","N"),"  "," "))</f>
        <v/>
      </c>
      <c r="AD149" t="str">
        <f>IF(Asistencia!E156="","",Asistencia!E156)</f>
        <v/>
      </c>
      <c r="AE149" t="str">
        <f>IF(Asistencia!D156="","",UPPER(TRIM(Asistencia!D156)))</f>
        <v/>
      </c>
      <c r="AF149" t="s">
        <v>192</v>
      </c>
      <c r="AG149">
        <f>IF(AND(AA149&lt;&gt;"",COUNTIF($AA$5:AA149,AA149)=1),1,0)</f>
        <v>0</v>
      </c>
      <c r="AH149" t="str">
        <f>IF(AG149=1,SUM($AG$5:AG149),"")</f>
        <v/>
      </c>
      <c r="AI149">
        <f>IF(OR(EXACT(Asistencia!F156,"A"),EXACT(Asistencia!F156,"R"),EXACT(Asistencia!F156,"DL"),EXACT(Asistencia!F156,"FL"),EXACT(Asistencia!F156,"FE"),EXACT(Asistencia!F156,"PCS"),EXACT(Asistencia!F156,"V")),1,0)</f>
        <v>0</v>
      </c>
      <c r="AJ149">
        <f>IF(OR(EXACT(Asistencia!G156,"A"),EXACT(Asistencia!G156,"R"),EXACT(Asistencia!G156,"DL"),EXACT(Asistencia!G156,"FL"),EXACT(Asistencia!G156,"FE"),EXACT(Asistencia!G156,"PCS"),EXACT(Asistencia!G156,"V")),1,0)</f>
        <v>0</v>
      </c>
      <c r="AK149">
        <f>IF(OR(EXACT(Asistencia!H156,"A"),EXACT(Asistencia!H156,"R"),EXACT(Asistencia!H156,"DL"),EXACT(Asistencia!H156,"FL"),EXACT(Asistencia!H156,"FE"),EXACT(Asistencia!H156,"PCS"),EXACT(Asistencia!H156,"V")),1,0)</f>
        <v>0</v>
      </c>
      <c r="AL149">
        <f>IF(OR(EXACT(Asistencia!I156,"A"),EXACT(Asistencia!I156,"R"),EXACT(Asistencia!I156,"DL"),EXACT(Asistencia!I156,"FL"),EXACT(Asistencia!I156,"FE"),EXACT(Asistencia!I156,"PCS"),EXACT(Asistencia!I156,"V")),1,0)</f>
        <v>0</v>
      </c>
      <c r="AM149">
        <f>IF(OR(EXACT(Asistencia!J156,"A"),EXACT(Asistencia!J156,"R"),EXACT(Asistencia!J156,"DL"),EXACT(Asistencia!J156,"FL"),EXACT(Asistencia!J156,"FE"),EXACT(Asistencia!J156,"PCS"),EXACT(Asistencia!J156,"V")),1,0)</f>
        <v>0</v>
      </c>
      <c r="AN149">
        <f>IF(OR(EXACT(Asistencia!K156,"A"),EXACT(Asistencia!K156,"R"),EXACT(Asistencia!K156,"DL"),EXACT(Asistencia!K156,"FL"),EXACT(Asistencia!K156,"FE"),EXACT(Asistencia!K156,"PCS"),EXACT(Asistencia!K156,"V")),1,0)</f>
        <v>0</v>
      </c>
      <c r="AO149">
        <f>IF(OR(EXACT(Asistencia!L156,"A"),EXACT(Asistencia!L156,"R"),EXACT(Asistencia!L156,"DL"),EXACT(Asistencia!L156,"FL"),EXACT(Asistencia!L156,"FE"),EXACT(Asistencia!L156,"PCS"),EXACT(Asistencia!L156,"V")),1,0)</f>
        <v>0</v>
      </c>
      <c r="AP149">
        <f t="shared" si="85"/>
        <v>0</v>
      </c>
      <c r="AQ149">
        <f>IF(EXACT(Asistencia!F156,"FL"),1,0)</f>
        <v>0</v>
      </c>
      <c r="AR149">
        <f>IF(EXACT(Asistencia!G156,"FL"),1,0)</f>
        <v>0</v>
      </c>
      <c r="AS149">
        <f>IF(EXACT(Asistencia!H156,"FL"),1,0)</f>
        <v>0</v>
      </c>
      <c r="AT149">
        <f>IF(EXACT(Asistencia!I156,"FL"),1,0)</f>
        <v>0</v>
      </c>
      <c r="AU149">
        <f>IF(EXACT(Asistencia!J156,"FL"),1,0)</f>
        <v>0</v>
      </c>
      <c r="AV149">
        <f>IF(EXACT(Asistencia!K156,"FL"),1,0)</f>
        <v>0</v>
      </c>
      <c r="AW149">
        <f>IF(EXACT(Asistencia!L156,"FL"),1,0)</f>
        <v>0</v>
      </c>
      <c r="AX149">
        <f t="shared" si="86"/>
        <v>0</v>
      </c>
      <c r="AY149">
        <f>IF(EXACT(Asistencia!F156,"DL"),1,0)</f>
        <v>0</v>
      </c>
      <c r="AZ149">
        <f>IF(EXACT(Asistencia!G156,"DL"),1,0)</f>
        <v>0</v>
      </c>
      <c r="BA149">
        <f>IF(EXACT(Asistencia!H156,"DL"),1,0)</f>
        <v>0</v>
      </c>
      <c r="BB149">
        <f>IF(EXACT(Asistencia!I156,"DL"),1,0)</f>
        <v>0</v>
      </c>
      <c r="BC149">
        <f>IF(EXACT(Asistencia!J156,"DL"),1,0)</f>
        <v>0</v>
      </c>
      <c r="BD149">
        <f>IF(EXACT(Asistencia!K156,"DL"),1,0)</f>
        <v>0</v>
      </c>
      <c r="BE149">
        <f>IF(EXACT(Asistencia!L156,"DL"),1,0)</f>
        <v>0</v>
      </c>
      <c r="BF149">
        <f t="shared" si="87"/>
        <v>0</v>
      </c>
      <c r="BG149">
        <f>IF(ISNUMBER(Asistencia!M156),Asistencia!M156,0)</f>
        <v>0</v>
      </c>
      <c r="BH149">
        <f>IF(ISNUMBER(Asistencia!N156),Asistencia!N156,0)</f>
        <v>0</v>
      </c>
      <c r="BI149">
        <f>IF(ISNUMBER(Asistencia!O156),Asistencia!O156,0)</f>
        <v>0</v>
      </c>
      <c r="BJ149">
        <f>IF(ISNUMBER(Asistencia!P156),Asistencia!P156,0)</f>
        <v>0</v>
      </c>
      <c r="BK149" t="str">
        <f>IF(Asistencia!F156="","",Asistencia!F156)</f>
        <v/>
      </c>
      <c r="BL149" t="str">
        <f>IF(Asistencia!G156="","",Asistencia!G156)</f>
        <v/>
      </c>
      <c r="BM149" t="str">
        <f>IF(Asistencia!H156="","",Asistencia!H156)</f>
        <v/>
      </c>
      <c r="BN149" t="str">
        <f>IF(Asistencia!I156="","",Asistencia!I156)</f>
        <v/>
      </c>
      <c r="BO149" t="str">
        <f>IF(Asistencia!J156="","",Asistencia!J156)</f>
        <v/>
      </c>
      <c r="BP149" t="str">
        <f>IF(Asistencia!K156="","",Asistencia!K156)</f>
        <v/>
      </c>
      <c r="BQ149" t="str">
        <f>IF(Asistencia!L156="","",Asistencia!L156)</f>
        <v/>
      </c>
    </row>
    <row r="150" spans="1:69" x14ac:dyDescent="0.25">
      <c r="A150" s="46"/>
      <c r="B150" s="47"/>
      <c r="C150" s="47"/>
      <c r="D150" s="47"/>
      <c r="E150" s="46"/>
      <c r="F150" s="45"/>
      <c r="G150" s="44"/>
      <c r="H150" s="44"/>
      <c r="I150" s="44"/>
      <c r="J150" s="44"/>
      <c r="K150" s="44"/>
      <c r="L150" s="44"/>
      <c r="M150" s="43"/>
      <c r="N150" s="41"/>
      <c r="O150" s="41"/>
      <c r="P150" s="41"/>
      <c r="Q150" s="41"/>
      <c r="R150" s="41"/>
      <c r="S150" s="41"/>
      <c r="T150" s="48"/>
      <c r="U150" s="41"/>
      <c r="V150" s="41"/>
      <c r="W150" s="42"/>
      <c r="AA150" t="str">
        <f t="shared" si="84"/>
        <v/>
      </c>
      <c r="AB150" t="str">
        <f>IF(Asistencia!A157="","",Asistencia!A157)</f>
        <v/>
      </c>
      <c r="AC150" t="str">
        <f>IF(Asistencia!A157="","",SUBSTITUTE(SUBSTITUTE(SUBSTITUTE(SUBSTITUTE(SUBSTITUTE(SUBSTITUTE(SUBSTITUTE(UPPER(TRIM(Asistencia!A157)),"Á","A"),"É","E"),"Í","I"),"Ó","O"),"Ú","U"),"Ñ","N"),"  "," "))</f>
        <v/>
      </c>
      <c r="AD150" t="str">
        <f>IF(Asistencia!E157="","",Asistencia!E157)</f>
        <v/>
      </c>
      <c r="AE150" t="str">
        <f>IF(Asistencia!D157="","",UPPER(TRIM(Asistencia!D157)))</f>
        <v/>
      </c>
      <c r="AF150" t="s">
        <v>192</v>
      </c>
      <c r="AG150">
        <f>IF(AND(AA150&lt;&gt;"",COUNTIF($AA$5:AA150,AA150)=1),1,0)</f>
        <v>0</v>
      </c>
      <c r="AH150" t="str">
        <f>IF(AG150=1,SUM($AG$5:AG150),"")</f>
        <v/>
      </c>
      <c r="AI150">
        <f>IF(OR(EXACT(Asistencia!F157,"A"),EXACT(Asistencia!F157,"R"),EXACT(Asistencia!F157,"DL"),EXACT(Asistencia!F157,"FL"),EXACT(Asistencia!F157,"FE"),EXACT(Asistencia!F157,"PCS"),EXACT(Asistencia!F157,"V")),1,0)</f>
        <v>0</v>
      </c>
      <c r="AJ150">
        <f>IF(OR(EXACT(Asistencia!G157,"A"),EXACT(Asistencia!G157,"R"),EXACT(Asistencia!G157,"DL"),EXACT(Asistencia!G157,"FL"),EXACT(Asistencia!G157,"FE"),EXACT(Asistencia!G157,"PCS"),EXACT(Asistencia!G157,"V")),1,0)</f>
        <v>0</v>
      </c>
      <c r="AK150">
        <f>IF(OR(EXACT(Asistencia!H157,"A"),EXACT(Asistencia!H157,"R"),EXACT(Asistencia!H157,"DL"),EXACT(Asistencia!H157,"FL"),EXACT(Asistencia!H157,"FE"),EXACT(Asistencia!H157,"PCS"),EXACT(Asistencia!H157,"V")),1,0)</f>
        <v>0</v>
      </c>
      <c r="AL150">
        <f>IF(OR(EXACT(Asistencia!I157,"A"),EXACT(Asistencia!I157,"R"),EXACT(Asistencia!I157,"DL"),EXACT(Asistencia!I157,"FL"),EXACT(Asistencia!I157,"FE"),EXACT(Asistencia!I157,"PCS"),EXACT(Asistencia!I157,"V")),1,0)</f>
        <v>0</v>
      </c>
      <c r="AM150">
        <f>IF(OR(EXACT(Asistencia!J157,"A"),EXACT(Asistencia!J157,"R"),EXACT(Asistencia!J157,"DL"),EXACT(Asistencia!J157,"FL"),EXACT(Asistencia!J157,"FE"),EXACT(Asistencia!J157,"PCS"),EXACT(Asistencia!J157,"V")),1,0)</f>
        <v>0</v>
      </c>
      <c r="AN150">
        <f>IF(OR(EXACT(Asistencia!K157,"A"),EXACT(Asistencia!K157,"R"),EXACT(Asistencia!K157,"DL"),EXACT(Asistencia!K157,"FL"),EXACT(Asistencia!K157,"FE"),EXACT(Asistencia!K157,"PCS"),EXACT(Asistencia!K157,"V")),1,0)</f>
        <v>0</v>
      </c>
      <c r="AO150">
        <f>IF(OR(EXACT(Asistencia!L157,"A"),EXACT(Asistencia!L157,"R"),EXACT(Asistencia!L157,"DL"),EXACT(Asistencia!L157,"FL"),EXACT(Asistencia!L157,"FE"),EXACT(Asistencia!L157,"PCS"),EXACT(Asistencia!L157,"V")),1,0)</f>
        <v>0</v>
      </c>
      <c r="AP150">
        <f t="shared" si="85"/>
        <v>0</v>
      </c>
      <c r="AQ150">
        <f>IF(EXACT(Asistencia!F157,"FL"),1,0)</f>
        <v>0</v>
      </c>
      <c r="AR150">
        <f>IF(EXACT(Asistencia!G157,"FL"),1,0)</f>
        <v>0</v>
      </c>
      <c r="AS150">
        <f>IF(EXACT(Asistencia!H157,"FL"),1,0)</f>
        <v>0</v>
      </c>
      <c r="AT150">
        <f>IF(EXACT(Asistencia!I157,"FL"),1,0)</f>
        <v>0</v>
      </c>
      <c r="AU150">
        <f>IF(EXACT(Asistencia!J157,"FL"),1,0)</f>
        <v>0</v>
      </c>
      <c r="AV150">
        <f>IF(EXACT(Asistencia!K157,"FL"),1,0)</f>
        <v>0</v>
      </c>
      <c r="AW150">
        <f>IF(EXACT(Asistencia!L157,"FL"),1,0)</f>
        <v>0</v>
      </c>
      <c r="AX150">
        <f t="shared" si="86"/>
        <v>0</v>
      </c>
      <c r="AY150">
        <f>IF(EXACT(Asistencia!F157,"DL"),1,0)</f>
        <v>0</v>
      </c>
      <c r="AZ150">
        <f>IF(EXACT(Asistencia!G157,"DL"),1,0)</f>
        <v>0</v>
      </c>
      <c r="BA150">
        <f>IF(EXACT(Asistencia!H157,"DL"),1,0)</f>
        <v>0</v>
      </c>
      <c r="BB150">
        <f>IF(EXACT(Asistencia!I157,"DL"),1,0)</f>
        <v>0</v>
      </c>
      <c r="BC150">
        <f>IF(EXACT(Asistencia!J157,"DL"),1,0)</f>
        <v>0</v>
      </c>
      <c r="BD150">
        <f>IF(EXACT(Asistencia!K157,"DL"),1,0)</f>
        <v>0</v>
      </c>
      <c r="BE150">
        <f>IF(EXACT(Asistencia!L157,"DL"),1,0)</f>
        <v>0</v>
      </c>
      <c r="BF150">
        <f t="shared" si="87"/>
        <v>0</v>
      </c>
      <c r="BG150">
        <f>IF(ISNUMBER(Asistencia!M157),Asistencia!M157,0)</f>
        <v>0</v>
      </c>
      <c r="BH150">
        <f>IF(ISNUMBER(Asistencia!N157),Asistencia!N157,0)</f>
        <v>0</v>
      </c>
      <c r="BI150">
        <f>IF(ISNUMBER(Asistencia!O157),Asistencia!O157,0)</f>
        <v>0</v>
      </c>
      <c r="BJ150">
        <f>IF(ISNUMBER(Asistencia!P157),Asistencia!P157,0)</f>
        <v>0</v>
      </c>
      <c r="BK150" t="str">
        <f>IF(Asistencia!F157="","",Asistencia!F157)</f>
        <v/>
      </c>
      <c r="BL150" t="str">
        <f>IF(Asistencia!G157="","",Asistencia!G157)</f>
        <v/>
      </c>
      <c r="BM150" t="str">
        <f>IF(Asistencia!H157="","",Asistencia!H157)</f>
        <v/>
      </c>
      <c r="BN150" t="str">
        <f>IF(Asistencia!I157="","",Asistencia!I157)</f>
        <v/>
      </c>
      <c r="BO150" t="str">
        <f>IF(Asistencia!J157="","",Asistencia!J157)</f>
        <v/>
      </c>
      <c r="BP150" t="str">
        <f>IF(Asistencia!K157="","",Asistencia!K157)</f>
        <v/>
      </c>
      <c r="BQ150" t="str">
        <f>IF(Asistencia!L157="","",Asistencia!L157)</f>
        <v/>
      </c>
    </row>
    <row r="151" spans="1:69" x14ac:dyDescent="0.25">
      <c r="A151" s="46"/>
      <c r="B151" s="47"/>
      <c r="C151" s="47"/>
      <c r="D151" s="47"/>
      <c r="E151" s="46"/>
      <c r="F151" s="45"/>
      <c r="G151" s="44"/>
      <c r="H151" s="44"/>
      <c r="I151" s="44"/>
      <c r="J151" s="44"/>
      <c r="K151" s="44"/>
      <c r="L151" s="44"/>
      <c r="M151" s="43"/>
      <c r="N151" s="41"/>
      <c r="O151" s="41"/>
      <c r="P151" s="41"/>
      <c r="Q151" s="41"/>
      <c r="R151" s="41"/>
      <c r="S151" s="41"/>
      <c r="T151" s="48"/>
      <c r="U151" s="41"/>
      <c r="V151" s="41"/>
      <c r="W151" s="42"/>
      <c r="AA151" t="str">
        <f t="shared" si="84"/>
        <v/>
      </c>
      <c r="AB151" t="str">
        <f>IF(Asistencia!A158="","",Asistencia!A158)</f>
        <v/>
      </c>
      <c r="AC151" t="str">
        <f>IF(Asistencia!A158="","",SUBSTITUTE(SUBSTITUTE(SUBSTITUTE(SUBSTITUTE(SUBSTITUTE(SUBSTITUTE(SUBSTITUTE(UPPER(TRIM(Asistencia!A158)),"Á","A"),"É","E"),"Í","I"),"Ó","O"),"Ú","U"),"Ñ","N"),"  "," "))</f>
        <v/>
      </c>
      <c r="AD151" t="str">
        <f>IF(Asistencia!E158="","",Asistencia!E158)</f>
        <v/>
      </c>
      <c r="AE151" t="str">
        <f>IF(Asistencia!D158="","",UPPER(TRIM(Asistencia!D158)))</f>
        <v/>
      </c>
      <c r="AF151" t="s">
        <v>192</v>
      </c>
      <c r="AG151">
        <f>IF(AND(AA151&lt;&gt;"",COUNTIF($AA$5:AA151,AA151)=1),1,0)</f>
        <v>0</v>
      </c>
      <c r="AH151" t="str">
        <f>IF(AG151=1,SUM($AG$5:AG151),"")</f>
        <v/>
      </c>
      <c r="AI151">
        <f>IF(OR(EXACT(Asistencia!F158,"A"),EXACT(Asistencia!F158,"R"),EXACT(Asistencia!F158,"DL"),EXACT(Asistencia!F158,"FL"),EXACT(Asistencia!F158,"FE"),EXACT(Asistencia!F158,"PCS"),EXACT(Asistencia!F158,"V")),1,0)</f>
        <v>0</v>
      </c>
      <c r="AJ151">
        <f>IF(OR(EXACT(Asistencia!G158,"A"),EXACT(Asistencia!G158,"R"),EXACT(Asistencia!G158,"DL"),EXACT(Asistencia!G158,"FL"),EXACT(Asistencia!G158,"FE"),EXACT(Asistencia!G158,"PCS"),EXACT(Asistencia!G158,"V")),1,0)</f>
        <v>0</v>
      </c>
      <c r="AK151">
        <f>IF(OR(EXACT(Asistencia!H158,"A"),EXACT(Asistencia!H158,"R"),EXACT(Asistencia!H158,"DL"),EXACT(Asistencia!H158,"FL"),EXACT(Asistencia!H158,"FE"),EXACT(Asistencia!H158,"PCS"),EXACT(Asistencia!H158,"V")),1,0)</f>
        <v>0</v>
      </c>
      <c r="AL151">
        <f>IF(OR(EXACT(Asistencia!I158,"A"),EXACT(Asistencia!I158,"R"),EXACT(Asistencia!I158,"DL"),EXACT(Asistencia!I158,"FL"),EXACT(Asistencia!I158,"FE"),EXACT(Asistencia!I158,"PCS"),EXACT(Asistencia!I158,"V")),1,0)</f>
        <v>0</v>
      </c>
      <c r="AM151">
        <f>IF(OR(EXACT(Asistencia!J158,"A"),EXACT(Asistencia!J158,"R"),EXACT(Asistencia!J158,"DL"),EXACT(Asistencia!J158,"FL"),EXACT(Asistencia!J158,"FE"),EXACT(Asistencia!J158,"PCS"),EXACT(Asistencia!J158,"V")),1,0)</f>
        <v>0</v>
      </c>
      <c r="AN151">
        <f>IF(OR(EXACT(Asistencia!K158,"A"),EXACT(Asistencia!K158,"R"),EXACT(Asistencia!K158,"DL"),EXACT(Asistencia!K158,"FL"),EXACT(Asistencia!K158,"FE"),EXACT(Asistencia!K158,"PCS"),EXACT(Asistencia!K158,"V")),1,0)</f>
        <v>0</v>
      </c>
      <c r="AO151">
        <f>IF(OR(EXACT(Asistencia!L158,"A"),EXACT(Asistencia!L158,"R"),EXACT(Asistencia!L158,"DL"),EXACT(Asistencia!L158,"FL"),EXACT(Asistencia!L158,"FE"),EXACT(Asistencia!L158,"PCS"),EXACT(Asistencia!L158,"V")),1,0)</f>
        <v>0</v>
      </c>
      <c r="AP151">
        <f t="shared" si="85"/>
        <v>0</v>
      </c>
      <c r="AQ151">
        <f>IF(EXACT(Asistencia!F158,"FL"),1,0)</f>
        <v>0</v>
      </c>
      <c r="AR151">
        <f>IF(EXACT(Asistencia!G158,"FL"),1,0)</f>
        <v>0</v>
      </c>
      <c r="AS151">
        <f>IF(EXACT(Asistencia!H158,"FL"),1,0)</f>
        <v>0</v>
      </c>
      <c r="AT151">
        <f>IF(EXACT(Asistencia!I158,"FL"),1,0)</f>
        <v>0</v>
      </c>
      <c r="AU151">
        <f>IF(EXACT(Asistencia!J158,"FL"),1,0)</f>
        <v>0</v>
      </c>
      <c r="AV151">
        <f>IF(EXACT(Asistencia!K158,"FL"),1,0)</f>
        <v>0</v>
      </c>
      <c r="AW151">
        <f>IF(EXACT(Asistencia!L158,"FL"),1,0)</f>
        <v>0</v>
      </c>
      <c r="AX151">
        <f t="shared" si="86"/>
        <v>0</v>
      </c>
      <c r="AY151">
        <f>IF(EXACT(Asistencia!F158,"DL"),1,0)</f>
        <v>0</v>
      </c>
      <c r="AZ151">
        <f>IF(EXACT(Asistencia!G158,"DL"),1,0)</f>
        <v>0</v>
      </c>
      <c r="BA151">
        <f>IF(EXACT(Asistencia!H158,"DL"),1,0)</f>
        <v>0</v>
      </c>
      <c r="BB151">
        <f>IF(EXACT(Asistencia!I158,"DL"),1,0)</f>
        <v>0</v>
      </c>
      <c r="BC151">
        <f>IF(EXACT(Asistencia!J158,"DL"),1,0)</f>
        <v>0</v>
      </c>
      <c r="BD151">
        <f>IF(EXACT(Asistencia!K158,"DL"),1,0)</f>
        <v>0</v>
      </c>
      <c r="BE151">
        <f>IF(EXACT(Asistencia!L158,"DL"),1,0)</f>
        <v>0</v>
      </c>
      <c r="BF151">
        <f t="shared" si="87"/>
        <v>0</v>
      </c>
      <c r="BG151">
        <f>IF(ISNUMBER(Asistencia!M158),Asistencia!M158,0)</f>
        <v>0</v>
      </c>
      <c r="BH151">
        <f>IF(ISNUMBER(Asistencia!N158),Asistencia!N158,0)</f>
        <v>0</v>
      </c>
      <c r="BI151">
        <f>IF(ISNUMBER(Asistencia!O158),Asistencia!O158,0)</f>
        <v>0</v>
      </c>
      <c r="BJ151">
        <f>IF(ISNUMBER(Asistencia!P158),Asistencia!P158,0)</f>
        <v>0</v>
      </c>
      <c r="BK151" t="str">
        <f>IF(Asistencia!F158="","",Asistencia!F158)</f>
        <v/>
      </c>
      <c r="BL151" t="str">
        <f>IF(Asistencia!G158="","",Asistencia!G158)</f>
        <v/>
      </c>
      <c r="BM151" t="str">
        <f>IF(Asistencia!H158="","",Asistencia!H158)</f>
        <v/>
      </c>
      <c r="BN151" t="str">
        <f>IF(Asistencia!I158="","",Asistencia!I158)</f>
        <v/>
      </c>
      <c r="BO151" t="str">
        <f>IF(Asistencia!J158="","",Asistencia!J158)</f>
        <v/>
      </c>
      <c r="BP151" t="str">
        <f>IF(Asistencia!K158="","",Asistencia!K158)</f>
        <v/>
      </c>
      <c r="BQ151" t="str">
        <f>IF(Asistencia!L158="","",Asistencia!L158)</f>
        <v/>
      </c>
    </row>
    <row r="152" spans="1:69" x14ac:dyDescent="0.25">
      <c r="A152" s="46"/>
      <c r="B152" s="47"/>
      <c r="C152" s="47"/>
      <c r="D152" s="47"/>
      <c r="E152" s="46"/>
      <c r="F152" s="45"/>
      <c r="G152" s="44"/>
      <c r="H152" s="44"/>
      <c r="I152" s="44"/>
      <c r="J152" s="44"/>
      <c r="K152" s="44"/>
      <c r="L152" s="44"/>
      <c r="M152" s="43"/>
      <c r="N152" s="41"/>
      <c r="O152" s="41"/>
      <c r="P152" s="41"/>
      <c r="Q152" s="41"/>
      <c r="R152" s="41"/>
      <c r="S152" s="41"/>
      <c r="T152" s="48"/>
      <c r="U152" s="41"/>
      <c r="V152" s="41"/>
      <c r="W152" s="42"/>
      <c r="AA152" t="str">
        <f t="shared" si="84"/>
        <v/>
      </c>
      <c r="AB152" t="str">
        <f>IF(Asistencia!A159="","",Asistencia!A159)</f>
        <v/>
      </c>
      <c r="AC152" t="str">
        <f>IF(Asistencia!A159="","",SUBSTITUTE(SUBSTITUTE(SUBSTITUTE(SUBSTITUTE(SUBSTITUTE(SUBSTITUTE(SUBSTITUTE(UPPER(TRIM(Asistencia!A159)),"Á","A"),"É","E"),"Í","I"),"Ó","O"),"Ú","U"),"Ñ","N"),"  "," "))</f>
        <v/>
      </c>
      <c r="AD152" t="str">
        <f>IF(Asistencia!E159="","",Asistencia!E159)</f>
        <v/>
      </c>
      <c r="AE152" t="str">
        <f>IF(Asistencia!D159="","",UPPER(TRIM(Asistencia!D159)))</f>
        <v/>
      </c>
      <c r="AF152" t="s">
        <v>192</v>
      </c>
      <c r="AG152">
        <f>IF(AND(AA152&lt;&gt;"",COUNTIF($AA$5:AA152,AA152)=1),1,0)</f>
        <v>0</v>
      </c>
      <c r="AH152" t="str">
        <f>IF(AG152=1,SUM($AG$5:AG152),"")</f>
        <v/>
      </c>
      <c r="AI152">
        <f>IF(OR(EXACT(Asistencia!F159,"A"),EXACT(Asistencia!F159,"R"),EXACT(Asistencia!F159,"DL"),EXACT(Asistencia!F159,"FL"),EXACT(Asistencia!F159,"FE"),EXACT(Asistencia!F159,"PCS"),EXACT(Asistencia!F159,"V")),1,0)</f>
        <v>0</v>
      </c>
      <c r="AJ152">
        <f>IF(OR(EXACT(Asistencia!G159,"A"),EXACT(Asistencia!G159,"R"),EXACT(Asistencia!G159,"DL"),EXACT(Asistencia!G159,"FL"),EXACT(Asistencia!G159,"FE"),EXACT(Asistencia!G159,"PCS"),EXACT(Asistencia!G159,"V")),1,0)</f>
        <v>0</v>
      </c>
      <c r="AK152">
        <f>IF(OR(EXACT(Asistencia!H159,"A"),EXACT(Asistencia!H159,"R"),EXACT(Asistencia!H159,"DL"),EXACT(Asistencia!H159,"FL"),EXACT(Asistencia!H159,"FE"),EXACT(Asistencia!H159,"PCS"),EXACT(Asistencia!H159,"V")),1,0)</f>
        <v>0</v>
      </c>
      <c r="AL152">
        <f>IF(OR(EXACT(Asistencia!I159,"A"),EXACT(Asistencia!I159,"R"),EXACT(Asistencia!I159,"DL"),EXACT(Asistencia!I159,"FL"),EXACT(Asistencia!I159,"FE"),EXACT(Asistencia!I159,"PCS"),EXACT(Asistencia!I159,"V")),1,0)</f>
        <v>0</v>
      </c>
      <c r="AM152">
        <f>IF(OR(EXACT(Asistencia!J159,"A"),EXACT(Asistencia!J159,"R"),EXACT(Asistencia!J159,"DL"),EXACT(Asistencia!J159,"FL"),EXACT(Asistencia!J159,"FE"),EXACT(Asistencia!J159,"PCS"),EXACT(Asistencia!J159,"V")),1,0)</f>
        <v>0</v>
      </c>
      <c r="AN152">
        <f>IF(OR(EXACT(Asistencia!K159,"A"),EXACT(Asistencia!K159,"R"),EXACT(Asistencia!K159,"DL"),EXACT(Asistencia!K159,"FL"),EXACT(Asistencia!K159,"FE"),EXACT(Asistencia!K159,"PCS"),EXACT(Asistencia!K159,"V")),1,0)</f>
        <v>0</v>
      </c>
      <c r="AO152">
        <f>IF(OR(EXACT(Asistencia!L159,"A"),EXACT(Asistencia!L159,"R"),EXACT(Asistencia!L159,"DL"),EXACT(Asistencia!L159,"FL"),EXACT(Asistencia!L159,"FE"),EXACT(Asistencia!L159,"PCS"),EXACT(Asistencia!L159,"V")),1,0)</f>
        <v>0</v>
      </c>
      <c r="AP152">
        <f t="shared" si="85"/>
        <v>0</v>
      </c>
      <c r="AQ152">
        <f>IF(EXACT(Asistencia!F159,"FL"),1,0)</f>
        <v>0</v>
      </c>
      <c r="AR152">
        <f>IF(EXACT(Asistencia!G159,"FL"),1,0)</f>
        <v>0</v>
      </c>
      <c r="AS152">
        <f>IF(EXACT(Asistencia!H159,"FL"),1,0)</f>
        <v>0</v>
      </c>
      <c r="AT152">
        <f>IF(EXACT(Asistencia!I159,"FL"),1,0)</f>
        <v>0</v>
      </c>
      <c r="AU152">
        <f>IF(EXACT(Asistencia!J159,"FL"),1,0)</f>
        <v>0</v>
      </c>
      <c r="AV152">
        <f>IF(EXACT(Asistencia!K159,"FL"),1,0)</f>
        <v>0</v>
      </c>
      <c r="AW152">
        <f>IF(EXACT(Asistencia!L159,"FL"),1,0)</f>
        <v>0</v>
      </c>
      <c r="AX152">
        <f t="shared" si="86"/>
        <v>0</v>
      </c>
      <c r="AY152">
        <f>IF(EXACT(Asistencia!F159,"DL"),1,0)</f>
        <v>0</v>
      </c>
      <c r="AZ152">
        <f>IF(EXACT(Asistencia!G159,"DL"),1,0)</f>
        <v>0</v>
      </c>
      <c r="BA152">
        <f>IF(EXACT(Asistencia!H159,"DL"),1,0)</f>
        <v>0</v>
      </c>
      <c r="BB152">
        <f>IF(EXACT(Asistencia!I159,"DL"),1,0)</f>
        <v>0</v>
      </c>
      <c r="BC152">
        <f>IF(EXACT(Asistencia!J159,"DL"),1,0)</f>
        <v>0</v>
      </c>
      <c r="BD152">
        <f>IF(EXACT(Asistencia!K159,"DL"),1,0)</f>
        <v>0</v>
      </c>
      <c r="BE152">
        <f>IF(EXACT(Asistencia!L159,"DL"),1,0)</f>
        <v>0</v>
      </c>
      <c r="BF152">
        <f t="shared" si="87"/>
        <v>0</v>
      </c>
      <c r="BG152">
        <f>IF(ISNUMBER(Asistencia!M159),Asistencia!M159,0)</f>
        <v>0</v>
      </c>
      <c r="BH152">
        <f>IF(ISNUMBER(Asistencia!N159),Asistencia!N159,0)</f>
        <v>0</v>
      </c>
      <c r="BI152">
        <f>IF(ISNUMBER(Asistencia!O159),Asistencia!O159,0)</f>
        <v>0</v>
      </c>
      <c r="BJ152">
        <f>IF(ISNUMBER(Asistencia!P159),Asistencia!P159,0)</f>
        <v>0</v>
      </c>
      <c r="BK152" t="str">
        <f>IF(Asistencia!F159="","",Asistencia!F159)</f>
        <v/>
      </c>
      <c r="BL152" t="str">
        <f>IF(Asistencia!G159="","",Asistencia!G159)</f>
        <v/>
      </c>
      <c r="BM152" t="str">
        <f>IF(Asistencia!H159="","",Asistencia!H159)</f>
        <v/>
      </c>
      <c r="BN152" t="str">
        <f>IF(Asistencia!I159="","",Asistencia!I159)</f>
        <v/>
      </c>
      <c r="BO152" t="str">
        <f>IF(Asistencia!J159="","",Asistencia!J159)</f>
        <v/>
      </c>
      <c r="BP152" t="str">
        <f>IF(Asistencia!K159="","",Asistencia!K159)</f>
        <v/>
      </c>
      <c r="BQ152" t="str">
        <f>IF(Asistencia!L159="","",Asistencia!L159)</f>
        <v/>
      </c>
    </row>
    <row r="153" spans="1:69" x14ac:dyDescent="0.25">
      <c r="A153" s="46"/>
      <c r="B153" s="47"/>
      <c r="C153" s="47"/>
      <c r="D153" s="47"/>
      <c r="E153" s="46"/>
      <c r="F153" s="45"/>
      <c r="G153" s="44"/>
      <c r="H153" s="44"/>
      <c r="I153" s="44"/>
      <c r="J153" s="44"/>
      <c r="K153" s="44"/>
      <c r="L153" s="44"/>
      <c r="M153" s="43"/>
      <c r="N153" s="41"/>
      <c r="O153" s="41"/>
      <c r="P153" s="41"/>
      <c r="Q153" s="41"/>
      <c r="R153" s="41"/>
      <c r="S153" s="41"/>
      <c r="T153" s="48"/>
      <c r="U153" s="41"/>
      <c r="V153" s="41"/>
      <c r="W153" s="42"/>
      <c r="AA153" t="str">
        <f t="shared" si="84"/>
        <v/>
      </c>
      <c r="AB153" t="str">
        <f>IF(Asistencia!A160="","",Asistencia!A160)</f>
        <v/>
      </c>
      <c r="AC153" t="str">
        <f>IF(Asistencia!A160="","",SUBSTITUTE(SUBSTITUTE(SUBSTITUTE(SUBSTITUTE(SUBSTITUTE(SUBSTITUTE(SUBSTITUTE(UPPER(TRIM(Asistencia!A160)),"Á","A"),"É","E"),"Í","I"),"Ó","O"),"Ú","U"),"Ñ","N"),"  "," "))</f>
        <v/>
      </c>
      <c r="AD153" t="str">
        <f>IF(Asistencia!E160="","",Asistencia!E160)</f>
        <v/>
      </c>
      <c r="AE153" t="str">
        <f>IF(Asistencia!D160="","",UPPER(TRIM(Asistencia!D160)))</f>
        <v/>
      </c>
      <c r="AF153" t="s">
        <v>192</v>
      </c>
      <c r="AG153">
        <f>IF(AND(AA153&lt;&gt;"",COUNTIF($AA$5:AA153,AA153)=1),1,0)</f>
        <v>0</v>
      </c>
      <c r="AH153" t="str">
        <f>IF(AG153=1,SUM($AG$5:AG153),"")</f>
        <v/>
      </c>
      <c r="AI153">
        <f>IF(OR(EXACT(Asistencia!F160,"A"),EXACT(Asistencia!F160,"R"),EXACT(Asistencia!F160,"DL"),EXACT(Asistencia!F160,"FL"),EXACT(Asistencia!F160,"FE"),EXACT(Asistencia!F160,"PCS"),EXACT(Asistencia!F160,"V")),1,0)</f>
        <v>0</v>
      </c>
      <c r="AJ153">
        <f>IF(OR(EXACT(Asistencia!G160,"A"),EXACT(Asistencia!G160,"R"),EXACT(Asistencia!G160,"DL"),EXACT(Asistencia!G160,"FL"),EXACT(Asistencia!G160,"FE"),EXACT(Asistencia!G160,"PCS"),EXACT(Asistencia!G160,"V")),1,0)</f>
        <v>0</v>
      </c>
      <c r="AK153">
        <f>IF(OR(EXACT(Asistencia!H160,"A"),EXACT(Asistencia!H160,"R"),EXACT(Asistencia!H160,"DL"),EXACT(Asistencia!H160,"FL"),EXACT(Asistencia!H160,"FE"),EXACT(Asistencia!H160,"PCS"),EXACT(Asistencia!H160,"V")),1,0)</f>
        <v>0</v>
      </c>
      <c r="AL153">
        <f>IF(OR(EXACT(Asistencia!I160,"A"),EXACT(Asistencia!I160,"R"),EXACT(Asistencia!I160,"DL"),EXACT(Asistencia!I160,"FL"),EXACT(Asistencia!I160,"FE"),EXACT(Asistencia!I160,"PCS"),EXACT(Asistencia!I160,"V")),1,0)</f>
        <v>0</v>
      </c>
      <c r="AM153">
        <f>IF(OR(EXACT(Asistencia!J160,"A"),EXACT(Asistencia!J160,"R"),EXACT(Asistencia!J160,"DL"),EXACT(Asistencia!J160,"FL"),EXACT(Asistencia!J160,"FE"),EXACT(Asistencia!J160,"PCS"),EXACT(Asistencia!J160,"V")),1,0)</f>
        <v>0</v>
      </c>
      <c r="AN153">
        <f>IF(OR(EXACT(Asistencia!K160,"A"),EXACT(Asistencia!K160,"R"),EXACT(Asistencia!K160,"DL"),EXACT(Asistencia!K160,"FL"),EXACT(Asistencia!K160,"FE"),EXACT(Asistencia!K160,"PCS"),EXACT(Asistencia!K160,"V")),1,0)</f>
        <v>0</v>
      </c>
      <c r="AO153">
        <f>IF(OR(EXACT(Asistencia!L160,"A"),EXACT(Asistencia!L160,"R"),EXACT(Asistencia!L160,"DL"),EXACT(Asistencia!L160,"FL"),EXACT(Asistencia!L160,"FE"),EXACT(Asistencia!L160,"PCS"),EXACT(Asistencia!L160,"V")),1,0)</f>
        <v>0</v>
      </c>
      <c r="AP153">
        <f t="shared" si="85"/>
        <v>0</v>
      </c>
      <c r="AQ153">
        <f>IF(EXACT(Asistencia!F160,"FL"),1,0)</f>
        <v>0</v>
      </c>
      <c r="AR153">
        <f>IF(EXACT(Asistencia!G160,"FL"),1,0)</f>
        <v>0</v>
      </c>
      <c r="AS153">
        <f>IF(EXACT(Asistencia!H160,"FL"),1,0)</f>
        <v>0</v>
      </c>
      <c r="AT153">
        <f>IF(EXACT(Asistencia!I160,"FL"),1,0)</f>
        <v>0</v>
      </c>
      <c r="AU153">
        <f>IF(EXACT(Asistencia!J160,"FL"),1,0)</f>
        <v>0</v>
      </c>
      <c r="AV153">
        <f>IF(EXACT(Asistencia!K160,"FL"),1,0)</f>
        <v>0</v>
      </c>
      <c r="AW153">
        <f>IF(EXACT(Asistencia!L160,"FL"),1,0)</f>
        <v>0</v>
      </c>
      <c r="AX153">
        <f t="shared" si="86"/>
        <v>0</v>
      </c>
      <c r="AY153">
        <f>IF(EXACT(Asistencia!F160,"DL"),1,0)</f>
        <v>0</v>
      </c>
      <c r="AZ153">
        <f>IF(EXACT(Asistencia!G160,"DL"),1,0)</f>
        <v>0</v>
      </c>
      <c r="BA153">
        <f>IF(EXACT(Asistencia!H160,"DL"),1,0)</f>
        <v>0</v>
      </c>
      <c r="BB153">
        <f>IF(EXACT(Asistencia!I160,"DL"),1,0)</f>
        <v>0</v>
      </c>
      <c r="BC153">
        <f>IF(EXACT(Asistencia!J160,"DL"),1,0)</f>
        <v>0</v>
      </c>
      <c r="BD153">
        <f>IF(EXACT(Asistencia!K160,"DL"),1,0)</f>
        <v>0</v>
      </c>
      <c r="BE153">
        <f>IF(EXACT(Asistencia!L160,"DL"),1,0)</f>
        <v>0</v>
      </c>
      <c r="BF153">
        <f t="shared" si="87"/>
        <v>0</v>
      </c>
      <c r="BG153">
        <f>IF(ISNUMBER(Asistencia!M160),Asistencia!M160,0)</f>
        <v>0</v>
      </c>
      <c r="BH153">
        <f>IF(ISNUMBER(Asistencia!N160),Asistencia!N160,0)</f>
        <v>0</v>
      </c>
      <c r="BI153">
        <f>IF(ISNUMBER(Asistencia!O160),Asistencia!O160,0)</f>
        <v>0</v>
      </c>
      <c r="BJ153">
        <f>IF(ISNUMBER(Asistencia!P160),Asistencia!P160,0)</f>
        <v>0</v>
      </c>
      <c r="BK153" t="str">
        <f>IF(Asistencia!F160="","",Asistencia!F160)</f>
        <v/>
      </c>
      <c r="BL153" t="str">
        <f>IF(Asistencia!G160="","",Asistencia!G160)</f>
        <v/>
      </c>
      <c r="BM153" t="str">
        <f>IF(Asistencia!H160="","",Asistencia!H160)</f>
        <v/>
      </c>
      <c r="BN153" t="str">
        <f>IF(Asistencia!I160="","",Asistencia!I160)</f>
        <v/>
      </c>
      <c r="BO153" t="str">
        <f>IF(Asistencia!J160="","",Asistencia!J160)</f>
        <v/>
      </c>
      <c r="BP153" t="str">
        <f>IF(Asistencia!K160="","",Asistencia!K160)</f>
        <v/>
      </c>
      <c r="BQ153" t="str">
        <f>IF(Asistencia!L160="","",Asistencia!L160)</f>
        <v/>
      </c>
    </row>
    <row r="154" spans="1:69" x14ac:dyDescent="0.25">
      <c r="A154" s="46"/>
      <c r="B154" s="47"/>
      <c r="C154" s="47"/>
      <c r="D154" s="47"/>
      <c r="E154" s="46"/>
      <c r="F154" s="45"/>
      <c r="G154" s="44"/>
      <c r="H154" s="44"/>
      <c r="I154" s="44"/>
      <c r="J154" s="44"/>
      <c r="K154" s="44"/>
      <c r="L154" s="44"/>
      <c r="M154" s="43"/>
      <c r="N154" s="41"/>
      <c r="O154" s="41"/>
      <c r="P154" s="41"/>
      <c r="Q154" s="41"/>
      <c r="R154" s="41"/>
      <c r="S154" s="41"/>
      <c r="T154" s="48"/>
      <c r="U154" s="41"/>
      <c r="V154" s="41"/>
      <c r="W154" s="42"/>
      <c r="AA154" t="str">
        <f t="shared" si="84"/>
        <v/>
      </c>
      <c r="AB154" t="str">
        <f>IF(Asistencia!A161="","",Asistencia!A161)</f>
        <v/>
      </c>
      <c r="AC154" t="str">
        <f>IF(Asistencia!A161="","",SUBSTITUTE(SUBSTITUTE(SUBSTITUTE(SUBSTITUTE(SUBSTITUTE(SUBSTITUTE(SUBSTITUTE(UPPER(TRIM(Asistencia!A161)),"Á","A"),"É","E"),"Í","I"),"Ó","O"),"Ú","U"),"Ñ","N"),"  "," "))</f>
        <v/>
      </c>
      <c r="AD154" t="str">
        <f>IF(Asistencia!E161="","",Asistencia!E161)</f>
        <v/>
      </c>
      <c r="AE154" t="str">
        <f>IF(Asistencia!D161="","",UPPER(TRIM(Asistencia!D161)))</f>
        <v/>
      </c>
      <c r="AF154" t="s">
        <v>192</v>
      </c>
      <c r="AG154">
        <f>IF(AND(AA154&lt;&gt;"",COUNTIF($AA$5:AA154,AA154)=1),1,0)</f>
        <v>0</v>
      </c>
      <c r="AH154" t="str">
        <f>IF(AG154=1,SUM($AG$5:AG154),"")</f>
        <v/>
      </c>
      <c r="AI154">
        <f>IF(OR(EXACT(Asistencia!F161,"A"),EXACT(Asistencia!F161,"R"),EXACT(Asistencia!F161,"DL"),EXACT(Asistencia!F161,"FL"),EXACT(Asistencia!F161,"FE"),EXACT(Asistencia!F161,"PCS"),EXACT(Asistencia!F161,"V")),1,0)</f>
        <v>0</v>
      </c>
      <c r="AJ154">
        <f>IF(OR(EXACT(Asistencia!G161,"A"),EXACT(Asistencia!G161,"R"),EXACT(Asistencia!G161,"DL"),EXACT(Asistencia!G161,"FL"),EXACT(Asistencia!G161,"FE"),EXACT(Asistencia!G161,"PCS"),EXACT(Asistencia!G161,"V")),1,0)</f>
        <v>0</v>
      </c>
      <c r="AK154">
        <f>IF(OR(EXACT(Asistencia!H161,"A"),EXACT(Asistencia!H161,"R"),EXACT(Asistencia!H161,"DL"),EXACT(Asistencia!H161,"FL"),EXACT(Asistencia!H161,"FE"),EXACT(Asistencia!H161,"PCS"),EXACT(Asistencia!H161,"V")),1,0)</f>
        <v>0</v>
      </c>
      <c r="AL154">
        <f>IF(OR(EXACT(Asistencia!I161,"A"),EXACT(Asistencia!I161,"R"),EXACT(Asistencia!I161,"DL"),EXACT(Asistencia!I161,"FL"),EXACT(Asistencia!I161,"FE"),EXACT(Asistencia!I161,"PCS"),EXACT(Asistencia!I161,"V")),1,0)</f>
        <v>0</v>
      </c>
      <c r="AM154">
        <f>IF(OR(EXACT(Asistencia!J161,"A"),EXACT(Asistencia!J161,"R"),EXACT(Asistencia!J161,"DL"),EXACT(Asistencia!J161,"FL"),EXACT(Asistencia!J161,"FE"),EXACT(Asistencia!J161,"PCS"),EXACT(Asistencia!J161,"V")),1,0)</f>
        <v>0</v>
      </c>
      <c r="AN154">
        <f>IF(OR(EXACT(Asistencia!K161,"A"),EXACT(Asistencia!K161,"R"),EXACT(Asistencia!K161,"DL"),EXACT(Asistencia!K161,"FL"),EXACT(Asistencia!K161,"FE"),EXACT(Asistencia!K161,"PCS"),EXACT(Asistencia!K161,"V")),1,0)</f>
        <v>0</v>
      </c>
      <c r="AO154">
        <f>IF(OR(EXACT(Asistencia!L161,"A"),EXACT(Asistencia!L161,"R"),EXACT(Asistencia!L161,"DL"),EXACT(Asistencia!L161,"FL"),EXACT(Asistencia!L161,"FE"),EXACT(Asistencia!L161,"PCS"),EXACT(Asistencia!L161,"V")),1,0)</f>
        <v>0</v>
      </c>
      <c r="AP154">
        <f t="shared" si="85"/>
        <v>0</v>
      </c>
      <c r="AQ154">
        <f>IF(EXACT(Asistencia!F161,"FL"),1,0)</f>
        <v>0</v>
      </c>
      <c r="AR154">
        <f>IF(EXACT(Asistencia!G161,"FL"),1,0)</f>
        <v>0</v>
      </c>
      <c r="AS154">
        <f>IF(EXACT(Asistencia!H161,"FL"),1,0)</f>
        <v>0</v>
      </c>
      <c r="AT154">
        <f>IF(EXACT(Asistencia!I161,"FL"),1,0)</f>
        <v>0</v>
      </c>
      <c r="AU154">
        <f>IF(EXACT(Asistencia!J161,"FL"),1,0)</f>
        <v>0</v>
      </c>
      <c r="AV154">
        <f>IF(EXACT(Asistencia!K161,"FL"),1,0)</f>
        <v>0</v>
      </c>
      <c r="AW154">
        <f>IF(EXACT(Asistencia!L161,"FL"),1,0)</f>
        <v>0</v>
      </c>
      <c r="AX154">
        <f t="shared" si="86"/>
        <v>0</v>
      </c>
      <c r="AY154">
        <f>IF(EXACT(Asistencia!F161,"DL"),1,0)</f>
        <v>0</v>
      </c>
      <c r="AZ154">
        <f>IF(EXACT(Asistencia!G161,"DL"),1,0)</f>
        <v>0</v>
      </c>
      <c r="BA154">
        <f>IF(EXACT(Asistencia!H161,"DL"),1,0)</f>
        <v>0</v>
      </c>
      <c r="BB154">
        <f>IF(EXACT(Asistencia!I161,"DL"),1,0)</f>
        <v>0</v>
      </c>
      <c r="BC154">
        <f>IF(EXACT(Asistencia!J161,"DL"),1,0)</f>
        <v>0</v>
      </c>
      <c r="BD154">
        <f>IF(EXACT(Asistencia!K161,"DL"),1,0)</f>
        <v>0</v>
      </c>
      <c r="BE154">
        <f>IF(EXACT(Asistencia!L161,"DL"),1,0)</f>
        <v>0</v>
      </c>
      <c r="BF154">
        <f t="shared" si="87"/>
        <v>0</v>
      </c>
      <c r="BG154">
        <f>IF(ISNUMBER(Asistencia!M161),Asistencia!M161,0)</f>
        <v>0</v>
      </c>
      <c r="BH154">
        <f>IF(ISNUMBER(Asistencia!N161),Asistencia!N161,0)</f>
        <v>0</v>
      </c>
      <c r="BI154">
        <f>IF(ISNUMBER(Asistencia!O161),Asistencia!O161,0)</f>
        <v>0</v>
      </c>
      <c r="BJ154">
        <f>IF(ISNUMBER(Asistencia!P161),Asistencia!P161,0)</f>
        <v>0</v>
      </c>
      <c r="BK154" t="str">
        <f>IF(Asistencia!F161="","",Asistencia!F161)</f>
        <v/>
      </c>
      <c r="BL154" t="str">
        <f>IF(Asistencia!G161="","",Asistencia!G161)</f>
        <v/>
      </c>
      <c r="BM154" t="str">
        <f>IF(Asistencia!H161="","",Asistencia!H161)</f>
        <v/>
      </c>
      <c r="BN154" t="str">
        <f>IF(Asistencia!I161="","",Asistencia!I161)</f>
        <v/>
      </c>
      <c r="BO154" t="str">
        <f>IF(Asistencia!J161="","",Asistencia!J161)</f>
        <v/>
      </c>
      <c r="BP154" t="str">
        <f>IF(Asistencia!K161="","",Asistencia!K161)</f>
        <v/>
      </c>
      <c r="BQ154" t="str">
        <f>IF(Asistencia!L161="","",Asistencia!L161)</f>
        <v/>
      </c>
    </row>
    <row r="155" spans="1:69" x14ac:dyDescent="0.25">
      <c r="A155" s="46"/>
      <c r="B155" s="47"/>
      <c r="C155" s="47"/>
      <c r="D155" s="47"/>
      <c r="E155" s="46"/>
      <c r="F155" s="45"/>
      <c r="G155" s="44"/>
      <c r="H155" s="44"/>
      <c r="I155" s="44"/>
      <c r="J155" s="44"/>
      <c r="K155" s="44"/>
      <c r="L155" s="44"/>
      <c r="M155" s="43"/>
      <c r="N155" s="41"/>
      <c r="O155" s="41"/>
      <c r="P155" s="41"/>
      <c r="Q155" s="41"/>
      <c r="R155" s="41"/>
      <c r="S155" s="41"/>
      <c r="T155" s="48"/>
      <c r="U155" s="41"/>
      <c r="V155" s="41"/>
      <c r="W155" s="42"/>
      <c r="AA155" t="str">
        <f t="shared" si="84"/>
        <v/>
      </c>
      <c r="AB155" t="str">
        <f>IF(Asistencia!A162="","",Asistencia!A162)</f>
        <v/>
      </c>
      <c r="AC155" t="str">
        <f>IF(Asistencia!A162="","",SUBSTITUTE(SUBSTITUTE(SUBSTITUTE(SUBSTITUTE(SUBSTITUTE(SUBSTITUTE(SUBSTITUTE(UPPER(TRIM(Asistencia!A162)),"Á","A"),"É","E"),"Í","I"),"Ó","O"),"Ú","U"),"Ñ","N"),"  "," "))</f>
        <v/>
      </c>
      <c r="AD155" t="str">
        <f>IF(Asistencia!E162="","",Asistencia!E162)</f>
        <v/>
      </c>
      <c r="AE155" t="str">
        <f>IF(Asistencia!D162="","",UPPER(TRIM(Asistencia!D162)))</f>
        <v/>
      </c>
      <c r="AF155" t="s">
        <v>192</v>
      </c>
      <c r="AG155">
        <f>IF(AND(AA155&lt;&gt;"",COUNTIF($AA$5:AA155,AA155)=1),1,0)</f>
        <v>0</v>
      </c>
      <c r="AH155" t="str">
        <f>IF(AG155=1,SUM($AG$5:AG155),"")</f>
        <v/>
      </c>
      <c r="AI155">
        <f>IF(OR(EXACT(Asistencia!F162,"A"),EXACT(Asistencia!F162,"R"),EXACT(Asistencia!F162,"DL"),EXACT(Asistencia!F162,"FL"),EXACT(Asistencia!F162,"FE"),EXACT(Asistencia!F162,"PCS"),EXACT(Asistencia!F162,"V")),1,0)</f>
        <v>0</v>
      </c>
      <c r="AJ155">
        <f>IF(OR(EXACT(Asistencia!G162,"A"),EXACT(Asistencia!G162,"R"),EXACT(Asistencia!G162,"DL"),EXACT(Asistencia!G162,"FL"),EXACT(Asistencia!G162,"FE"),EXACT(Asistencia!G162,"PCS"),EXACT(Asistencia!G162,"V")),1,0)</f>
        <v>0</v>
      </c>
      <c r="AK155">
        <f>IF(OR(EXACT(Asistencia!H162,"A"),EXACT(Asistencia!H162,"R"),EXACT(Asistencia!H162,"DL"),EXACT(Asistencia!H162,"FL"),EXACT(Asistencia!H162,"FE"),EXACT(Asistencia!H162,"PCS"),EXACT(Asistencia!H162,"V")),1,0)</f>
        <v>0</v>
      </c>
      <c r="AL155">
        <f>IF(OR(EXACT(Asistencia!I162,"A"),EXACT(Asistencia!I162,"R"),EXACT(Asistencia!I162,"DL"),EXACT(Asistencia!I162,"FL"),EXACT(Asistencia!I162,"FE"),EXACT(Asistencia!I162,"PCS"),EXACT(Asistencia!I162,"V")),1,0)</f>
        <v>0</v>
      </c>
      <c r="AM155">
        <f>IF(OR(EXACT(Asistencia!J162,"A"),EXACT(Asistencia!J162,"R"),EXACT(Asistencia!J162,"DL"),EXACT(Asistencia!J162,"FL"),EXACT(Asistencia!J162,"FE"),EXACT(Asistencia!J162,"PCS"),EXACT(Asistencia!J162,"V")),1,0)</f>
        <v>0</v>
      </c>
      <c r="AN155">
        <f>IF(OR(EXACT(Asistencia!K162,"A"),EXACT(Asistencia!K162,"R"),EXACT(Asistencia!K162,"DL"),EXACT(Asistencia!K162,"FL"),EXACT(Asistencia!K162,"FE"),EXACT(Asistencia!K162,"PCS"),EXACT(Asistencia!K162,"V")),1,0)</f>
        <v>0</v>
      </c>
      <c r="AO155">
        <f>IF(OR(EXACT(Asistencia!L162,"A"),EXACT(Asistencia!L162,"R"),EXACT(Asistencia!L162,"DL"),EXACT(Asistencia!L162,"FL"),EXACT(Asistencia!L162,"FE"),EXACT(Asistencia!L162,"PCS"),EXACT(Asistencia!L162,"V")),1,0)</f>
        <v>0</v>
      </c>
      <c r="AP155">
        <f t="shared" si="85"/>
        <v>0</v>
      </c>
      <c r="AQ155">
        <f>IF(EXACT(Asistencia!F162,"FL"),1,0)</f>
        <v>0</v>
      </c>
      <c r="AR155">
        <f>IF(EXACT(Asistencia!G162,"FL"),1,0)</f>
        <v>0</v>
      </c>
      <c r="AS155">
        <f>IF(EXACT(Asistencia!H162,"FL"),1,0)</f>
        <v>0</v>
      </c>
      <c r="AT155">
        <f>IF(EXACT(Asistencia!I162,"FL"),1,0)</f>
        <v>0</v>
      </c>
      <c r="AU155">
        <f>IF(EXACT(Asistencia!J162,"FL"),1,0)</f>
        <v>0</v>
      </c>
      <c r="AV155">
        <f>IF(EXACT(Asistencia!K162,"FL"),1,0)</f>
        <v>0</v>
      </c>
      <c r="AW155">
        <f>IF(EXACT(Asistencia!L162,"FL"),1,0)</f>
        <v>0</v>
      </c>
      <c r="AX155">
        <f t="shared" si="86"/>
        <v>0</v>
      </c>
      <c r="AY155">
        <f>IF(EXACT(Asistencia!F162,"DL"),1,0)</f>
        <v>0</v>
      </c>
      <c r="AZ155">
        <f>IF(EXACT(Asistencia!G162,"DL"),1,0)</f>
        <v>0</v>
      </c>
      <c r="BA155">
        <f>IF(EXACT(Asistencia!H162,"DL"),1,0)</f>
        <v>0</v>
      </c>
      <c r="BB155">
        <f>IF(EXACT(Asistencia!I162,"DL"),1,0)</f>
        <v>0</v>
      </c>
      <c r="BC155">
        <f>IF(EXACT(Asistencia!J162,"DL"),1,0)</f>
        <v>0</v>
      </c>
      <c r="BD155">
        <f>IF(EXACT(Asistencia!K162,"DL"),1,0)</f>
        <v>0</v>
      </c>
      <c r="BE155">
        <f>IF(EXACT(Asistencia!L162,"DL"),1,0)</f>
        <v>0</v>
      </c>
      <c r="BF155">
        <f t="shared" si="87"/>
        <v>0</v>
      </c>
      <c r="BG155">
        <f>IF(ISNUMBER(Asistencia!M162),Asistencia!M162,0)</f>
        <v>0</v>
      </c>
      <c r="BH155">
        <f>IF(ISNUMBER(Asistencia!N162),Asistencia!N162,0)</f>
        <v>0</v>
      </c>
      <c r="BI155">
        <f>IF(ISNUMBER(Asistencia!O162),Asistencia!O162,0)</f>
        <v>0</v>
      </c>
      <c r="BJ155">
        <f>IF(ISNUMBER(Asistencia!P162),Asistencia!P162,0)</f>
        <v>0</v>
      </c>
      <c r="BK155" t="str">
        <f>IF(Asistencia!F162="","",Asistencia!F162)</f>
        <v/>
      </c>
      <c r="BL155" t="str">
        <f>IF(Asistencia!G162="","",Asistencia!G162)</f>
        <v/>
      </c>
      <c r="BM155" t="str">
        <f>IF(Asistencia!H162="","",Asistencia!H162)</f>
        <v/>
      </c>
      <c r="BN155" t="str">
        <f>IF(Asistencia!I162="","",Asistencia!I162)</f>
        <v/>
      </c>
      <c r="BO155" t="str">
        <f>IF(Asistencia!J162="","",Asistencia!J162)</f>
        <v/>
      </c>
      <c r="BP155" t="str">
        <f>IF(Asistencia!K162="","",Asistencia!K162)</f>
        <v/>
      </c>
      <c r="BQ155" t="str">
        <f>IF(Asistencia!L162="","",Asistencia!L162)</f>
        <v/>
      </c>
    </row>
    <row r="156" spans="1:69" x14ac:dyDescent="0.25">
      <c r="A156" s="46"/>
      <c r="B156" s="47"/>
      <c r="C156" s="47"/>
      <c r="D156" s="47"/>
      <c r="E156" s="46"/>
      <c r="F156" s="45"/>
      <c r="G156" s="44"/>
      <c r="H156" s="44"/>
      <c r="I156" s="44"/>
      <c r="J156" s="44"/>
      <c r="K156" s="44"/>
      <c r="L156" s="44"/>
      <c r="M156" s="43"/>
      <c r="N156" s="41"/>
      <c r="O156" s="41"/>
      <c r="P156" s="41"/>
      <c r="Q156" s="41"/>
      <c r="R156" s="41"/>
      <c r="S156" s="41"/>
      <c r="T156" s="48"/>
      <c r="U156" s="41"/>
      <c r="V156" s="41"/>
      <c r="W156" s="42"/>
      <c r="AA156" t="str">
        <f t="shared" si="84"/>
        <v/>
      </c>
      <c r="AB156" t="str">
        <f>IF(Asistencia!A163="","",Asistencia!A163)</f>
        <v/>
      </c>
      <c r="AC156" t="str">
        <f>IF(Asistencia!A163="","",SUBSTITUTE(SUBSTITUTE(SUBSTITUTE(SUBSTITUTE(SUBSTITUTE(SUBSTITUTE(SUBSTITUTE(UPPER(TRIM(Asistencia!A163)),"Á","A"),"É","E"),"Í","I"),"Ó","O"),"Ú","U"),"Ñ","N"),"  "," "))</f>
        <v/>
      </c>
      <c r="AD156" t="str">
        <f>IF(Asistencia!E163="","",Asistencia!E163)</f>
        <v/>
      </c>
      <c r="AE156" t="str">
        <f>IF(Asistencia!D163="","",UPPER(TRIM(Asistencia!D163)))</f>
        <v/>
      </c>
      <c r="AF156" t="s">
        <v>192</v>
      </c>
      <c r="AG156">
        <f>IF(AND(AA156&lt;&gt;"",COUNTIF($AA$5:AA156,AA156)=1),1,0)</f>
        <v>0</v>
      </c>
      <c r="AH156" t="str">
        <f>IF(AG156=1,SUM($AG$5:AG156),"")</f>
        <v/>
      </c>
      <c r="AI156">
        <f>IF(OR(EXACT(Asistencia!F163,"A"),EXACT(Asistencia!F163,"R"),EXACT(Asistencia!F163,"DL"),EXACT(Asistencia!F163,"FL"),EXACT(Asistencia!F163,"FE"),EXACT(Asistencia!F163,"PCS"),EXACT(Asistencia!F163,"V")),1,0)</f>
        <v>0</v>
      </c>
      <c r="AJ156">
        <f>IF(OR(EXACT(Asistencia!G163,"A"),EXACT(Asistencia!G163,"R"),EXACT(Asistencia!G163,"DL"),EXACT(Asistencia!G163,"FL"),EXACT(Asistencia!G163,"FE"),EXACT(Asistencia!G163,"PCS"),EXACT(Asistencia!G163,"V")),1,0)</f>
        <v>0</v>
      </c>
      <c r="AK156">
        <f>IF(OR(EXACT(Asistencia!H163,"A"),EXACT(Asistencia!H163,"R"),EXACT(Asistencia!H163,"DL"),EXACT(Asistencia!H163,"FL"),EXACT(Asistencia!H163,"FE"),EXACT(Asistencia!H163,"PCS"),EXACT(Asistencia!H163,"V")),1,0)</f>
        <v>0</v>
      </c>
      <c r="AL156">
        <f>IF(OR(EXACT(Asistencia!I163,"A"),EXACT(Asistencia!I163,"R"),EXACT(Asistencia!I163,"DL"),EXACT(Asistencia!I163,"FL"),EXACT(Asistencia!I163,"FE"),EXACT(Asistencia!I163,"PCS"),EXACT(Asistencia!I163,"V")),1,0)</f>
        <v>0</v>
      </c>
      <c r="AM156">
        <f>IF(OR(EXACT(Asistencia!J163,"A"),EXACT(Asistencia!J163,"R"),EXACT(Asistencia!J163,"DL"),EXACT(Asistencia!J163,"FL"),EXACT(Asistencia!J163,"FE"),EXACT(Asistencia!J163,"PCS"),EXACT(Asistencia!J163,"V")),1,0)</f>
        <v>0</v>
      </c>
      <c r="AN156">
        <f>IF(OR(EXACT(Asistencia!K163,"A"),EXACT(Asistencia!K163,"R"),EXACT(Asistencia!K163,"DL"),EXACT(Asistencia!K163,"FL"),EXACT(Asistencia!K163,"FE"),EXACT(Asistencia!K163,"PCS"),EXACT(Asistencia!K163,"V")),1,0)</f>
        <v>0</v>
      </c>
      <c r="AO156">
        <f>IF(OR(EXACT(Asistencia!L163,"A"),EXACT(Asistencia!L163,"R"),EXACT(Asistencia!L163,"DL"),EXACT(Asistencia!L163,"FL"),EXACT(Asistencia!L163,"FE"),EXACT(Asistencia!L163,"PCS"),EXACT(Asistencia!L163,"V")),1,0)</f>
        <v>0</v>
      </c>
      <c r="AP156">
        <f t="shared" si="85"/>
        <v>0</v>
      </c>
      <c r="AQ156">
        <f>IF(EXACT(Asistencia!F163,"FL"),1,0)</f>
        <v>0</v>
      </c>
      <c r="AR156">
        <f>IF(EXACT(Asistencia!G163,"FL"),1,0)</f>
        <v>0</v>
      </c>
      <c r="AS156">
        <f>IF(EXACT(Asistencia!H163,"FL"),1,0)</f>
        <v>0</v>
      </c>
      <c r="AT156">
        <f>IF(EXACT(Asistencia!I163,"FL"),1,0)</f>
        <v>0</v>
      </c>
      <c r="AU156">
        <f>IF(EXACT(Asistencia!J163,"FL"),1,0)</f>
        <v>0</v>
      </c>
      <c r="AV156">
        <f>IF(EXACT(Asistencia!K163,"FL"),1,0)</f>
        <v>0</v>
      </c>
      <c r="AW156">
        <f>IF(EXACT(Asistencia!L163,"FL"),1,0)</f>
        <v>0</v>
      </c>
      <c r="AX156">
        <f t="shared" si="86"/>
        <v>0</v>
      </c>
      <c r="AY156">
        <f>IF(EXACT(Asistencia!F163,"DL"),1,0)</f>
        <v>0</v>
      </c>
      <c r="AZ156">
        <f>IF(EXACT(Asistencia!G163,"DL"),1,0)</f>
        <v>0</v>
      </c>
      <c r="BA156">
        <f>IF(EXACT(Asistencia!H163,"DL"),1,0)</f>
        <v>0</v>
      </c>
      <c r="BB156">
        <f>IF(EXACT(Asistencia!I163,"DL"),1,0)</f>
        <v>0</v>
      </c>
      <c r="BC156">
        <f>IF(EXACT(Asistencia!J163,"DL"),1,0)</f>
        <v>0</v>
      </c>
      <c r="BD156">
        <f>IF(EXACT(Asistencia!K163,"DL"),1,0)</f>
        <v>0</v>
      </c>
      <c r="BE156">
        <f>IF(EXACT(Asistencia!L163,"DL"),1,0)</f>
        <v>0</v>
      </c>
      <c r="BF156">
        <f t="shared" si="87"/>
        <v>0</v>
      </c>
      <c r="BG156">
        <f>IF(ISNUMBER(Asistencia!M163),Asistencia!M163,0)</f>
        <v>0</v>
      </c>
      <c r="BH156">
        <f>IF(ISNUMBER(Asistencia!N163),Asistencia!N163,0)</f>
        <v>0</v>
      </c>
      <c r="BI156">
        <f>IF(ISNUMBER(Asistencia!O163),Asistencia!O163,0)</f>
        <v>0</v>
      </c>
      <c r="BJ156">
        <f>IF(ISNUMBER(Asistencia!P163),Asistencia!P163,0)</f>
        <v>0</v>
      </c>
      <c r="BK156" t="str">
        <f>IF(Asistencia!F163="","",Asistencia!F163)</f>
        <v/>
      </c>
      <c r="BL156" t="str">
        <f>IF(Asistencia!G163="","",Asistencia!G163)</f>
        <v/>
      </c>
      <c r="BM156" t="str">
        <f>IF(Asistencia!H163="","",Asistencia!H163)</f>
        <v/>
      </c>
      <c r="BN156" t="str">
        <f>IF(Asistencia!I163="","",Asistencia!I163)</f>
        <v/>
      </c>
      <c r="BO156" t="str">
        <f>IF(Asistencia!J163="","",Asistencia!J163)</f>
        <v/>
      </c>
      <c r="BP156" t="str">
        <f>IF(Asistencia!K163="","",Asistencia!K163)</f>
        <v/>
      </c>
      <c r="BQ156" t="str">
        <f>IF(Asistencia!L163="","",Asistencia!L163)</f>
        <v/>
      </c>
    </row>
    <row r="157" spans="1:69" x14ac:dyDescent="0.25">
      <c r="A157" s="46"/>
      <c r="B157" s="47"/>
      <c r="C157" s="47"/>
      <c r="D157" s="47"/>
      <c r="E157" s="46"/>
      <c r="F157" s="45"/>
      <c r="G157" s="44"/>
      <c r="H157" s="44"/>
      <c r="I157" s="44"/>
      <c r="J157" s="44"/>
      <c r="K157" s="44"/>
      <c r="L157" s="44"/>
      <c r="M157" s="43"/>
      <c r="N157" s="41"/>
      <c r="O157" s="41"/>
      <c r="P157" s="41"/>
      <c r="Q157" s="41"/>
      <c r="R157" s="41"/>
      <c r="S157" s="41"/>
      <c r="T157" s="48"/>
      <c r="U157" s="41"/>
      <c r="V157" s="41"/>
      <c r="W157" s="42"/>
      <c r="AA157" t="str">
        <f t="shared" si="84"/>
        <v/>
      </c>
      <c r="AB157" t="str">
        <f>IF(Asistencia!A164="","",Asistencia!A164)</f>
        <v/>
      </c>
      <c r="AC157" t="str">
        <f>IF(Asistencia!A164="","",SUBSTITUTE(SUBSTITUTE(SUBSTITUTE(SUBSTITUTE(SUBSTITUTE(SUBSTITUTE(SUBSTITUTE(UPPER(TRIM(Asistencia!A164)),"Á","A"),"É","E"),"Í","I"),"Ó","O"),"Ú","U"),"Ñ","N"),"  "," "))</f>
        <v/>
      </c>
      <c r="AD157" t="str">
        <f>IF(Asistencia!E164="","",Asistencia!E164)</f>
        <v/>
      </c>
      <c r="AE157" t="str">
        <f>IF(Asistencia!D164="","",UPPER(TRIM(Asistencia!D164)))</f>
        <v/>
      </c>
      <c r="AF157" t="s">
        <v>192</v>
      </c>
      <c r="AG157">
        <f>IF(AND(AA157&lt;&gt;"",COUNTIF($AA$5:AA157,AA157)=1),1,0)</f>
        <v>0</v>
      </c>
      <c r="AH157" t="str">
        <f>IF(AG157=1,SUM($AG$5:AG157),"")</f>
        <v/>
      </c>
      <c r="AI157">
        <f>IF(OR(EXACT(Asistencia!F164,"A"),EXACT(Asistencia!F164,"R"),EXACT(Asistencia!F164,"DL"),EXACT(Asistencia!F164,"FL"),EXACT(Asistencia!F164,"FE"),EXACT(Asistencia!F164,"PCS"),EXACT(Asistencia!F164,"V")),1,0)</f>
        <v>0</v>
      </c>
      <c r="AJ157">
        <f>IF(OR(EXACT(Asistencia!G164,"A"),EXACT(Asistencia!G164,"R"),EXACT(Asistencia!G164,"DL"),EXACT(Asistencia!G164,"FL"),EXACT(Asistencia!G164,"FE"),EXACT(Asistencia!G164,"PCS"),EXACT(Asistencia!G164,"V")),1,0)</f>
        <v>0</v>
      </c>
      <c r="AK157">
        <f>IF(OR(EXACT(Asistencia!H164,"A"),EXACT(Asistencia!H164,"R"),EXACT(Asistencia!H164,"DL"),EXACT(Asistencia!H164,"FL"),EXACT(Asistencia!H164,"FE"),EXACT(Asistencia!H164,"PCS"),EXACT(Asistencia!H164,"V")),1,0)</f>
        <v>0</v>
      </c>
      <c r="AL157">
        <f>IF(OR(EXACT(Asistencia!I164,"A"),EXACT(Asistencia!I164,"R"),EXACT(Asistencia!I164,"DL"),EXACT(Asistencia!I164,"FL"),EXACT(Asistencia!I164,"FE"),EXACT(Asistencia!I164,"PCS"),EXACT(Asistencia!I164,"V")),1,0)</f>
        <v>0</v>
      </c>
      <c r="AM157">
        <f>IF(OR(EXACT(Asistencia!J164,"A"),EXACT(Asistencia!J164,"R"),EXACT(Asistencia!J164,"DL"),EXACT(Asistencia!J164,"FL"),EXACT(Asistencia!J164,"FE"),EXACT(Asistencia!J164,"PCS"),EXACT(Asistencia!J164,"V")),1,0)</f>
        <v>0</v>
      </c>
      <c r="AN157">
        <f>IF(OR(EXACT(Asistencia!K164,"A"),EXACT(Asistencia!K164,"R"),EXACT(Asistencia!K164,"DL"),EXACT(Asistencia!K164,"FL"),EXACT(Asistencia!K164,"FE"),EXACT(Asistencia!K164,"PCS"),EXACT(Asistencia!K164,"V")),1,0)</f>
        <v>0</v>
      </c>
      <c r="AO157">
        <f>IF(OR(EXACT(Asistencia!L164,"A"),EXACT(Asistencia!L164,"R"),EXACT(Asistencia!L164,"DL"),EXACT(Asistencia!L164,"FL"),EXACT(Asistencia!L164,"FE"),EXACT(Asistencia!L164,"PCS"),EXACT(Asistencia!L164,"V")),1,0)</f>
        <v>0</v>
      </c>
      <c r="AP157">
        <f t="shared" si="85"/>
        <v>0</v>
      </c>
      <c r="AQ157">
        <f>IF(EXACT(Asistencia!F164,"FL"),1,0)</f>
        <v>0</v>
      </c>
      <c r="AR157">
        <f>IF(EXACT(Asistencia!G164,"FL"),1,0)</f>
        <v>0</v>
      </c>
      <c r="AS157">
        <f>IF(EXACT(Asistencia!H164,"FL"),1,0)</f>
        <v>0</v>
      </c>
      <c r="AT157">
        <f>IF(EXACT(Asistencia!I164,"FL"),1,0)</f>
        <v>0</v>
      </c>
      <c r="AU157">
        <f>IF(EXACT(Asistencia!J164,"FL"),1,0)</f>
        <v>0</v>
      </c>
      <c r="AV157">
        <f>IF(EXACT(Asistencia!K164,"FL"),1,0)</f>
        <v>0</v>
      </c>
      <c r="AW157">
        <f>IF(EXACT(Asistencia!L164,"FL"),1,0)</f>
        <v>0</v>
      </c>
      <c r="AX157">
        <f t="shared" si="86"/>
        <v>0</v>
      </c>
      <c r="AY157">
        <f>IF(EXACT(Asistencia!F164,"DL"),1,0)</f>
        <v>0</v>
      </c>
      <c r="AZ157">
        <f>IF(EXACT(Asistencia!G164,"DL"),1,0)</f>
        <v>0</v>
      </c>
      <c r="BA157">
        <f>IF(EXACT(Asistencia!H164,"DL"),1,0)</f>
        <v>0</v>
      </c>
      <c r="BB157">
        <f>IF(EXACT(Asistencia!I164,"DL"),1,0)</f>
        <v>0</v>
      </c>
      <c r="BC157">
        <f>IF(EXACT(Asistencia!J164,"DL"),1,0)</f>
        <v>0</v>
      </c>
      <c r="BD157">
        <f>IF(EXACT(Asistencia!K164,"DL"),1,0)</f>
        <v>0</v>
      </c>
      <c r="BE157">
        <f>IF(EXACT(Asistencia!L164,"DL"),1,0)</f>
        <v>0</v>
      </c>
      <c r="BF157">
        <f t="shared" si="87"/>
        <v>0</v>
      </c>
      <c r="BG157">
        <f>IF(ISNUMBER(Asistencia!M164),Asistencia!M164,0)</f>
        <v>0</v>
      </c>
      <c r="BH157">
        <f>IF(ISNUMBER(Asistencia!N164),Asistencia!N164,0)</f>
        <v>0</v>
      </c>
      <c r="BI157">
        <f>IF(ISNUMBER(Asistencia!O164),Asistencia!O164,0)</f>
        <v>0</v>
      </c>
      <c r="BJ157">
        <f>IF(ISNUMBER(Asistencia!P164),Asistencia!P164,0)</f>
        <v>0</v>
      </c>
      <c r="BK157" t="str">
        <f>IF(Asistencia!F164="","",Asistencia!F164)</f>
        <v/>
      </c>
      <c r="BL157" t="str">
        <f>IF(Asistencia!G164="","",Asistencia!G164)</f>
        <v/>
      </c>
      <c r="BM157" t="str">
        <f>IF(Asistencia!H164="","",Asistencia!H164)</f>
        <v/>
      </c>
      <c r="BN157" t="str">
        <f>IF(Asistencia!I164="","",Asistencia!I164)</f>
        <v/>
      </c>
      <c r="BO157" t="str">
        <f>IF(Asistencia!J164="","",Asistencia!J164)</f>
        <v/>
      </c>
      <c r="BP157" t="str">
        <f>IF(Asistencia!K164="","",Asistencia!K164)</f>
        <v/>
      </c>
      <c r="BQ157" t="str">
        <f>IF(Asistencia!L164="","",Asistencia!L164)</f>
        <v/>
      </c>
    </row>
    <row r="158" spans="1:69" x14ac:dyDescent="0.25">
      <c r="A158" s="46"/>
      <c r="B158" s="47"/>
      <c r="C158" s="47"/>
      <c r="D158" s="47"/>
      <c r="E158" s="46"/>
      <c r="F158" s="45"/>
      <c r="G158" s="44"/>
      <c r="H158" s="44"/>
      <c r="I158" s="44"/>
      <c r="J158" s="44"/>
      <c r="K158" s="44"/>
      <c r="L158" s="44"/>
      <c r="M158" s="43"/>
      <c r="N158" s="41"/>
      <c r="O158" s="41"/>
      <c r="P158" s="41"/>
      <c r="Q158" s="41"/>
      <c r="R158" s="41"/>
      <c r="S158" s="41"/>
      <c r="T158" s="48"/>
      <c r="U158" s="41"/>
      <c r="V158" s="41"/>
      <c r="W158" s="42"/>
      <c r="AA158" t="str">
        <f t="shared" si="84"/>
        <v/>
      </c>
      <c r="AB158" t="str">
        <f>IF(Asistencia!A165="","",Asistencia!A165)</f>
        <v/>
      </c>
      <c r="AC158" t="str">
        <f>IF(Asistencia!A165="","",SUBSTITUTE(SUBSTITUTE(SUBSTITUTE(SUBSTITUTE(SUBSTITUTE(SUBSTITUTE(SUBSTITUTE(UPPER(TRIM(Asistencia!A165)),"Á","A"),"É","E"),"Í","I"),"Ó","O"),"Ú","U"),"Ñ","N"),"  "," "))</f>
        <v/>
      </c>
      <c r="AD158" t="str">
        <f>IF(Asistencia!E165="","",Asistencia!E165)</f>
        <v/>
      </c>
      <c r="AE158" t="str">
        <f>IF(Asistencia!D165="","",UPPER(TRIM(Asistencia!D165)))</f>
        <v/>
      </c>
      <c r="AF158" t="s">
        <v>192</v>
      </c>
      <c r="AG158">
        <f>IF(AND(AA158&lt;&gt;"",COUNTIF($AA$5:AA158,AA158)=1),1,0)</f>
        <v>0</v>
      </c>
      <c r="AH158" t="str">
        <f>IF(AG158=1,SUM($AG$5:AG158),"")</f>
        <v/>
      </c>
      <c r="AI158">
        <f>IF(OR(EXACT(Asistencia!F165,"A"),EXACT(Asistencia!F165,"R"),EXACT(Asistencia!F165,"DL"),EXACT(Asistencia!F165,"FL"),EXACT(Asistencia!F165,"FE"),EXACT(Asistencia!F165,"PCS"),EXACT(Asistencia!F165,"V")),1,0)</f>
        <v>0</v>
      </c>
      <c r="AJ158">
        <f>IF(OR(EXACT(Asistencia!G165,"A"),EXACT(Asistencia!G165,"R"),EXACT(Asistencia!G165,"DL"),EXACT(Asistencia!G165,"FL"),EXACT(Asistencia!G165,"FE"),EXACT(Asistencia!G165,"PCS"),EXACT(Asistencia!G165,"V")),1,0)</f>
        <v>0</v>
      </c>
      <c r="AK158">
        <f>IF(OR(EXACT(Asistencia!H165,"A"),EXACT(Asistencia!H165,"R"),EXACT(Asistencia!H165,"DL"),EXACT(Asistencia!H165,"FL"),EXACT(Asistencia!H165,"FE"),EXACT(Asistencia!H165,"PCS"),EXACT(Asistencia!H165,"V")),1,0)</f>
        <v>0</v>
      </c>
      <c r="AL158">
        <f>IF(OR(EXACT(Asistencia!I165,"A"),EXACT(Asistencia!I165,"R"),EXACT(Asistencia!I165,"DL"),EXACT(Asistencia!I165,"FL"),EXACT(Asistencia!I165,"FE"),EXACT(Asistencia!I165,"PCS"),EXACT(Asistencia!I165,"V")),1,0)</f>
        <v>0</v>
      </c>
      <c r="AM158">
        <f>IF(OR(EXACT(Asistencia!J165,"A"),EXACT(Asistencia!J165,"R"),EXACT(Asistencia!J165,"DL"),EXACT(Asistencia!J165,"FL"),EXACT(Asistencia!J165,"FE"),EXACT(Asistencia!J165,"PCS"),EXACT(Asistencia!J165,"V")),1,0)</f>
        <v>0</v>
      </c>
      <c r="AN158">
        <f>IF(OR(EXACT(Asistencia!K165,"A"),EXACT(Asistencia!K165,"R"),EXACT(Asistencia!K165,"DL"),EXACT(Asistencia!K165,"FL"),EXACT(Asistencia!K165,"FE"),EXACT(Asistencia!K165,"PCS"),EXACT(Asistencia!K165,"V")),1,0)</f>
        <v>0</v>
      </c>
      <c r="AO158">
        <f>IF(OR(EXACT(Asistencia!L165,"A"),EXACT(Asistencia!L165,"R"),EXACT(Asistencia!L165,"DL"),EXACT(Asistencia!L165,"FL"),EXACT(Asistencia!L165,"FE"),EXACT(Asistencia!L165,"PCS"),EXACT(Asistencia!L165,"V")),1,0)</f>
        <v>0</v>
      </c>
      <c r="AP158">
        <f t="shared" si="85"/>
        <v>0</v>
      </c>
      <c r="AQ158">
        <f>IF(EXACT(Asistencia!F165,"FL"),1,0)</f>
        <v>0</v>
      </c>
      <c r="AR158">
        <f>IF(EXACT(Asistencia!G165,"FL"),1,0)</f>
        <v>0</v>
      </c>
      <c r="AS158">
        <f>IF(EXACT(Asistencia!H165,"FL"),1,0)</f>
        <v>0</v>
      </c>
      <c r="AT158">
        <f>IF(EXACT(Asistencia!I165,"FL"),1,0)</f>
        <v>0</v>
      </c>
      <c r="AU158">
        <f>IF(EXACT(Asistencia!J165,"FL"),1,0)</f>
        <v>0</v>
      </c>
      <c r="AV158">
        <f>IF(EXACT(Asistencia!K165,"FL"),1,0)</f>
        <v>0</v>
      </c>
      <c r="AW158">
        <f>IF(EXACT(Asistencia!L165,"FL"),1,0)</f>
        <v>0</v>
      </c>
      <c r="AX158">
        <f t="shared" si="86"/>
        <v>0</v>
      </c>
      <c r="AY158">
        <f>IF(EXACT(Asistencia!F165,"DL"),1,0)</f>
        <v>0</v>
      </c>
      <c r="AZ158">
        <f>IF(EXACT(Asistencia!G165,"DL"),1,0)</f>
        <v>0</v>
      </c>
      <c r="BA158">
        <f>IF(EXACT(Asistencia!H165,"DL"),1,0)</f>
        <v>0</v>
      </c>
      <c r="BB158">
        <f>IF(EXACT(Asistencia!I165,"DL"),1,0)</f>
        <v>0</v>
      </c>
      <c r="BC158">
        <f>IF(EXACT(Asistencia!J165,"DL"),1,0)</f>
        <v>0</v>
      </c>
      <c r="BD158">
        <f>IF(EXACT(Asistencia!K165,"DL"),1,0)</f>
        <v>0</v>
      </c>
      <c r="BE158">
        <f>IF(EXACT(Asistencia!L165,"DL"),1,0)</f>
        <v>0</v>
      </c>
      <c r="BF158">
        <f t="shared" si="87"/>
        <v>0</v>
      </c>
      <c r="BG158">
        <f>IF(ISNUMBER(Asistencia!M165),Asistencia!M165,0)</f>
        <v>0</v>
      </c>
      <c r="BH158">
        <f>IF(ISNUMBER(Asistencia!N165),Asistencia!N165,0)</f>
        <v>0</v>
      </c>
      <c r="BI158">
        <f>IF(ISNUMBER(Asistencia!O165),Asistencia!O165,0)</f>
        <v>0</v>
      </c>
      <c r="BJ158">
        <f>IF(ISNUMBER(Asistencia!P165),Asistencia!P165,0)</f>
        <v>0</v>
      </c>
      <c r="BK158" t="str">
        <f>IF(Asistencia!F165="","",Asistencia!F165)</f>
        <v/>
      </c>
      <c r="BL158" t="str">
        <f>IF(Asistencia!G165="","",Asistencia!G165)</f>
        <v/>
      </c>
      <c r="BM158" t="str">
        <f>IF(Asistencia!H165="","",Asistencia!H165)</f>
        <v/>
      </c>
      <c r="BN158" t="str">
        <f>IF(Asistencia!I165="","",Asistencia!I165)</f>
        <v/>
      </c>
      <c r="BO158" t="str">
        <f>IF(Asistencia!J165="","",Asistencia!J165)</f>
        <v/>
      </c>
      <c r="BP158" t="str">
        <f>IF(Asistencia!K165="","",Asistencia!K165)</f>
        <v/>
      </c>
      <c r="BQ158" t="str">
        <f>IF(Asistencia!L165="","",Asistencia!L165)</f>
        <v/>
      </c>
    </row>
    <row r="159" spans="1:69" x14ac:dyDescent="0.25">
      <c r="A159" s="46"/>
      <c r="B159" s="47"/>
      <c r="C159" s="47"/>
      <c r="D159" s="47"/>
      <c r="E159" s="46"/>
      <c r="F159" s="45"/>
      <c r="G159" s="44"/>
      <c r="H159" s="44"/>
      <c r="I159" s="44"/>
      <c r="J159" s="44"/>
      <c r="K159" s="44"/>
      <c r="L159" s="44"/>
      <c r="M159" s="43"/>
      <c r="N159" s="41"/>
      <c r="O159" s="41"/>
      <c r="P159" s="41"/>
      <c r="Q159" s="41"/>
      <c r="R159" s="41"/>
      <c r="S159" s="41"/>
      <c r="T159" s="48"/>
      <c r="U159" s="41"/>
      <c r="V159" s="41"/>
      <c r="W159" s="42"/>
      <c r="AA159" t="str">
        <f t="shared" si="84"/>
        <v/>
      </c>
      <c r="AB159" t="str">
        <f>IF(Asistencia!A166="","",Asistencia!A166)</f>
        <v/>
      </c>
      <c r="AC159" t="str">
        <f>IF(Asistencia!A166="","",SUBSTITUTE(SUBSTITUTE(SUBSTITUTE(SUBSTITUTE(SUBSTITUTE(SUBSTITUTE(SUBSTITUTE(UPPER(TRIM(Asistencia!A166)),"Á","A"),"É","E"),"Í","I"),"Ó","O"),"Ú","U"),"Ñ","N"),"  "," "))</f>
        <v/>
      </c>
      <c r="AD159" t="str">
        <f>IF(Asistencia!E166="","",Asistencia!E166)</f>
        <v/>
      </c>
      <c r="AE159" t="str">
        <f>IF(Asistencia!D166="","",UPPER(TRIM(Asistencia!D166)))</f>
        <v/>
      </c>
      <c r="AF159" t="s">
        <v>192</v>
      </c>
      <c r="AG159">
        <f>IF(AND(AA159&lt;&gt;"",COUNTIF($AA$5:AA159,AA159)=1),1,0)</f>
        <v>0</v>
      </c>
      <c r="AH159" t="str">
        <f>IF(AG159=1,SUM($AG$5:AG159),"")</f>
        <v/>
      </c>
      <c r="AI159">
        <f>IF(OR(EXACT(Asistencia!F166,"A"),EXACT(Asistencia!F166,"R"),EXACT(Asistencia!F166,"DL"),EXACT(Asistencia!F166,"FL"),EXACT(Asistencia!F166,"FE"),EXACT(Asistencia!F166,"PCS"),EXACT(Asistencia!F166,"V")),1,0)</f>
        <v>0</v>
      </c>
      <c r="AJ159">
        <f>IF(OR(EXACT(Asistencia!G166,"A"),EXACT(Asistencia!G166,"R"),EXACT(Asistencia!G166,"DL"),EXACT(Asistencia!G166,"FL"),EXACT(Asistencia!G166,"FE"),EXACT(Asistencia!G166,"PCS"),EXACT(Asistencia!G166,"V")),1,0)</f>
        <v>0</v>
      </c>
      <c r="AK159">
        <f>IF(OR(EXACT(Asistencia!H166,"A"),EXACT(Asistencia!H166,"R"),EXACT(Asistencia!H166,"DL"),EXACT(Asistencia!H166,"FL"),EXACT(Asistencia!H166,"FE"),EXACT(Asistencia!H166,"PCS"),EXACT(Asistencia!H166,"V")),1,0)</f>
        <v>0</v>
      </c>
      <c r="AL159">
        <f>IF(OR(EXACT(Asistencia!I166,"A"),EXACT(Asistencia!I166,"R"),EXACT(Asistencia!I166,"DL"),EXACT(Asistencia!I166,"FL"),EXACT(Asistencia!I166,"FE"),EXACT(Asistencia!I166,"PCS"),EXACT(Asistencia!I166,"V")),1,0)</f>
        <v>0</v>
      </c>
      <c r="AM159">
        <f>IF(OR(EXACT(Asistencia!J166,"A"),EXACT(Asistencia!J166,"R"),EXACT(Asistencia!J166,"DL"),EXACT(Asistencia!J166,"FL"),EXACT(Asistencia!J166,"FE"),EXACT(Asistencia!J166,"PCS"),EXACT(Asistencia!J166,"V")),1,0)</f>
        <v>0</v>
      </c>
      <c r="AN159">
        <f>IF(OR(EXACT(Asistencia!K166,"A"),EXACT(Asistencia!K166,"R"),EXACT(Asistencia!K166,"DL"),EXACT(Asistencia!K166,"FL"),EXACT(Asistencia!K166,"FE"),EXACT(Asistencia!K166,"PCS"),EXACT(Asistencia!K166,"V")),1,0)</f>
        <v>0</v>
      </c>
      <c r="AO159">
        <f>IF(OR(EXACT(Asistencia!L166,"A"),EXACT(Asistencia!L166,"R"),EXACT(Asistencia!L166,"DL"),EXACT(Asistencia!L166,"FL"),EXACT(Asistencia!L166,"FE"),EXACT(Asistencia!L166,"PCS"),EXACT(Asistencia!L166,"V")),1,0)</f>
        <v>0</v>
      </c>
      <c r="AP159">
        <f t="shared" si="85"/>
        <v>0</v>
      </c>
      <c r="AQ159">
        <f>IF(EXACT(Asistencia!F166,"FL"),1,0)</f>
        <v>0</v>
      </c>
      <c r="AR159">
        <f>IF(EXACT(Asistencia!G166,"FL"),1,0)</f>
        <v>0</v>
      </c>
      <c r="AS159">
        <f>IF(EXACT(Asistencia!H166,"FL"),1,0)</f>
        <v>0</v>
      </c>
      <c r="AT159">
        <f>IF(EXACT(Asistencia!I166,"FL"),1,0)</f>
        <v>0</v>
      </c>
      <c r="AU159">
        <f>IF(EXACT(Asistencia!J166,"FL"),1,0)</f>
        <v>0</v>
      </c>
      <c r="AV159">
        <f>IF(EXACT(Asistencia!K166,"FL"),1,0)</f>
        <v>0</v>
      </c>
      <c r="AW159">
        <f>IF(EXACT(Asistencia!L166,"FL"),1,0)</f>
        <v>0</v>
      </c>
      <c r="AX159">
        <f t="shared" si="86"/>
        <v>0</v>
      </c>
      <c r="AY159">
        <f>IF(EXACT(Asistencia!F166,"DL"),1,0)</f>
        <v>0</v>
      </c>
      <c r="AZ159">
        <f>IF(EXACT(Asistencia!G166,"DL"),1,0)</f>
        <v>0</v>
      </c>
      <c r="BA159">
        <f>IF(EXACT(Asistencia!H166,"DL"),1,0)</f>
        <v>0</v>
      </c>
      <c r="BB159">
        <f>IF(EXACT(Asistencia!I166,"DL"),1,0)</f>
        <v>0</v>
      </c>
      <c r="BC159">
        <f>IF(EXACT(Asistencia!J166,"DL"),1,0)</f>
        <v>0</v>
      </c>
      <c r="BD159">
        <f>IF(EXACT(Asistencia!K166,"DL"),1,0)</f>
        <v>0</v>
      </c>
      <c r="BE159">
        <f>IF(EXACT(Asistencia!L166,"DL"),1,0)</f>
        <v>0</v>
      </c>
      <c r="BF159">
        <f t="shared" si="87"/>
        <v>0</v>
      </c>
      <c r="BG159">
        <f>IF(ISNUMBER(Asistencia!M166),Asistencia!M166,0)</f>
        <v>0</v>
      </c>
      <c r="BH159">
        <f>IF(ISNUMBER(Asistencia!N166),Asistencia!N166,0)</f>
        <v>0</v>
      </c>
      <c r="BI159">
        <f>IF(ISNUMBER(Asistencia!O166),Asistencia!O166,0)</f>
        <v>0</v>
      </c>
      <c r="BJ159">
        <f>IF(ISNUMBER(Asistencia!P166),Asistencia!P166,0)</f>
        <v>0</v>
      </c>
      <c r="BK159" t="str">
        <f>IF(Asistencia!F166="","",Asistencia!F166)</f>
        <v/>
      </c>
      <c r="BL159" t="str">
        <f>IF(Asistencia!G166="","",Asistencia!G166)</f>
        <v/>
      </c>
      <c r="BM159" t="str">
        <f>IF(Asistencia!H166="","",Asistencia!H166)</f>
        <v/>
      </c>
      <c r="BN159" t="str">
        <f>IF(Asistencia!I166="","",Asistencia!I166)</f>
        <v/>
      </c>
      <c r="BO159" t="str">
        <f>IF(Asistencia!J166="","",Asistencia!J166)</f>
        <v/>
      </c>
      <c r="BP159" t="str">
        <f>IF(Asistencia!K166="","",Asistencia!K166)</f>
        <v/>
      </c>
      <c r="BQ159" t="str">
        <f>IF(Asistencia!L166="","",Asistencia!L166)</f>
        <v/>
      </c>
    </row>
    <row r="160" spans="1:69" x14ac:dyDescent="0.25">
      <c r="A160" s="46"/>
      <c r="B160" s="47"/>
      <c r="C160" s="47"/>
      <c r="D160" s="47"/>
      <c r="E160" s="46"/>
      <c r="F160" s="45"/>
      <c r="G160" s="44"/>
      <c r="H160" s="44"/>
      <c r="I160" s="44"/>
      <c r="J160" s="44"/>
      <c r="K160" s="44"/>
      <c r="L160" s="44"/>
      <c r="M160" s="43"/>
      <c r="N160" s="41"/>
      <c r="O160" s="41"/>
      <c r="P160" s="41"/>
      <c r="Q160" s="41"/>
      <c r="R160" s="41"/>
      <c r="S160" s="41"/>
      <c r="T160" s="48"/>
      <c r="U160" s="41"/>
      <c r="V160" s="41"/>
      <c r="W160" s="42"/>
      <c r="AA160" t="str">
        <f t="shared" si="84"/>
        <v/>
      </c>
      <c r="AB160" t="str">
        <f>IF(Asistencia!A167="","",Asistencia!A167)</f>
        <v/>
      </c>
      <c r="AC160" t="str">
        <f>IF(Asistencia!A167="","",SUBSTITUTE(SUBSTITUTE(SUBSTITUTE(SUBSTITUTE(SUBSTITUTE(SUBSTITUTE(SUBSTITUTE(UPPER(TRIM(Asistencia!A167)),"Á","A"),"É","E"),"Í","I"),"Ó","O"),"Ú","U"),"Ñ","N"),"  "," "))</f>
        <v/>
      </c>
      <c r="AD160" t="str">
        <f>IF(Asistencia!E167="","",Asistencia!E167)</f>
        <v/>
      </c>
      <c r="AE160" t="str">
        <f>IF(Asistencia!D167="","",UPPER(TRIM(Asistencia!D167)))</f>
        <v/>
      </c>
      <c r="AF160" t="s">
        <v>192</v>
      </c>
      <c r="AG160">
        <f>IF(AND(AA160&lt;&gt;"",COUNTIF($AA$5:AA160,AA160)=1),1,0)</f>
        <v>0</v>
      </c>
      <c r="AH160" t="str">
        <f>IF(AG160=1,SUM($AG$5:AG160),"")</f>
        <v/>
      </c>
      <c r="AI160">
        <f>IF(OR(EXACT(Asistencia!F167,"A"),EXACT(Asistencia!F167,"R"),EXACT(Asistencia!F167,"DL"),EXACT(Asistencia!F167,"FL"),EXACT(Asistencia!F167,"FE"),EXACT(Asistencia!F167,"PCS"),EXACT(Asistencia!F167,"V")),1,0)</f>
        <v>0</v>
      </c>
      <c r="AJ160">
        <f>IF(OR(EXACT(Asistencia!G167,"A"),EXACT(Asistencia!G167,"R"),EXACT(Asistencia!G167,"DL"),EXACT(Asistencia!G167,"FL"),EXACT(Asistencia!G167,"FE"),EXACT(Asistencia!G167,"PCS"),EXACT(Asistencia!G167,"V")),1,0)</f>
        <v>0</v>
      </c>
      <c r="AK160">
        <f>IF(OR(EXACT(Asistencia!H167,"A"),EXACT(Asistencia!H167,"R"),EXACT(Asistencia!H167,"DL"),EXACT(Asistencia!H167,"FL"),EXACT(Asistencia!H167,"FE"),EXACT(Asistencia!H167,"PCS"),EXACT(Asistencia!H167,"V")),1,0)</f>
        <v>0</v>
      </c>
      <c r="AL160">
        <f>IF(OR(EXACT(Asistencia!I167,"A"),EXACT(Asistencia!I167,"R"),EXACT(Asistencia!I167,"DL"),EXACT(Asistencia!I167,"FL"),EXACT(Asistencia!I167,"FE"),EXACT(Asistencia!I167,"PCS"),EXACT(Asistencia!I167,"V")),1,0)</f>
        <v>0</v>
      </c>
      <c r="AM160">
        <f>IF(OR(EXACT(Asistencia!J167,"A"),EXACT(Asistencia!J167,"R"),EXACT(Asistencia!J167,"DL"),EXACT(Asistencia!J167,"FL"),EXACT(Asistencia!J167,"FE"),EXACT(Asistencia!J167,"PCS"),EXACT(Asistencia!J167,"V")),1,0)</f>
        <v>0</v>
      </c>
      <c r="AN160">
        <f>IF(OR(EXACT(Asistencia!K167,"A"),EXACT(Asistencia!K167,"R"),EXACT(Asistencia!K167,"DL"),EXACT(Asistencia!K167,"FL"),EXACT(Asistencia!K167,"FE"),EXACT(Asistencia!K167,"PCS"),EXACT(Asistencia!K167,"V")),1,0)</f>
        <v>0</v>
      </c>
      <c r="AO160">
        <f>IF(OR(EXACT(Asistencia!L167,"A"),EXACT(Asistencia!L167,"R"),EXACT(Asistencia!L167,"DL"),EXACT(Asistencia!L167,"FL"),EXACT(Asistencia!L167,"FE"),EXACT(Asistencia!L167,"PCS"),EXACT(Asistencia!L167,"V")),1,0)</f>
        <v>0</v>
      </c>
      <c r="AP160">
        <f t="shared" si="85"/>
        <v>0</v>
      </c>
      <c r="AQ160">
        <f>IF(EXACT(Asistencia!F167,"FL"),1,0)</f>
        <v>0</v>
      </c>
      <c r="AR160">
        <f>IF(EXACT(Asistencia!G167,"FL"),1,0)</f>
        <v>0</v>
      </c>
      <c r="AS160">
        <f>IF(EXACT(Asistencia!H167,"FL"),1,0)</f>
        <v>0</v>
      </c>
      <c r="AT160">
        <f>IF(EXACT(Asistencia!I167,"FL"),1,0)</f>
        <v>0</v>
      </c>
      <c r="AU160">
        <f>IF(EXACT(Asistencia!J167,"FL"),1,0)</f>
        <v>0</v>
      </c>
      <c r="AV160">
        <f>IF(EXACT(Asistencia!K167,"FL"),1,0)</f>
        <v>0</v>
      </c>
      <c r="AW160">
        <f>IF(EXACT(Asistencia!L167,"FL"),1,0)</f>
        <v>0</v>
      </c>
      <c r="AX160">
        <f t="shared" si="86"/>
        <v>0</v>
      </c>
      <c r="AY160">
        <f>IF(EXACT(Asistencia!F167,"DL"),1,0)</f>
        <v>0</v>
      </c>
      <c r="AZ160">
        <f>IF(EXACT(Asistencia!G167,"DL"),1,0)</f>
        <v>0</v>
      </c>
      <c r="BA160">
        <f>IF(EXACT(Asistencia!H167,"DL"),1,0)</f>
        <v>0</v>
      </c>
      <c r="BB160">
        <f>IF(EXACT(Asistencia!I167,"DL"),1,0)</f>
        <v>0</v>
      </c>
      <c r="BC160">
        <f>IF(EXACT(Asistencia!J167,"DL"),1,0)</f>
        <v>0</v>
      </c>
      <c r="BD160">
        <f>IF(EXACT(Asistencia!K167,"DL"),1,0)</f>
        <v>0</v>
      </c>
      <c r="BE160">
        <f>IF(EXACT(Asistencia!L167,"DL"),1,0)</f>
        <v>0</v>
      </c>
      <c r="BF160">
        <f t="shared" si="87"/>
        <v>0</v>
      </c>
      <c r="BG160">
        <f>IF(ISNUMBER(Asistencia!M167),Asistencia!M167,0)</f>
        <v>0</v>
      </c>
      <c r="BH160">
        <f>IF(ISNUMBER(Asistencia!N167),Asistencia!N167,0)</f>
        <v>0</v>
      </c>
      <c r="BI160">
        <f>IF(ISNUMBER(Asistencia!O167),Asistencia!O167,0)</f>
        <v>0</v>
      </c>
      <c r="BJ160">
        <f>IF(ISNUMBER(Asistencia!P167),Asistencia!P167,0)</f>
        <v>0</v>
      </c>
      <c r="BK160" t="str">
        <f>IF(Asistencia!F167="","",Asistencia!F167)</f>
        <v/>
      </c>
      <c r="BL160" t="str">
        <f>IF(Asistencia!G167="","",Asistencia!G167)</f>
        <v/>
      </c>
      <c r="BM160" t="str">
        <f>IF(Asistencia!H167="","",Asistencia!H167)</f>
        <v/>
      </c>
      <c r="BN160" t="str">
        <f>IF(Asistencia!I167="","",Asistencia!I167)</f>
        <v/>
      </c>
      <c r="BO160" t="str">
        <f>IF(Asistencia!J167="","",Asistencia!J167)</f>
        <v/>
      </c>
      <c r="BP160" t="str">
        <f>IF(Asistencia!K167="","",Asistencia!K167)</f>
        <v/>
      </c>
      <c r="BQ160" t="str">
        <f>IF(Asistencia!L167="","",Asistencia!L167)</f>
        <v/>
      </c>
    </row>
    <row r="161" spans="1:69" x14ac:dyDescent="0.25">
      <c r="A161" s="46"/>
      <c r="B161" s="47"/>
      <c r="C161" s="47"/>
      <c r="D161" s="47"/>
      <c r="E161" s="46"/>
      <c r="F161" s="45"/>
      <c r="G161" s="44"/>
      <c r="H161" s="44"/>
      <c r="I161" s="44"/>
      <c r="J161" s="44"/>
      <c r="K161" s="44"/>
      <c r="L161" s="44"/>
      <c r="M161" s="43"/>
      <c r="N161" s="41"/>
      <c r="O161" s="41"/>
      <c r="P161" s="41"/>
      <c r="Q161" s="41"/>
      <c r="R161" s="41"/>
      <c r="S161" s="41"/>
      <c r="T161" s="48"/>
      <c r="U161" s="41"/>
      <c r="V161" s="41"/>
      <c r="W161" s="42"/>
      <c r="AA161" t="str">
        <f t="shared" si="84"/>
        <v/>
      </c>
      <c r="AB161" t="str">
        <f>IF(Asistencia!A168="","",Asistencia!A168)</f>
        <v/>
      </c>
      <c r="AC161" t="str">
        <f>IF(Asistencia!A168="","",SUBSTITUTE(SUBSTITUTE(SUBSTITUTE(SUBSTITUTE(SUBSTITUTE(SUBSTITUTE(SUBSTITUTE(UPPER(TRIM(Asistencia!A168)),"Á","A"),"É","E"),"Í","I"),"Ó","O"),"Ú","U"),"Ñ","N"),"  "," "))</f>
        <v/>
      </c>
      <c r="AD161" t="str">
        <f>IF(Asistencia!E168="","",Asistencia!E168)</f>
        <v/>
      </c>
      <c r="AE161" t="str">
        <f>IF(Asistencia!D168="","",UPPER(TRIM(Asistencia!D168)))</f>
        <v/>
      </c>
      <c r="AF161" t="s">
        <v>192</v>
      </c>
      <c r="AG161">
        <f>IF(AND(AA161&lt;&gt;"",COUNTIF($AA$5:AA161,AA161)=1),1,0)</f>
        <v>0</v>
      </c>
      <c r="AH161" t="str">
        <f>IF(AG161=1,SUM($AG$5:AG161),"")</f>
        <v/>
      </c>
      <c r="AI161">
        <f>IF(OR(EXACT(Asistencia!F168,"A"),EXACT(Asistencia!F168,"R"),EXACT(Asistencia!F168,"DL"),EXACT(Asistencia!F168,"FL"),EXACT(Asistencia!F168,"FE"),EXACT(Asistencia!F168,"PCS"),EXACT(Asistencia!F168,"V")),1,0)</f>
        <v>0</v>
      </c>
      <c r="AJ161">
        <f>IF(OR(EXACT(Asistencia!G168,"A"),EXACT(Asistencia!G168,"R"),EXACT(Asistencia!G168,"DL"),EXACT(Asistencia!G168,"FL"),EXACT(Asistencia!G168,"FE"),EXACT(Asistencia!G168,"PCS"),EXACT(Asistencia!G168,"V")),1,0)</f>
        <v>0</v>
      </c>
      <c r="AK161">
        <f>IF(OR(EXACT(Asistencia!H168,"A"),EXACT(Asistencia!H168,"R"),EXACT(Asistencia!H168,"DL"),EXACT(Asistencia!H168,"FL"),EXACT(Asistencia!H168,"FE"),EXACT(Asistencia!H168,"PCS"),EXACT(Asistencia!H168,"V")),1,0)</f>
        <v>0</v>
      </c>
      <c r="AL161">
        <f>IF(OR(EXACT(Asistencia!I168,"A"),EXACT(Asistencia!I168,"R"),EXACT(Asistencia!I168,"DL"),EXACT(Asistencia!I168,"FL"),EXACT(Asistencia!I168,"FE"),EXACT(Asistencia!I168,"PCS"),EXACT(Asistencia!I168,"V")),1,0)</f>
        <v>0</v>
      </c>
      <c r="AM161">
        <f>IF(OR(EXACT(Asistencia!J168,"A"),EXACT(Asistencia!J168,"R"),EXACT(Asistencia!J168,"DL"),EXACT(Asistencia!J168,"FL"),EXACT(Asistencia!J168,"FE"),EXACT(Asistencia!J168,"PCS"),EXACT(Asistencia!J168,"V")),1,0)</f>
        <v>0</v>
      </c>
      <c r="AN161">
        <f>IF(OR(EXACT(Asistencia!K168,"A"),EXACT(Asistencia!K168,"R"),EXACT(Asistencia!K168,"DL"),EXACT(Asistencia!K168,"FL"),EXACT(Asistencia!K168,"FE"),EXACT(Asistencia!K168,"PCS"),EXACT(Asistencia!K168,"V")),1,0)</f>
        <v>0</v>
      </c>
      <c r="AO161">
        <f>IF(OR(EXACT(Asistencia!L168,"A"),EXACT(Asistencia!L168,"R"),EXACT(Asistencia!L168,"DL"),EXACT(Asistencia!L168,"FL"),EXACT(Asistencia!L168,"FE"),EXACT(Asistencia!L168,"PCS"),EXACT(Asistencia!L168,"V")),1,0)</f>
        <v>0</v>
      </c>
      <c r="AP161">
        <f t="shared" si="85"/>
        <v>0</v>
      </c>
      <c r="AQ161">
        <f>IF(EXACT(Asistencia!F168,"FL"),1,0)</f>
        <v>0</v>
      </c>
      <c r="AR161">
        <f>IF(EXACT(Asistencia!G168,"FL"),1,0)</f>
        <v>0</v>
      </c>
      <c r="AS161">
        <f>IF(EXACT(Asistencia!H168,"FL"),1,0)</f>
        <v>0</v>
      </c>
      <c r="AT161">
        <f>IF(EXACT(Asistencia!I168,"FL"),1,0)</f>
        <v>0</v>
      </c>
      <c r="AU161">
        <f>IF(EXACT(Asistencia!J168,"FL"),1,0)</f>
        <v>0</v>
      </c>
      <c r="AV161">
        <f>IF(EXACT(Asistencia!K168,"FL"),1,0)</f>
        <v>0</v>
      </c>
      <c r="AW161">
        <f>IF(EXACT(Asistencia!L168,"FL"),1,0)</f>
        <v>0</v>
      </c>
      <c r="AX161">
        <f t="shared" si="86"/>
        <v>0</v>
      </c>
      <c r="AY161">
        <f>IF(EXACT(Asistencia!F168,"DL"),1,0)</f>
        <v>0</v>
      </c>
      <c r="AZ161">
        <f>IF(EXACT(Asistencia!G168,"DL"),1,0)</f>
        <v>0</v>
      </c>
      <c r="BA161">
        <f>IF(EXACT(Asistencia!H168,"DL"),1,0)</f>
        <v>0</v>
      </c>
      <c r="BB161">
        <f>IF(EXACT(Asistencia!I168,"DL"),1,0)</f>
        <v>0</v>
      </c>
      <c r="BC161">
        <f>IF(EXACT(Asistencia!J168,"DL"),1,0)</f>
        <v>0</v>
      </c>
      <c r="BD161">
        <f>IF(EXACT(Asistencia!K168,"DL"),1,0)</f>
        <v>0</v>
      </c>
      <c r="BE161">
        <f>IF(EXACT(Asistencia!L168,"DL"),1,0)</f>
        <v>0</v>
      </c>
      <c r="BF161">
        <f t="shared" si="87"/>
        <v>0</v>
      </c>
      <c r="BG161">
        <f>IF(ISNUMBER(Asistencia!M168),Asistencia!M168,0)</f>
        <v>0</v>
      </c>
      <c r="BH161">
        <f>IF(ISNUMBER(Asistencia!N168),Asistencia!N168,0)</f>
        <v>0</v>
      </c>
      <c r="BI161">
        <f>IF(ISNUMBER(Asistencia!O168),Asistencia!O168,0)</f>
        <v>0</v>
      </c>
      <c r="BJ161">
        <f>IF(ISNUMBER(Asistencia!P168),Asistencia!P168,0)</f>
        <v>0</v>
      </c>
      <c r="BK161" t="str">
        <f>IF(Asistencia!F168="","",Asistencia!F168)</f>
        <v/>
      </c>
      <c r="BL161" t="str">
        <f>IF(Asistencia!G168="","",Asistencia!G168)</f>
        <v/>
      </c>
      <c r="BM161" t="str">
        <f>IF(Asistencia!H168="","",Asistencia!H168)</f>
        <v/>
      </c>
      <c r="BN161" t="str">
        <f>IF(Asistencia!I168="","",Asistencia!I168)</f>
        <v/>
      </c>
      <c r="BO161" t="str">
        <f>IF(Asistencia!J168="","",Asistencia!J168)</f>
        <v/>
      </c>
      <c r="BP161" t="str">
        <f>IF(Asistencia!K168="","",Asistencia!K168)</f>
        <v/>
      </c>
      <c r="BQ161" t="str">
        <f>IF(Asistencia!L168="","",Asistencia!L168)</f>
        <v/>
      </c>
    </row>
    <row r="162" spans="1:69" x14ac:dyDescent="0.25">
      <c r="A162" s="46"/>
      <c r="B162" s="47"/>
      <c r="C162" s="47"/>
      <c r="D162" s="47"/>
      <c r="E162" s="46"/>
      <c r="F162" s="45"/>
      <c r="G162" s="44"/>
      <c r="H162" s="44"/>
      <c r="I162" s="44"/>
      <c r="J162" s="44"/>
      <c r="K162" s="44"/>
      <c r="L162" s="44"/>
      <c r="M162" s="43"/>
      <c r="N162" s="41"/>
      <c r="O162" s="41"/>
      <c r="P162" s="41"/>
      <c r="Q162" s="41"/>
      <c r="R162" s="41"/>
      <c r="S162" s="41"/>
      <c r="T162" s="48"/>
      <c r="U162" s="41"/>
      <c r="V162" s="41"/>
      <c r="W162" s="42"/>
      <c r="AA162" t="str">
        <f t="shared" si="84"/>
        <v/>
      </c>
      <c r="AB162" t="str">
        <f>IF(Asistencia!A169="","",Asistencia!A169)</f>
        <v/>
      </c>
      <c r="AC162" t="str">
        <f>IF(Asistencia!A169="","",SUBSTITUTE(SUBSTITUTE(SUBSTITUTE(SUBSTITUTE(SUBSTITUTE(SUBSTITUTE(SUBSTITUTE(UPPER(TRIM(Asistencia!A169)),"Á","A"),"É","E"),"Í","I"),"Ó","O"),"Ú","U"),"Ñ","N"),"  "," "))</f>
        <v/>
      </c>
      <c r="AD162" t="str">
        <f>IF(Asistencia!E169="","",Asistencia!E169)</f>
        <v/>
      </c>
      <c r="AE162" t="str">
        <f>IF(Asistencia!D169="","",UPPER(TRIM(Asistencia!D169)))</f>
        <v/>
      </c>
      <c r="AF162" t="s">
        <v>192</v>
      </c>
      <c r="AG162">
        <f>IF(AND(AA162&lt;&gt;"",COUNTIF($AA$5:AA162,AA162)=1),1,0)</f>
        <v>0</v>
      </c>
      <c r="AH162" t="str">
        <f>IF(AG162=1,SUM($AG$5:AG162),"")</f>
        <v/>
      </c>
      <c r="AI162">
        <f>IF(OR(EXACT(Asistencia!F169,"A"),EXACT(Asistencia!F169,"R"),EXACT(Asistencia!F169,"DL"),EXACT(Asistencia!F169,"FL"),EXACT(Asistencia!F169,"FE"),EXACT(Asistencia!F169,"PCS"),EXACT(Asistencia!F169,"V")),1,0)</f>
        <v>0</v>
      </c>
      <c r="AJ162">
        <f>IF(OR(EXACT(Asistencia!G169,"A"),EXACT(Asistencia!G169,"R"),EXACT(Asistencia!G169,"DL"),EXACT(Asistencia!G169,"FL"),EXACT(Asistencia!G169,"FE"),EXACT(Asistencia!G169,"PCS"),EXACT(Asistencia!G169,"V")),1,0)</f>
        <v>0</v>
      </c>
      <c r="AK162">
        <f>IF(OR(EXACT(Asistencia!H169,"A"),EXACT(Asistencia!H169,"R"),EXACT(Asistencia!H169,"DL"),EXACT(Asistencia!H169,"FL"),EXACT(Asistencia!H169,"FE"),EXACT(Asistencia!H169,"PCS"),EXACT(Asistencia!H169,"V")),1,0)</f>
        <v>0</v>
      </c>
      <c r="AL162">
        <f>IF(OR(EXACT(Asistencia!I169,"A"),EXACT(Asistencia!I169,"R"),EXACT(Asistencia!I169,"DL"),EXACT(Asistencia!I169,"FL"),EXACT(Asistencia!I169,"FE"),EXACT(Asistencia!I169,"PCS"),EXACT(Asistencia!I169,"V")),1,0)</f>
        <v>0</v>
      </c>
      <c r="AM162">
        <f>IF(OR(EXACT(Asistencia!J169,"A"),EXACT(Asistencia!J169,"R"),EXACT(Asistencia!J169,"DL"),EXACT(Asistencia!J169,"FL"),EXACT(Asistencia!J169,"FE"),EXACT(Asistencia!J169,"PCS"),EXACT(Asistencia!J169,"V")),1,0)</f>
        <v>0</v>
      </c>
      <c r="AN162">
        <f>IF(OR(EXACT(Asistencia!K169,"A"),EXACT(Asistencia!K169,"R"),EXACT(Asistencia!K169,"DL"),EXACT(Asistencia!K169,"FL"),EXACT(Asistencia!K169,"FE"),EXACT(Asistencia!K169,"PCS"),EXACT(Asistencia!K169,"V")),1,0)</f>
        <v>0</v>
      </c>
      <c r="AO162">
        <f>IF(OR(EXACT(Asistencia!L169,"A"),EXACT(Asistencia!L169,"R"),EXACT(Asistencia!L169,"DL"),EXACT(Asistencia!L169,"FL"),EXACT(Asistencia!L169,"FE"),EXACT(Asistencia!L169,"PCS"),EXACT(Asistencia!L169,"V")),1,0)</f>
        <v>0</v>
      </c>
      <c r="AP162">
        <f t="shared" si="85"/>
        <v>0</v>
      </c>
      <c r="AQ162">
        <f>IF(EXACT(Asistencia!F169,"FL"),1,0)</f>
        <v>0</v>
      </c>
      <c r="AR162">
        <f>IF(EXACT(Asistencia!G169,"FL"),1,0)</f>
        <v>0</v>
      </c>
      <c r="AS162">
        <f>IF(EXACT(Asistencia!H169,"FL"),1,0)</f>
        <v>0</v>
      </c>
      <c r="AT162">
        <f>IF(EXACT(Asistencia!I169,"FL"),1,0)</f>
        <v>0</v>
      </c>
      <c r="AU162">
        <f>IF(EXACT(Asistencia!J169,"FL"),1,0)</f>
        <v>0</v>
      </c>
      <c r="AV162">
        <f>IF(EXACT(Asistencia!K169,"FL"),1,0)</f>
        <v>0</v>
      </c>
      <c r="AW162">
        <f>IF(EXACT(Asistencia!L169,"FL"),1,0)</f>
        <v>0</v>
      </c>
      <c r="AX162">
        <f t="shared" si="86"/>
        <v>0</v>
      </c>
      <c r="AY162">
        <f>IF(EXACT(Asistencia!F169,"DL"),1,0)</f>
        <v>0</v>
      </c>
      <c r="AZ162">
        <f>IF(EXACT(Asistencia!G169,"DL"),1,0)</f>
        <v>0</v>
      </c>
      <c r="BA162">
        <f>IF(EXACT(Asistencia!H169,"DL"),1,0)</f>
        <v>0</v>
      </c>
      <c r="BB162">
        <f>IF(EXACT(Asistencia!I169,"DL"),1,0)</f>
        <v>0</v>
      </c>
      <c r="BC162">
        <f>IF(EXACT(Asistencia!J169,"DL"),1,0)</f>
        <v>0</v>
      </c>
      <c r="BD162">
        <f>IF(EXACT(Asistencia!K169,"DL"),1,0)</f>
        <v>0</v>
      </c>
      <c r="BE162">
        <f>IF(EXACT(Asistencia!L169,"DL"),1,0)</f>
        <v>0</v>
      </c>
      <c r="BF162">
        <f t="shared" si="87"/>
        <v>0</v>
      </c>
      <c r="BG162">
        <f>IF(ISNUMBER(Asistencia!M169),Asistencia!M169,0)</f>
        <v>0</v>
      </c>
      <c r="BH162">
        <f>IF(ISNUMBER(Asistencia!N169),Asistencia!N169,0)</f>
        <v>0</v>
      </c>
      <c r="BI162">
        <f>IF(ISNUMBER(Asistencia!O169),Asistencia!O169,0)</f>
        <v>0</v>
      </c>
      <c r="BJ162">
        <f>IF(ISNUMBER(Asistencia!P169),Asistencia!P169,0)</f>
        <v>0</v>
      </c>
      <c r="BK162" t="str">
        <f>IF(Asistencia!F169="","",Asistencia!F169)</f>
        <v/>
      </c>
      <c r="BL162" t="str">
        <f>IF(Asistencia!G169="","",Asistencia!G169)</f>
        <v/>
      </c>
      <c r="BM162" t="str">
        <f>IF(Asistencia!H169="","",Asistencia!H169)</f>
        <v/>
      </c>
      <c r="BN162" t="str">
        <f>IF(Asistencia!I169="","",Asistencia!I169)</f>
        <v/>
      </c>
      <c r="BO162" t="str">
        <f>IF(Asistencia!J169="","",Asistencia!J169)</f>
        <v/>
      </c>
      <c r="BP162" t="str">
        <f>IF(Asistencia!K169="","",Asistencia!K169)</f>
        <v/>
      </c>
      <c r="BQ162" t="str">
        <f>IF(Asistencia!L169="","",Asistencia!L169)</f>
        <v/>
      </c>
    </row>
    <row r="163" spans="1:69" x14ac:dyDescent="0.25">
      <c r="A163" s="46"/>
      <c r="B163" s="47"/>
      <c r="C163" s="47"/>
      <c r="D163" s="47"/>
      <c r="E163" s="46"/>
      <c r="F163" s="45"/>
      <c r="G163" s="44"/>
      <c r="H163" s="44"/>
      <c r="I163" s="44"/>
      <c r="J163" s="44"/>
      <c r="K163" s="44"/>
      <c r="L163" s="44"/>
      <c r="M163" s="43"/>
      <c r="N163" s="41"/>
      <c r="O163" s="41"/>
      <c r="P163" s="41"/>
      <c r="Q163" s="41"/>
      <c r="R163" s="41"/>
      <c r="S163" s="41"/>
      <c r="T163" s="48"/>
      <c r="U163" s="41"/>
      <c r="V163" s="41"/>
      <c r="W163" s="42"/>
      <c r="AA163" t="str">
        <f t="shared" si="84"/>
        <v/>
      </c>
      <c r="AB163" t="str">
        <f>IF(Asistencia!A170="","",Asistencia!A170)</f>
        <v/>
      </c>
      <c r="AC163" t="str">
        <f>IF(Asistencia!A170="","",SUBSTITUTE(SUBSTITUTE(SUBSTITUTE(SUBSTITUTE(SUBSTITUTE(SUBSTITUTE(SUBSTITUTE(UPPER(TRIM(Asistencia!A170)),"Á","A"),"É","E"),"Í","I"),"Ó","O"),"Ú","U"),"Ñ","N"),"  "," "))</f>
        <v/>
      </c>
      <c r="AD163" t="str">
        <f>IF(Asistencia!E170="","",Asistencia!E170)</f>
        <v/>
      </c>
      <c r="AE163" t="str">
        <f>IF(Asistencia!D170="","",UPPER(TRIM(Asistencia!D170)))</f>
        <v/>
      </c>
      <c r="AF163" t="s">
        <v>192</v>
      </c>
      <c r="AG163">
        <f>IF(AND(AA163&lt;&gt;"",COUNTIF($AA$5:AA163,AA163)=1),1,0)</f>
        <v>0</v>
      </c>
      <c r="AH163" t="str">
        <f>IF(AG163=1,SUM($AG$5:AG163),"")</f>
        <v/>
      </c>
      <c r="AI163">
        <f>IF(OR(EXACT(Asistencia!F170,"A"),EXACT(Asistencia!F170,"R"),EXACT(Asistencia!F170,"DL"),EXACT(Asistencia!F170,"FL"),EXACT(Asistencia!F170,"FE"),EXACT(Asistencia!F170,"PCS"),EXACT(Asistencia!F170,"V")),1,0)</f>
        <v>0</v>
      </c>
      <c r="AJ163">
        <f>IF(OR(EXACT(Asistencia!G170,"A"),EXACT(Asistencia!G170,"R"),EXACT(Asistencia!G170,"DL"),EXACT(Asistencia!G170,"FL"),EXACT(Asistencia!G170,"FE"),EXACT(Asistencia!G170,"PCS"),EXACT(Asistencia!G170,"V")),1,0)</f>
        <v>0</v>
      </c>
      <c r="AK163">
        <f>IF(OR(EXACT(Asistencia!H170,"A"),EXACT(Asistencia!H170,"R"),EXACT(Asistencia!H170,"DL"),EXACT(Asistencia!H170,"FL"),EXACT(Asistencia!H170,"FE"),EXACT(Asistencia!H170,"PCS"),EXACT(Asistencia!H170,"V")),1,0)</f>
        <v>0</v>
      </c>
      <c r="AL163">
        <f>IF(OR(EXACT(Asistencia!I170,"A"),EXACT(Asistencia!I170,"R"),EXACT(Asistencia!I170,"DL"),EXACT(Asistencia!I170,"FL"),EXACT(Asistencia!I170,"FE"),EXACT(Asistencia!I170,"PCS"),EXACT(Asistencia!I170,"V")),1,0)</f>
        <v>0</v>
      </c>
      <c r="AM163">
        <f>IF(OR(EXACT(Asistencia!J170,"A"),EXACT(Asistencia!J170,"R"),EXACT(Asistencia!J170,"DL"),EXACT(Asistencia!J170,"FL"),EXACT(Asistencia!J170,"FE"),EXACT(Asistencia!J170,"PCS"),EXACT(Asistencia!J170,"V")),1,0)</f>
        <v>0</v>
      </c>
      <c r="AN163">
        <f>IF(OR(EXACT(Asistencia!K170,"A"),EXACT(Asistencia!K170,"R"),EXACT(Asistencia!K170,"DL"),EXACT(Asistencia!K170,"FL"),EXACT(Asistencia!K170,"FE"),EXACT(Asistencia!K170,"PCS"),EXACT(Asistencia!K170,"V")),1,0)</f>
        <v>0</v>
      </c>
      <c r="AO163">
        <f>IF(OR(EXACT(Asistencia!L170,"A"),EXACT(Asistencia!L170,"R"),EXACT(Asistencia!L170,"DL"),EXACT(Asistencia!L170,"FL"),EXACT(Asistencia!L170,"FE"),EXACT(Asistencia!L170,"PCS"),EXACT(Asistencia!L170,"V")),1,0)</f>
        <v>0</v>
      </c>
      <c r="AP163">
        <f t="shared" si="85"/>
        <v>0</v>
      </c>
      <c r="AQ163">
        <f>IF(EXACT(Asistencia!F170,"FL"),1,0)</f>
        <v>0</v>
      </c>
      <c r="AR163">
        <f>IF(EXACT(Asistencia!G170,"FL"),1,0)</f>
        <v>0</v>
      </c>
      <c r="AS163">
        <f>IF(EXACT(Asistencia!H170,"FL"),1,0)</f>
        <v>0</v>
      </c>
      <c r="AT163">
        <f>IF(EXACT(Asistencia!I170,"FL"),1,0)</f>
        <v>0</v>
      </c>
      <c r="AU163">
        <f>IF(EXACT(Asistencia!J170,"FL"),1,0)</f>
        <v>0</v>
      </c>
      <c r="AV163">
        <f>IF(EXACT(Asistencia!K170,"FL"),1,0)</f>
        <v>0</v>
      </c>
      <c r="AW163">
        <f>IF(EXACT(Asistencia!L170,"FL"),1,0)</f>
        <v>0</v>
      </c>
      <c r="AX163">
        <f t="shared" si="86"/>
        <v>0</v>
      </c>
      <c r="AY163">
        <f>IF(EXACT(Asistencia!F170,"DL"),1,0)</f>
        <v>0</v>
      </c>
      <c r="AZ163">
        <f>IF(EXACT(Asistencia!G170,"DL"),1,0)</f>
        <v>0</v>
      </c>
      <c r="BA163">
        <f>IF(EXACT(Asistencia!H170,"DL"),1,0)</f>
        <v>0</v>
      </c>
      <c r="BB163">
        <f>IF(EXACT(Asistencia!I170,"DL"),1,0)</f>
        <v>0</v>
      </c>
      <c r="BC163">
        <f>IF(EXACT(Asistencia!J170,"DL"),1,0)</f>
        <v>0</v>
      </c>
      <c r="BD163">
        <f>IF(EXACT(Asistencia!K170,"DL"),1,0)</f>
        <v>0</v>
      </c>
      <c r="BE163">
        <f>IF(EXACT(Asistencia!L170,"DL"),1,0)</f>
        <v>0</v>
      </c>
      <c r="BF163">
        <f t="shared" si="87"/>
        <v>0</v>
      </c>
      <c r="BG163">
        <f>IF(ISNUMBER(Asistencia!M170),Asistencia!M170,0)</f>
        <v>0</v>
      </c>
      <c r="BH163">
        <f>IF(ISNUMBER(Asistencia!N170),Asistencia!N170,0)</f>
        <v>0</v>
      </c>
      <c r="BI163">
        <f>IF(ISNUMBER(Asistencia!O170),Asistencia!O170,0)</f>
        <v>0</v>
      </c>
      <c r="BJ163">
        <f>IF(ISNUMBER(Asistencia!P170),Asistencia!P170,0)</f>
        <v>0</v>
      </c>
      <c r="BK163" t="str">
        <f>IF(Asistencia!F170="","",Asistencia!F170)</f>
        <v/>
      </c>
      <c r="BL163" t="str">
        <f>IF(Asistencia!G170="","",Asistencia!G170)</f>
        <v/>
      </c>
      <c r="BM163" t="str">
        <f>IF(Asistencia!H170="","",Asistencia!H170)</f>
        <v/>
      </c>
      <c r="BN163" t="str">
        <f>IF(Asistencia!I170="","",Asistencia!I170)</f>
        <v/>
      </c>
      <c r="BO163" t="str">
        <f>IF(Asistencia!J170="","",Asistencia!J170)</f>
        <v/>
      </c>
      <c r="BP163" t="str">
        <f>IF(Asistencia!K170="","",Asistencia!K170)</f>
        <v/>
      </c>
      <c r="BQ163" t="str">
        <f>IF(Asistencia!L170="","",Asistencia!L170)</f>
        <v/>
      </c>
    </row>
    <row r="164" spans="1:69" x14ac:dyDescent="0.25">
      <c r="A164" s="46"/>
      <c r="B164" s="47"/>
      <c r="C164" s="47"/>
      <c r="D164" s="47"/>
      <c r="E164" s="46"/>
      <c r="F164" s="45"/>
      <c r="G164" s="44"/>
      <c r="H164" s="44"/>
      <c r="I164" s="44"/>
      <c r="J164" s="44"/>
      <c r="K164" s="44"/>
      <c r="L164" s="44"/>
      <c r="M164" s="43"/>
      <c r="N164" s="41"/>
      <c r="O164" s="41"/>
      <c r="P164" s="41"/>
      <c r="Q164" s="41"/>
      <c r="R164" s="41"/>
      <c r="S164" s="41"/>
      <c r="T164" s="48"/>
      <c r="U164" s="41"/>
      <c r="V164" s="41"/>
      <c r="W164" s="42"/>
      <c r="AA164" t="str">
        <f t="shared" si="84"/>
        <v/>
      </c>
      <c r="AB164" t="str">
        <f>IF(Asistencia!A171="","",Asistencia!A171)</f>
        <v/>
      </c>
      <c r="AC164" t="str">
        <f>IF(Asistencia!A171="","",SUBSTITUTE(SUBSTITUTE(SUBSTITUTE(SUBSTITUTE(SUBSTITUTE(SUBSTITUTE(SUBSTITUTE(UPPER(TRIM(Asistencia!A171)),"Á","A"),"É","E"),"Í","I"),"Ó","O"),"Ú","U"),"Ñ","N"),"  "," "))</f>
        <v/>
      </c>
      <c r="AD164" t="str">
        <f>IF(Asistencia!E171="","",Asistencia!E171)</f>
        <v/>
      </c>
      <c r="AE164" t="str">
        <f>IF(Asistencia!D171="","",UPPER(TRIM(Asistencia!D171)))</f>
        <v/>
      </c>
      <c r="AF164" t="s">
        <v>192</v>
      </c>
      <c r="AG164">
        <f>IF(AND(AA164&lt;&gt;"",COUNTIF($AA$5:AA164,AA164)=1),1,0)</f>
        <v>0</v>
      </c>
      <c r="AH164" t="str">
        <f>IF(AG164=1,SUM($AG$5:AG164),"")</f>
        <v/>
      </c>
      <c r="AI164">
        <f>IF(OR(EXACT(Asistencia!F171,"A"),EXACT(Asistencia!F171,"R"),EXACT(Asistencia!F171,"DL"),EXACT(Asistencia!F171,"FL"),EXACT(Asistencia!F171,"FE"),EXACT(Asistencia!F171,"PCS"),EXACT(Asistencia!F171,"V")),1,0)</f>
        <v>0</v>
      </c>
      <c r="AJ164">
        <f>IF(OR(EXACT(Asistencia!G171,"A"),EXACT(Asistencia!G171,"R"),EXACT(Asistencia!G171,"DL"),EXACT(Asistencia!G171,"FL"),EXACT(Asistencia!G171,"FE"),EXACT(Asistencia!G171,"PCS"),EXACT(Asistencia!G171,"V")),1,0)</f>
        <v>0</v>
      </c>
      <c r="AK164">
        <f>IF(OR(EXACT(Asistencia!H171,"A"),EXACT(Asistencia!H171,"R"),EXACT(Asistencia!H171,"DL"),EXACT(Asistencia!H171,"FL"),EXACT(Asistencia!H171,"FE"),EXACT(Asistencia!H171,"PCS"),EXACT(Asistencia!H171,"V")),1,0)</f>
        <v>0</v>
      </c>
      <c r="AL164">
        <f>IF(OR(EXACT(Asistencia!I171,"A"),EXACT(Asistencia!I171,"R"),EXACT(Asistencia!I171,"DL"),EXACT(Asistencia!I171,"FL"),EXACT(Asistencia!I171,"FE"),EXACT(Asistencia!I171,"PCS"),EXACT(Asistencia!I171,"V")),1,0)</f>
        <v>0</v>
      </c>
      <c r="AM164">
        <f>IF(OR(EXACT(Asistencia!J171,"A"),EXACT(Asistencia!J171,"R"),EXACT(Asistencia!J171,"DL"),EXACT(Asistencia!J171,"FL"),EXACT(Asistencia!J171,"FE"),EXACT(Asistencia!J171,"PCS"),EXACT(Asistencia!J171,"V")),1,0)</f>
        <v>0</v>
      </c>
      <c r="AN164">
        <f>IF(OR(EXACT(Asistencia!K171,"A"),EXACT(Asistencia!K171,"R"),EXACT(Asistencia!K171,"DL"),EXACT(Asistencia!K171,"FL"),EXACT(Asistencia!K171,"FE"),EXACT(Asistencia!K171,"PCS"),EXACT(Asistencia!K171,"V")),1,0)</f>
        <v>0</v>
      </c>
      <c r="AO164">
        <f>IF(OR(EXACT(Asistencia!L171,"A"),EXACT(Asistencia!L171,"R"),EXACT(Asistencia!L171,"DL"),EXACT(Asistencia!L171,"FL"),EXACT(Asistencia!L171,"FE"),EXACT(Asistencia!L171,"PCS"),EXACT(Asistencia!L171,"V")),1,0)</f>
        <v>0</v>
      </c>
      <c r="AP164">
        <f t="shared" si="85"/>
        <v>0</v>
      </c>
      <c r="AQ164">
        <f>IF(EXACT(Asistencia!F171,"FL"),1,0)</f>
        <v>0</v>
      </c>
      <c r="AR164">
        <f>IF(EXACT(Asistencia!G171,"FL"),1,0)</f>
        <v>0</v>
      </c>
      <c r="AS164">
        <f>IF(EXACT(Asistencia!H171,"FL"),1,0)</f>
        <v>0</v>
      </c>
      <c r="AT164">
        <f>IF(EXACT(Asistencia!I171,"FL"),1,0)</f>
        <v>0</v>
      </c>
      <c r="AU164">
        <f>IF(EXACT(Asistencia!J171,"FL"),1,0)</f>
        <v>0</v>
      </c>
      <c r="AV164">
        <f>IF(EXACT(Asistencia!K171,"FL"),1,0)</f>
        <v>0</v>
      </c>
      <c r="AW164">
        <f>IF(EXACT(Asistencia!L171,"FL"),1,0)</f>
        <v>0</v>
      </c>
      <c r="AX164">
        <f t="shared" si="86"/>
        <v>0</v>
      </c>
      <c r="AY164">
        <f>IF(EXACT(Asistencia!F171,"DL"),1,0)</f>
        <v>0</v>
      </c>
      <c r="AZ164">
        <f>IF(EXACT(Asistencia!G171,"DL"),1,0)</f>
        <v>0</v>
      </c>
      <c r="BA164">
        <f>IF(EXACT(Asistencia!H171,"DL"),1,0)</f>
        <v>0</v>
      </c>
      <c r="BB164">
        <f>IF(EXACT(Asistencia!I171,"DL"),1,0)</f>
        <v>0</v>
      </c>
      <c r="BC164">
        <f>IF(EXACT(Asistencia!J171,"DL"),1,0)</f>
        <v>0</v>
      </c>
      <c r="BD164">
        <f>IF(EXACT(Asistencia!K171,"DL"),1,0)</f>
        <v>0</v>
      </c>
      <c r="BE164">
        <f>IF(EXACT(Asistencia!L171,"DL"),1,0)</f>
        <v>0</v>
      </c>
      <c r="BF164">
        <f t="shared" si="87"/>
        <v>0</v>
      </c>
      <c r="BG164">
        <f>IF(ISNUMBER(Asistencia!M171),Asistencia!M171,0)</f>
        <v>0</v>
      </c>
      <c r="BH164">
        <f>IF(ISNUMBER(Asistencia!N171),Asistencia!N171,0)</f>
        <v>0</v>
      </c>
      <c r="BI164">
        <f>IF(ISNUMBER(Asistencia!O171),Asistencia!O171,0)</f>
        <v>0</v>
      </c>
      <c r="BJ164">
        <f>IF(ISNUMBER(Asistencia!P171),Asistencia!P171,0)</f>
        <v>0</v>
      </c>
      <c r="BK164" t="str">
        <f>IF(Asistencia!F171="","",Asistencia!F171)</f>
        <v/>
      </c>
      <c r="BL164" t="str">
        <f>IF(Asistencia!G171="","",Asistencia!G171)</f>
        <v/>
      </c>
      <c r="BM164" t="str">
        <f>IF(Asistencia!H171="","",Asistencia!H171)</f>
        <v/>
      </c>
      <c r="BN164" t="str">
        <f>IF(Asistencia!I171="","",Asistencia!I171)</f>
        <v/>
      </c>
      <c r="BO164" t="str">
        <f>IF(Asistencia!J171="","",Asistencia!J171)</f>
        <v/>
      </c>
      <c r="BP164" t="str">
        <f>IF(Asistencia!K171="","",Asistencia!K171)</f>
        <v/>
      </c>
      <c r="BQ164" t="str">
        <f>IF(Asistencia!L171="","",Asistencia!L171)</f>
        <v/>
      </c>
    </row>
    <row r="165" spans="1:69" x14ac:dyDescent="0.25">
      <c r="A165" s="46"/>
      <c r="B165" s="47"/>
      <c r="C165" s="47"/>
      <c r="D165" s="47"/>
      <c r="E165" s="46"/>
      <c r="F165" s="45"/>
      <c r="G165" s="44"/>
      <c r="H165" s="44"/>
      <c r="I165" s="44"/>
      <c r="J165" s="44"/>
      <c r="K165" s="44"/>
      <c r="L165" s="44"/>
      <c r="M165" s="43"/>
      <c r="N165" s="41"/>
      <c r="O165" s="41"/>
      <c r="P165" s="41"/>
      <c r="Q165" s="41"/>
      <c r="R165" s="41"/>
      <c r="S165" s="41"/>
      <c r="T165" s="48"/>
      <c r="U165" s="41"/>
      <c r="V165" s="41"/>
      <c r="W165" s="42"/>
      <c r="AA165" t="str">
        <f t="shared" si="84"/>
        <v/>
      </c>
      <c r="AB165" t="str">
        <f>IF(Asistencia!A174="","",Asistencia!A174)</f>
        <v/>
      </c>
      <c r="AC165" t="str">
        <f>IF(Asistencia!A174="","",SUBSTITUTE(SUBSTITUTE(SUBSTITUTE(SUBSTITUTE(SUBSTITUTE(SUBSTITUTE(SUBSTITUTE(UPPER(TRIM(Asistencia!A174)),"Á","A"),"É","E"),"Í","I"),"Ó","O"),"Ú","U"),"Ñ","N"),"  "," "))</f>
        <v/>
      </c>
      <c r="AD165" t="str">
        <f>IF(Asistencia!E174="","",Asistencia!E174)</f>
        <v/>
      </c>
      <c r="AE165" t="str">
        <f>IF(Asistencia!D174="","",UPPER(TRIM(Asistencia!D174)))</f>
        <v/>
      </c>
      <c r="AF165" t="s">
        <v>194</v>
      </c>
      <c r="AG165">
        <f>IF(AND(AA165&lt;&gt;"",COUNTIF($AA$5:AA165,AA165)=1),1,0)</f>
        <v>0</v>
      </c>
      <c r="AH165" t="str">
        <f>IF(AG165=1,SUM($AG$5:AG165),"")</f>
        <v/>
      </c>
      <c r="AI165">
        <f>IF(OR(EXACT(Asistencia!F174,"A"),EXACT(Asistencia!F174,"R"),EXACT(Asistencia!F174,"DL"),EXACT(Asistencia!F174,"FL"),EXACT(Asistencia!F174,"FE"),EXACT(Asistencia!F174,"PCS"),EXACT(Asistencia!F174,"V")),1,0)</f>
        <v>0</v>
      </c>
      <c r="AJ165">
        <f>IF(OR(EXACT(Asistencia!G174,"A"),EXACT(Asistencia!G174,"R"),EXACT(Asistencia!G174,"DL"),EXACT(Asistencia!G174,"FL"),EXACT(Asistencia!G174,"FE"),EXACT(Asistencia!G174,"PCS"),EXACT(Asistencia!G174,"V")),1,0)</f>
        <v>0</v>
      </c>
      <c r="AK165">
        <f>IF(OR(EXACT(Asistencia!H174,"A"),EXACT(Asistencia!H174,"R"),EXACT(Asistencia!H174,"DL"),EXACT(Asistencia!H174,"FL"),EXACT(Asistencia!H174,"FE"),EXACT(Asistencia!H174,"PCS"),EXACT(Asistencia!H174,"V")),1,0)</f>
        <v>0</v>
      </c>
      <c r="AL165">
        <f>IF(OR(EXACT(Asistencia!I174,"A"),EXACT(Asistencia!I174,"R"),EXACT(Asistencia!I174,"DL"),EXACT(Asistencia!I174,"FL"),EXACT(Asistencia!I174,"FE"),EXACT(Asistencia!I174,"PCS"),EXACT(Asistencia!I174,"V")),1,0)</f>
        <v>0</v>
      </c>
      <c r="AM165">
        <f>IF(OR(EXACT(Asistencia!J174,"A"),EXACT(Asistencia!J174,"R"),EXACT(Asistencia!J174,"DL"),EXACT(Asistencia!J174,"FL"),EXACT(Asistencia!J174,"FE"),EXACT(Asistencia!J174,"PCS"),EXACT(Asistencia!J174,"V")),1,0)</f>
        <v>0</v>
      </c>
      <c r="AN165">
        <f>IF(OR(EXACT(Asistencia!K174,"A"),EXACT(Asistencia!K174,"R"),EXACT(Asistencia!K174,"DL"),EXACT(Asistencia!K174,"FL"),EXACT(Asistencia!K174,"FE"),EXACT(Asistencia!K174,"PCS"),EXACT(Asistencia!K174,"V")),1,0)</f>
        <v>0</v>
      </c>
      <c r="AO165">
        <f>IF(OR(EXACT(Asistencia!L174,"A"),EXACT(Asistencia!L174,"R"),EXACT(Asistencia!L174,"DL"),EXACT(Asistencia!L174,"FL"),EXACT(Asistencia!L174,"FE"),EXACT(Asistencia!L174,"PCS"),EXACT(Asistencia!L174,"V")),1,0)</f>
        <v>0</v>
      </c>
      <c r="AP165">
        <f t="shared" si="85"/>
        <v>0</v>
      </c>
      <c r="AQ165">
        <f>IF(EXACT(Asistencia!F174,"FL"),1,0)</f>
        <v>0</v>
      </c>
      <c r="AR165">
        <f>IF(EXACT(Asistencia!G174,"FL"),1,0)</f>
        <v>0</v>
      </c>
      <c r="AS165">
        <f>IF(EXACT(Asistencia!H174,"FL"),1,0)</f>
        <v>0</v>
      </c>
      <c r="AT165">
        <f>IF(EXACT(Asistencia!I174,"FL"),1,0)</f>
        <v>0</v>
      </c>
      <c r="AU165">
        <f>IF(EXACT(Asistencia!J174,"FL"),1,0)</f>
        <v>0</v>
      </c>
      <c r="AV165">
        <f>IF(EXACT(Asistencia!K174,"FL"),1,0)</f>
        <v>0</v>
      </c>
      <c r="AW165">
        <f>IF(EXACT(Asistencia!L174,"FL"),1,0)</f>
        <v>0</v>
      </c>
      <c r="AX165">
        <f t="shared" si="86"/>
        <v>0</v>
      </c>
      <c r="AY165">
        <f>IF(EXACT(Asistencia!F174,"DL"),1,0)</f>
        <v>0</v>
      </c>
      <c r="AZ165">
        <f>IF(EXACT(Asistencia!G174,"DL"),1,0)</f>
        <v>0</v>
      </c>
      <c r="BA165">
        <f>IF(EXACT(Asistencia!H174,"DL"),1,0)</f>
        <v>0</v>
      </c>
      <c r="BB165">
        <f>IF(EXACT(Asistencia!I174,"DL"),1,0)</f>
        <v>0</v>
      </c>
      <c r="BC165">
        <f>IF(EXACT(Asistencia!J174,"DL"),1,0)</f>
        <v>0</v>
      </c>
      <c r="BD165">
        <f>IF(EXACT(Asistencia!K174,"DL"),1,0)</f>
        <v>0</v>
      </c>
      <c r="BE165">
        <f>IF(EXACT(Asistencia!L174,"DL"),1,0)</f>
        <v>0</v>
      </c>
      <c r="BF165">
        <f t="shared" si="87"/>
        <v>0</v>
      </c>
      <c r="BG165">
        <f>IF(ISNUMBER(Asistencia!M174),Asistencia!M174,0)</f>
        <v>0</v>
      </c>
      <c r="BH165">
        <f>IF(ISNUMBER(Asistencia!N174),Asistencia!N174,0)</f>
        <v>0</v>
      </c>
      <c r="BI165">
        <f>IF(ISNUMBER(Asistencia!O174),Asistencia!O174,0)</f>
        <v>0</v>
      </c>
      <c r="BJ165">
        <f>IF(ISNUMBER(Asistencia!P174),Asistencia!P174,0)</f>
        <v>0</v>
      </c>
      <c r="BK165" t="str">
        <f>IF(Asistencia!F174="","",Asistencia!F174)</f>
        <v/>
      </c>
      <c r="BL165" t="str">
        <f>IF(Asistencia!G174="","",Asistencia!G174)</f>
        <v/>
      </c>
      <c r="BM165" t="str">
        <f>IF(Asistencia!H174="","",Asistencia!H174)</f>
        <v/>
      </c>
      <c r="BN165" t="str">
        <f>IF(Asistencia!I174="","",Asistencia!I174)</f>
        <v/>
      </c>
      <c r="BO165" t="str">
        <f>IF(Asistencia!J174="","",Asistencia!J174)</f>
        <v/>
      </c>
      <c r="BP165" t="str">
        <f>IF(Asistencia!K174="","",Asistencia!K174)</f>
        <v/>
      </c>
      <c r="BQ165" t="str">
        <f>IF(Asistencia!L174="","",Asistencia!L174)</f>
        <v/>
      </c>
    </row>
    <row r="166" spans="1:69" x14ac:dyDescent="0.25">
      <c r="A166" s="46"/>
      <c r="B166" s="47"/>
      <c r="C166" s="47"/>
      <c r="D166" s="47"/>
      <c r="E166" s="46"/>
      <c r="F166" s="45"/>
      <c r="G166" s="44"/>
      <c r="H166" s="44"/>
      <c r="I166" s="44"/>
      <c r="J166" s="44"/>
      <c r="K166" s="44"/>
      <c r="L166" s="44"/>
      <c r="M166" s="43"/>
      <c r="N166" s="41"/>
      <c r="O166" s="41"/>
      <c r="P166" s="41"/>
      <c r="Q166" s="41"/>
      <c r="R166" s="41"/>
      <c r="S166" s="41"/>
      <c r="T166" s="48"/>
      <c r="U166" s="41"/>
      <c r="V166" s="41"/>
      <c r="W166" s="42"/>
      <c r="AA166" t="str">
        <f t="shared" si="84"/>
        <v/>
      </c>
      <c r="AB166" t="str">
        <f>IF(Asistencia!A175="","",Asistencia!A175)</f>
        <v/>
      </c>
      <c r="AC166" t="str">
        <f>IF(Asistencia!A175="","",SUBSTITUTE(SUBSTITUTE(SUBSTITUTE(SUBSTITUTE(SUBSTITUTE(SUBSTITUTE(SUBSTITUTE(UPPER(TRIM(Asistencia!A175)),"Á","A"),"É","E"),"Í","I"),"Ó","O"),"Ú","U"),"Ñ","N"),"  "," "))</f>
        <v/>
      </c>
      <c r="AD166" t="str">
        <f>IF(Asistencia!E175="","",Asistencia!E175)</f>
        <v/>
      </c>
      <c r="AE166" t="str">
        <f>IF(Asistencia!D175="","",UPPER(TRIM(Asistencia!D175)))</f>
        <v/>
      </c>
      <c r="AF166" t="s">
        <v>194</v>
      </c>
      <c r="AG166">
        <f>IF(AND(AA166&lt;&gt;"",COUNTIF($AA$5:AA166,AA166)=1),1,0)</f>
        <v>0</v>
      </c>
      <c r="AH166" t="str">
        <f>IF(AG166=1,SUM($AG$5:AG166),"")</f>
        <v/>
      </c>
      <c r="AI166">
        <f>IF(OR(EXACT(Asistencia!F175,"A"),EXACT(Asistencia!F175,"R"),EXACT(Asistencia!F175,"DL"),EXACT(Asistencia!F175,"FL"),EXACT(Asistencia!F175,"FE"),EXACT(Asistencia!F175,"PCS"),EXACT(Asistencia!F175,"V")),1,0)</f>
        <v>0</v>
      </c>
      <c r="AJ166">
        <f>IF(OR(EXACT(Asistencia!G175,"A"),EXACT(Asistencia!G175,"R"),EXACT(Asistencia!G175,"DL"),EXACT(Asistencia!G175,"FL"),EXACT(Asistencia!G175,"FE"),EXACT(Asistencia!G175,"PCS"),EXACT(Asistencia!G175,"V")),1,0)</f>
        <v>0</v>
      </c>
      <c r="AK166">
        <f>IF(OR(EXACT(Asistencia!H175,"A"),EXACT(Asistencia!H175,"R"),EXACT(Asistencia!H175,"DL"),EXACT(Asistencia!H175,"FL"),EXACT(Asistencia!H175,"FE"),EXACT(Asistencia!H175,"PCS"),EXACT(Asistencia!H175,"V")),1,0)</f>
        <v>0</v>
      </c>
      <c r="AL166">
        <f>IF(OR(EXACT(Asistencia!I175,"A"),EXACT(Asistencia!I175,"R"),EXACT(Asistencia!I175,"DL"),EXACT(Asistencia!I175,"FL"),EXACT(Asistencia!I175,"FE"),EXACT(Asistencia!I175,"PCS"),EXACT(Asistencia!I175,"V")),1,0)</f>
        <v>0</v>
      </c>
      <c r="AM166">
        <f>IF(OR(EXACT(Asistencia!J175,"A"),EXACT(Asistencia!J175,"R"),EXACT(Asistencia!J175,"DL"),EXACT(Asistencia!J175,"FL"),EXACT(Asistencia!J175,"FE"),EXACT(Asistencia!J175,"PCS"),EXACT(Asistencia!J175,"V")),1,0)</f>
        <v>0</v>
      </c>
      <c r="AN166">
        <f>IF(OR(EXACT(Asistencia!K175,"A"),EXACT(Asistencia!K175,"R"),EXACT(Asistencia!K175,"DL"),EXACT(Asistencia!K175,"FL"),EXACT(Asistencia!K175,"FE"),EXACT(Asistencia!K175,"PCS"),EXACT(Asistencia!K175,"V")),1,0)</f>
        <v>0</v>
      </c>
      <c r="AO166">
        <f>IF(OR(EXACT(Asistencia!L175,"A"),EXACT(Asistencia!L175,"R"),EXACT(Asistencia!L175,"DL"),EXACT(Asistencia!L175,"FL"),EXACT(Asistencia!L175,"FE"),EXACT(Asistencia!L175,"PCS"),EXACT(Asistencia!L175,"V")),1,0)</f>
        <v>0</v>
      </c>
      <c r="AP166">
        <f t="shared" si="85"/>
        <v>0</v>
      </c>
      <c r="AQ166">
        <f>IF(EXACT(Asistencia!F175,"FL"),1,0)</f>
        <v>0</v>
      </c>
      <c r="AR166">
        <f>IF(EXACT(Asistencia!G175,"FL"),1,0)</f>
        <v>0</v>
      </c>
      <c r="AS166">
        <f>IF(EXACT(Asistencia!H175,"FL"),1,0)</f>
        <v>0</v>
      </c>
      <c r="AT166">
        <f>IF(EXACT(Asistencia!I175,"FL"),1,0)</f>
        <v>0</v>
      </c>
      <c r="AU166">
        <f>IF(EXACT(Asistencia!J175,"FL"),1,0)</f>
        <v>0</v>
      </c>
      <c r="AV166">
        <f>IF(EXACT(Asistencia!K175,"FL"),1,0)</f>
        <v>0</v>
      </c>
      <c r="AW166">
        <f>IF(EXACT(Asistencia!L175,"FL"),1,0)</f>
        <v>0</v>
      </c>
      <c r="AX166">
        <f t="shared" si="86"/>
        <v>0</v>
      </c>
      <c r="AY166">
        <f>IF(EXACT(Asistencia!F175,"DL"),1,0)</f>
        <v>0</v>
      </c>
      <c r="AZ166">
        <f>IF(EXACT(Asistencia!G175,"DL"),1,0)</f>
        <v>0</v>
      </c>
      <c r="BA166">
        <f>IF(EXACT(Asistencia!H175,"DL"),1,0)</f>
        <v>0</v>
      </c>
      <c r="BB166">
        <f>IF(EXACT(Asistencia!I175,"DL"),1,0)</f>
        <v>0</v>
      </c>
      <c r="BC166">
        <f>IF(EXACT(Asistencia!J175,"DL"),1,0)</f>
        <v>0</v>
      </c>
      <c r="BD166">
        <f>IF(EXACT(Asistencia!K175,"DL"),1,0)</f>
        <v>0</v>
      </c>
      <c r="BE166">
        <f>IF(EXACT(Asistencia!L175,"DL"),1,0)</f>
        <v>0</v>
      </c>
      <c r="BF166">
        <f t="shared" si="87"/>
        <v>0</v>
      </c>
      <c r="BG166">
        <f>IF(ISNUMBER(Asistencia!M175),Asistencia!M175,0)</f>
        <v>0</v>
      </c>
      <c r="BH166">
        <f>IF(ISNUMBER(Asistencia!N175),Asistencia!N175,0)</f>
        <v>0</v>
      </c>
      <c r="BI166">
        <f>IF(ISNUMBER(Asistencia!O175),Asistencia!O175,0)</f>
        <v>0</v>
      </c>
      <c r="BJ166">
        <f>IF(ISNUMBER(Asistencia!P175),Asistencia!P175,0)</f>
        <v>0</v>
      </c>
      <c r="BK166" t="str">
        <f>IF(Asistencia!F175="","",Asistencia!F175)</f>
        <v/>
      </c>
      <c r="BL166" t="str">
        <f>IF(Asistencia!G175="","",Asistencia!G175)</f>
        <v/>
      </c>
      <c r="BM166" t="str">
        <f>IF(Asistencia!H175="","",Asistencia!H175)</f>
        <v/>
      </c>
      <c r="BN166" t="str">
        <f>IF(Asistencia!I175="","",Asistencia!I175)</f>
        <v/>
      </c>
      <c r="BO166" t="str">
        <f>IF(Asistencia!J175="","",Asistencia!J175)</f>
        <v/>
      </c>
      <c r="BP166" t="str">
        <f>IF(Asistencia!K175="","",Asistencia!K175)</f>
        <v/>
      </c>
      <c r="BQ166" t="str">
        <f>IF(Asistencia!L175="","",Asistencia!L175)</f>
        <v/>
      </c>
    </row>
    <row r="167" spans="1:69" x14ac:dyDescent="0.25">
      <c r="A167" s="46"/>
      <c r="B167" s="47"/>
      <c r="C167" s="47"/>
      <c r="D167" s="47"/>
      <c r="E167" s="46"/>
      <c r="F167" s="45"/>
      <c r="G167" s="44"/>
      <c r="H167" s="44"/>
      <c r="I167" s="44"/>
      <c r="J167" s="44"/>
      <c r="K167" s="44"/>
      <c r="L167" s="44"/>
      <c r="M167" s="43"/>
      <c r="N167" s="41"/>
      <c r="O167" s="41"/>
      <c r="P167" s="41"/>
      <c r="Q167" s="41"/>
      <c r="R167" s="41"/>
      <c r="S167" s="41"/>
      <c r="T167" s="48"/>
      <c r="U167" s="41"/>
      <c r="V167" s="41"/>
      <c r="W167" s="42"/>
      <c r="AA167" t="str">
        <f t="shared" si="84"/>
        <v/>
      </c>
      <c r="AB167" t="str">
        <f>IF(Asistencia!A176="","",Asistencia!A176)</f>
        <v/>
      </c>
      <c r="AC167" t="str">
        <f>IF(Asistencia!A176="","",SUBSTITUTE(SUBSTITUTE(SUBSTITUTE(SUBSTITUTE(SUBSTITUTE(SUBSTITUTE(SUBSTITUTE(UPPER(TRIM(Asistencia!A176)),"Á","A"),"É","E"),"Í","I"),"Ó","O"),"Ú","U"),"Ñ","N"),"  "," "))</f>
        <v/>
      </c>
      <c r="AD167" t="str">
        <f>IF(Asistencia!E176="","",Asistencia!E176)</f>
        <v/>
      </c>
      <c r="AE167" t="str">
        <f>IF(Asistencia!D176="","",UPPER(TRIM(Asistencia!D176)))</f>
        <v/>
      </c>
      <c r="AF167" t="s">
        <v>194</v>
      </c>
      <c r="AG167">
        <f>IF(AND(AA167&lt;&gt;"",COUNTIF($AA$5:AA167,AA167)=1),1,0)</f>
        <v>0</v>
      </c>
      <c r="AH167" t="str">
        <f>IF(AG167=1,SUM($AG$5:AG167),"")</f>
        <v/>
      </c>
      <c r="AI167">
        <f>IF(OR(EXACT(Asistencia!F176,"A"),EXACT(Asistencia!F176,"R"),EXACT(Asistencia!F176,"DL"),EXACT(Asistencia!F176,"FL"),EXACT(Asistencia!F176,"FE"),EXACT(Asistencia!F176,"PCS"),EXACT(Asistencia!F176,"V")),1,0)</f>
        <v>0</v>
      </c>
      <c r="AJ167">
        <f>IF(OR(EXACT(Asistencia!G176,"A"),EXACT(Asistencia!G176,"R"),EXACT(Asistencia!G176,"DL"),EXACT(Asistencia!G176,"FL"),EXACT(Asistencia!G176,"FE"),EXACT(Asistencia!G176,"PCS"),EXACT(Asistencia!G176,"V")),1,0)</f>
        <v>0</v>
      </c>
      <c r="AK167">
        <f>IF(OR(EXACT(Asistencia!H176,"A"),EXACT(Asistencia!H176,"R"),EXACT(Asistencia!H176,"DL"),EXACT(Asistencia!H176,"FL"),EXACT(Asistencia!H176,"FE"),EXACT(Asistencia!H176,"PCS"),EXACT(Asistencia!H176,"V")),1,0)</f>
        <v>0</v>
      </c>
      <c r="AL167">
        <f>IF(OR(EXACT(Asistencia!I176,"A"),EXACT(Asistencia!I176,"R"),EXACT(Asistencia!I176,"DL"),EXACT(Asistencia!I176,"FL"),EXACT(Asistencia!I176,"FE"),EXACT(Asistencia!I176,"PCS"),EXACT(Asistencia!I176,"V")),1,0)</f>
        <v>0</v>
      </c>
      <c r="AM167">
        <f>IF(OR(EXACT(Asistencia!J176,"A"),EXACT(Asistencia!J176,"R"),EXACT(Asistencia!J176,"DL"),EXACT(Asistencia!J176,"FL"),EXACT(Asistencia!J176,"FE"),EXACT(Asistencia!J176,"PCS"),EXACT(Asistencia!J176,"V")),1,0)</f>
        <v>0</v>
      </c>
      <c r="AN167">
        <f>IF(OR(EXACT(Asistencia!K176,"A"),EXACT(Asistencia!K176,"R"),EXACT(Asistencia!K176,"DL"),EXACT(Asistencia!K176,"FL"),EXACT(Asistencia!K176,"FE"),EXACT(Asistencia!K176,"PCS"),EXACT(Asistencia!K176,"V")),1,0)</f>
        <v>0</v>
      </c>
      <c r="AO167">
        <f>IF(OR(EXACT(Asistencia!L176,"A"),EXACT(Asistencia!L176,"R"),EXACT(Asistencia!L176,"DL"),EXACT(Asistencia!L176,"FL"),EXACT(Asistencia!L176,"FE"),EXACT(Asistencia!L176,"PCS"),EXACT(Asistencia!L176,"V")),1,0)</f>
        <v>0</v>
      </c>
      <c r="AP167">
        <f t="shared" si="85"/>
        <v>0</v>
      </c>
      <c r="AQ167">
        <f>IF(EXACT(Asistencia!F176,"FL"),1,0)</f>
        <v>0</v>
      </c>
      <c r="AR167">
        <f>IF(EXACT(Asistencia!G176,"FL"),1,0)</f>
        <v>0</v>
      </c>
      <c r="AS167">
        <f>IF(EXACT(Asistencia!H176,"FL"),1,0)</f>
        <v>0</v>
      </c>
      <c r="AT167">
        <f>IF(EXACT(Asistencia!I176,"FL"),1,0)</f>
        <v>0</v>
      </c>
      <c r="AU167">
        <f>IF(EXACT(Asistencia!J176,"FL"),1,0)</f>
        <v>0</v>
      </c>
      <c r="AV167">
        <f>IF(EXACT(Asistencia!K176,"FL"),1,0)</f>
        <v>0</v>
      </c>
      <c r="AW167">
        <f>IF(EXACT(Asistencia!L176,"FL"),1,0)</f>
        <v>0</v>
      </c>
      <c r="AX167">
        <f t="shared" si="86"/>
        <v>0</v>
      </c>
      <c r="AY167">
        <f>IF(EXACT(Asistencia!F176,"DL"),1,0)</f>
        <v>0</v>
      </c>
      <c r="AZ167">
        <f>IF(EXACT(Asistencia!G176,"DL"),1,0)</f>
        <v>0</v>
      </c>
      <c r="BA167">
        <f>IF(EXACT(Asistencia!H176,"DL"),1,0)</f>
        <v>0</v>
      </c>
      <c r="BB167">
        <f>IF(EXACT(Asistencia!I176,"DL"),1,0)</f>
        <v>0</v>
      </c>
      <c r="BC167">
        <f>IF(EXACT(Asistencia!J176,"DL"),1,0)</f>
        <v>0</v>
      </c>
      <c r="BD167">
        <f>IF(EXACT(Asistencia!K176,"DL"),1,0)</f>
        <v>0</v>
      </c>
      <c r="BE167">
        <f>IF(EXACT(Asistencia!L176,"DL"),1,0)</f>
        <v>0</v>
      </c>
      <c r="BF167">
        <f t="shared" si="87"/>
        <v>0</v>
      </c>
      <c r="BG167">
        <f>IF(ISNUMBER(Asistencia!M176),Asistencia!M176,0)</f>
        <v>0</v>
      </c>
      <c r="BH167">
        <f>IF(ISNUMBER(Asistencia!N176),Asistencia!N176,0)</f>
        <v>0</v>
      </c>
      <c r="BI167">
        <f>IF(ISNUMBER(Asistencia!O176),Asistencia!O176,0)</f>
        <v>0</v>
      </c>
      <c r="BJ167">
        <f>IF(ISNUMBER(Asistencia!P176),Asistencia!P176,0)</f>
        <v>0</v>
      </c>
      <c r="BK167" t="str">
        <f>IF(Asistencia!F176="","",Asistencia!F176)</f>
        <v/>
      </c>
      <c r="BL167" t="str">
        <f>IF(Asistencia!G176="","",Asistencia!G176)</f>
        <v/>
      </c>
      <c r="BM167" t="str">
        <f>IF(Asistencia!H176="","",Asistencia!H176)</f>
        <v/>
      </c>
      <c r="BN167" t="str">
        <f>IF(Asistencia!I176="","",Asistencia!I176)</f>
        <v/>
      </c>
      <c r="BO167" t="str">
        <f>IF(Asistencia!J176="","",Asistencia!J176)</f>
        <v/>
      </c>
      <c r="BP167" t="str">
        <f>IF(Asistencia!K176="","",Asistencia!K176)</f>
        <v/>
      </c>
      <c r="BQ167" t="str">
        <f>IF(Asistencia!L176="","",Asistencia!L176)</f>
        <v/>
      </c>
    </row>
    <row r="168" spans="1:69" x14ac:dyDescent="0.25">
      <c r="A168" s="46"/>
      <c r="B168" s="47"/>
      <c r="C168" s="47"/>
      <c r="D168" s="47"/>
      <c r="E168" s="46"/>
      <c r="F168" s="45"/>
      <c r="G168" s="44"/>
      <c r="H168" s="44"/>
      <c r="I168" s="44"/>
      <c r="J168" s="44"/>
      <c r="K168" s="44"/>
      <c r="L168" s="44"/>
      <c r="M168" s="43"/>
      <c r="N168" s="41"/>
      <c r="O168" s="41"/>
      <c r="P168" s="41"/>
      <c r="Q168" s="41"/>
      <c r="R168" s="41"/>
      <c r="S168" s="41"/>
      <c r="T168" s="48"/>
      <c r="U168" s="41"/>
      <c r="V168" s="41"/>
      <c r="W168" s="42"/>
      <c r="AA168" t="str">
        <f t="shared" si="84"/>
        <v/>
      </c>
      <c r="AB168" t="str">
        <f>IF(Asistencia!A177="","",Asistencia!A177)</f>
        <v/>
      </c>
      <c r="AC168" t="str">
        <f>IF(Asistencia!A177="","",SUBSTITUTE(SUBSTITUTE(SUBSTITUTE(SUBSTITUTE(SUBSTITUTE(SUBSTITUTE(SUBSTITUTE(UPPER(TRIM(Asistencia!A177)),"Á","A"),"É","E"),"Í","I"),"Ó","O"),"Ú","U"),"Ñ","N"),"  "," "))</f>
        <v/>
      </c>
      <c r="AD168" t="str">
        <f>IF(Asistencia!E177="","",Asistencia!E177)</f>
        <v/>
      </c>
      <c r="AE168" t="str">
        <f>IF(Asistencia!D177="","",UPPER(TRIM(Asistencia!D177)))</f>
        <v/>
      </c>
      <c r="AF168" t="s">
        <v>194</v>
      </c>
      <c r="AG168">
        <f>IF(AND(AA168&lt;&gt;"",COUNTIF($AA$5:AA168,AA168)=1),1,0)</f>
        <v>0</v>
      </c>
      <c r="AH168" t="str">
        <f>IF(AG168=1,SUM($AG$5:AG168),"")</f>
        <v/>
      </c>
      <c r="AI168">
        <f>IF(OR(EXACT(Asistencia!F177,"A"),EXACT(Asistencia!F177,"R"),EXACT(Asistencia!F177,"DL"),EXACT(Asistencia!F177,"FL"),EXACT(Asistencia!F177,"FE"),EXACT(Asistencia!F177,"PCS"),EXACT(Asistencia!F177,"V")),1,0)</f>
        <v>0</v>
      </c>
      <c r="AJ168">
        <f>IF(OR(EXACT(Asistencia!G177,"A"),EXACT(Asistencia!G177,"R"),EXACT(Asistencia!G177,"DL"),EXACT(Asistencia!G177,"FL"),EXACT(Asistencia!G177,"FE"),EXACT(Asistencia!G177,"PCS"),EXACT(Asistencia!G177,"V")),1,0)</f>
        <v>0</v>
      </c>
      <c r="AK168">
        <f>IF(OR(EXACT(Asistencia!H177,"A"),EXACT(Asistencia!H177,"R"),EXACT(Asistencia!H177,"DL"),EXACT(Asistencia!H177,"FL"),EXACT(Asistencia!H177,"FE"),EXACT(Asistencia!H177,"PCS"),EXACT(Asistencia!H177,"V")),1,0)</f>
        <v>0</v>
      </c>
      <c r="AL168">
        <f>IF(OR(EXACT(Asistencia!I177,"A"),EXACT(Asistencia!I177,"R"),EXACT(Asistencia!I177,"DL"),EXACT(Asistencia!I177,"FL"),EXACT(Asistencia!I177,"FE"),EXACT(Asistencia!I177,"PCS"),EXACT(Asistencia!I177,"V")),1,0)</f>
        <v>0</v>
      </c>
      <c r="AM168">
        <f>IF(OR(EXACT(Asistencia!J177,"A"),EXACT(Asistencia!J177,"R"),EXACT(Asistencia!J177,"DL"),EXACT(Asistencia!J177,"FL"),EXACT(Asistencia!J177,"FE"),EXACT(Asistencia!J177,"PCS"),EXACT(Asistencia!J177,"V")),1,0)</f>
        <v>0</v>
      </c>
      <c r="AN168">
        <f>IF(OR(EXACT(Asistencia!K177,"A"),EXACT(Asistencia!K177,"R"),EXACT(Asistencia!K177,"DL"),EXACT(Asistencia!K177,"FL"),EXACT(Asistencia!K177,"FE"),EXACT(Asistencia!K177,"PCS"),EXACT(Asistencia!K177,"V")),1,0)</f>
        <v>0</v>
      </c>
      <c r="AO168">
        <f>IF(OR(EXACT(Asistencia!L177,"A"),EXACT(Asistencia!L177,"R"),EXACT(Asistencia!L177,"DL"),EXACT(Asistencia!L177,"FL"),EXACT(Asistencia!L177,"FE"),EXACT(Asistencia!L177,"PCS"),EXACT(Asistencia!L177,"V")),1,0)</f>
        <v>0</v>
      </c>
      <c r="AP168">
        <f t="shared" si="85"/>
        <v>0</v>
      </c>
      <c r="AQ168">
        <f>IF(EXACT(Asistencia!F177,"FL"),1,0)</f>
        <v>0</v>
      </c>
      <c r="AR168">
        <f>IF(EXACT(Asistencia!G177,"FL"),1,0)</f>
        <v>0</v>
      </c>
      <c r="AS168">
        <f>IF(EXACT(Asistencia!H177,"FL"),1,0)</f>
        <v>0</v>
      </c>
      <c r="AT168">
        <f>IF(EXACT(Asistencia!I177,"FL"),1,0)</f>
        <v>0</v>
      </c>
      <c r="AU168">
        <f>IF(EXACT(Asistencia!J177,"FL"),1,0)</f>
        <v>0</v>
      </c>
      <c r="AV168">
        <f>IF(EXACT(Asistencia!K177,"FL"),1,0)</f>
        <v>0</v>
      </c>
      <c r="AW168">
        <f>IF(EXACT(Asistencia!L177,"FL"),1,0)</f>
        <v>0</v>
      </c>
      <c r="AX168">
        <f t="shared" si="86"/>
        <v>0</v>
      </c>
      <c r="AY168">
        <f>IF(EXACT(Asistencia!F177,"DL"),1,0)</f>
        <v>0</v>
      </c>
      <c r="AZ168">
        <f>IF(EXACT(Asistencia!G177,"DL"),1,0)</f>
        <v>0</v>
      </c>
      <c r="BA168">
        <f>IF(EXACT(Asistencia!H177,"DL"),1,0)</f>
        <v>0</v>
      </c>
      <c r="BB168">
        <f>IF(EXACT(Asistencia!I177,"DL"),1,0)</f>
        <v>0</v>
      </c>
      <c r="BC168">
        <f>IF(EXACT(Asistencia!J177,"DL"),1,0)</f>
        <v>0</v>
      </c>
      <c r="BD168">
        <f>IF(EXACT(Asistencia!K177,"DL"),1,0)</f>
        <v>0</v>
      </c>
      <c r="BE168">
        <f>IF(EXACT(Asistencia!L177,"DL"),1,0)</f>
        <v>0</v>
      </c>
      <c r="BF168">
        <f t="shared" si="87"/>
        <v>0</v>
      </c>
      <c r="BG168">
        <f>IF(ISNUMBER(Asistencia!M177),Asistencia!M177,0)</f>
        <v>0</v>
      </c>
      <c r="BH168">
        <f>IF(ISNUMBER(Asistencia!N177),Asistencia!N177,0)</f>
        <v>0</v>
      </c>
      <c r="BI168">
        <f>IF(ISNUMBER(Asistencia!O177),Asistencia!O177,0)</f>
        <v>0</v>
      </c>
      <c r="BJ168">
        <f>IF(ISNUMBER(Asistencia!P177),Asistencia!P177,0)</f>
        <v>0</v>
      </c>
      <c r="BK168" t="str">
        <f>IF(Asistencia!F177="","",Asistencia!F177)</f>
        <v/>
      </c>
      <c r="BL168" t="str">
        <f>IF(Asistencia!G177="","",Asistencia!G177)</f>
        <v/>
      </c>
      <c r="BM168" t="str">
        <f>IF(Asistencia!H177="","",Asistencia!H177)</f>
        <v/>
      </c>
      <c r="BN168" t="str">
        <f>IF(Asistencia!I177="","",Asistencia!I177)</f>
        <v/>
      </c>
      <c r="BO168" t="str">
        <f>IF(Asistencia!J177="","",Asistencia!J177)</f>
        <v/>
      </c>
      <c r="BP168" t="str">
        <f>IF(Asistencia!K177="","",Asistencia!K177)</f>
        <v/>
      </c>
      <c r="BQ168" t="str">
        <f>IF(Asistencia!L177="","",Asistencia!L177)</f>
        <v/>
      </c>
    </row>
    <row r="169" spans="1:69" x14ac:dyDescent="0.25">
      <c r="A169" s="46"/>
      <c r="B169" s="47"/>
      <c r="C169" s="47"/>
      <c r="D169" s="47"/>
      <c r="E169" s="46"/>
      <c r="F169" s="45"/>
      <c r="G169" s="44"/>
      <c r="H169" s="44"/>
      <c r="I169" s="44"/>
      <c r="J169" s="44"/>
      <c r="K169" s="44"/>
      <c r="L169" s="44"/>
      <c r="M169" s="43"/>
      <c r="N169" s="41"/>
      <c r="O169" s="41"/>
      <c r="P169" s="41"/>
      <c r="Q169" s="41"/>
      <c r="R169" s="41"/>
      <c r="S169" s="41"/>
      <c r="T169" s="48"/>
      <c r="U169" s="41"/>
      <c r="V169" s="41"/>
      <c r="W169" s="42"/>
      <c r="AA169" t="str">
        <f t="shared" si="84"/>
        <v/>
      </c>
      <c r="AB169" t="str">
        <f>IF(Asistencia!A178="","",Asistencia!A178)</f>
        <v/>
      </c>
      <c r="AC169" t="str">
        <f>IF(Asistencia!A178="","",SUBSTITUTE(SUBSTITUTE(SUBSTITUTE(SUBSTITUTE(SUBSTITUTE(SUBSTITUTE(SUBSTITUTE(UPPER(TRIM(Asistencia!A178)),"Á","A"),"É","E"),"Í","I"),"Ó","O"),"Ú","U"),"Ñ","N"),"  "," "))</f>
        <v/>
      </c>
      <c r="AD169" t="str">
        <f>IF(Asistencia!E178="","",Asistencia!E178)</f>
        <v/>
      </c>
      <c r="AE169" t="str">
        <f>IF(Asistencia!D178="","",UPPER(TRIM(Asistencia!D178)))</f>
        <v/>
      </c>
      <c r="AF169" t="s">
        <v>194</v>
      </c>
      <c r="AG169">
        <f>IF(AND(AA169&lt;&gt;"",COUNTIF($AA$5:AA169,AA169)=1),1,0)</f>
        <v>0</v>
      </c>
      <c r="AH169" t="str">
        <f>IF(AG169=1,SUM($AG$5:AG169),"")</f>
        <v/>
      </c>
      <c r="AI169">
        <f>IF(OR(EXACT(Asistencia!F178,"A"),EXACT(Asistencia!F178,"R"),EXACT(Asistencia!F178,"DL"),EXACT(Asistencia!F178,"FL"),EXACT(Asistencia!F178,"FE"),EXACT(Asistencia!F178,"PCS"),EXACT(Asistencia!F178,"V")),1,0)</f>
        <v>0</v>
      </c>
      <c r="AJ169">
        <f>IF(OR(EXACT(Asistencia!G178,"A"),EXACT(Asistencia!G178,"R"),EXACT(Asistencia!G178,"DL"),EXACT(Asistencia!G178,"FL"),EXACT(Asistencia!G178,"FE"),EXACT(Asistencia!G178,"PCS"),EXACT(Asistencia!G178,"V")),1,0)</f>
        <v>0</v>
      </c>
      <c r="AK169">
        <f>IF(OR(EXACT(Asistencia!H178,"A"),EXACT(Asistencia!H178,"R"),EXACT(Asistencia!H178,"DL"),EXACT(Asistencia!H178,"FL"),EXACT(Asistencia!H178,"FE"),EXACT(Asistencia!H178,"PCS"),EXACT(Asistencia!H178,"V")),1,0)</f>
        <v>0</v>
      </c>
      <c r="AL169">
        <f>IF(OR(EXACT(Asistencia!I178,"A"),EXACT(Asistencia!I178,"R"),EXACT(Asistencia!I178,"DL"),EXACT(Asistencia!I178,"FL"),EXACT(Asistencia!I178,"FE"),EXACT(Asistencia!I178,"PCS"),EXACT(Asistencia!I178,"V")),1,0)</f>
        <v>0</v>
      </c>
      <c r="AM169">
        <f>IF(OR(EXACT(Asistencia!J178,"A"),EXACT(Asistencia!J178,"R"),EXACT(Asistencia!J178,"DL"),EXACT(Asistencia!J178,"FL"),EXACT(Asistencia!J178,"FE"),EXACT(Asistencia!J178,"PCS"),EXACT(Asistencia!J178,"V")),1,0)</f>
        <v>0</v>
      </c>
      <c r="AN169">
        <f>IF(OR(EXACT(Asistencia!K178,"A"),EXACT(Asistencia!K178,"R"),EXACT(Asistencia!K178,"DL"),EXACT(Asistencia!K178,"FL"),EXACT(Asistencia!K178,"FE"),EXACT(Asistencia!K178,"PCS"),EXACT(Asistencia!K178,"V")),1,0)</f>
        <v>0</v>
      </c>
      <c r="AO169">
        <f>IF(OR(EXACT(Asistencia!L178,"A"),EXACT(Asistencia!L178,"R"),EXACT(Asistencia!L178,"DL"),EXACT(Asistencia!L178,"FL"),EXACT(Asistencia!L178,"FE"),EXACT(Asistencia!L178,"PCS"),EXACT(Asistencia!L178,"V")),1,0)</f>
        <v>0</v>
      </c>
      <c r="AP169">
        <f t="shared" si="85"/>
        <v>0</v>
      </c>
      <c r="AQ169">
        <f>IF(EXACT(Asistencia!F178,"FL"),1,0)</f>
        <v>0</v>
      </c>
      <c r="AR169">
        <f>IF(EXACT(Asistencia!G178,"FL"),1,0)</f>
        <v>0</v>
      </c>
      <c r="AS169">
        <f>IF(EXACT(Asistencia!H178,"FL"),1,0)</f>
        <v>0</v>
      </c>
      <c r="AT169">
        <f>IF(EXACT(Asistencia!I178,"FL"),1,0)</f>
        <v>0</v>
      </c>
      <c r="AU169">
        <f>IF(EXACT(Asistencia!J178,"FL"),1,0)</f>
        <v>0</v>
      </c>
      <c r="AV169">
        <f>IF(EXACT(Asistencia!K178,"FL"),1,0)</f>
        <v>0</v>
      </c>
      <c r="AW169">
        <f>IF(EXACT(Asistencia!L178,"FL"),1,0)</f>
        <v>0</v>
      </c>
      <c r="AX169">
        <f t="shared" si="86"/>
        <v>0</v>
      </c>
      <c r="AY169">
        <f>IF(EXACT(Asistencia!F178,"DL"),1,0)</f>
        <v>0</v>
      </c>
      <c r="AZ169">
        <f>IF(EXACT(Asistencia!G178,"DL"),1,0)</f>
        <v>0</v>
      </c>
      <c r="BA169">
        <f>IF(EXACT(Asistencia!H178,"DL"),1,0)</f>
        <v>0</v>
      </c>
      <c r="BB169">
        <f>IF(EXACT(Asistencia!I178,"DL"),1,0)</f>
        <v>0</v>
      </c>
      <c r="BC169">
        <f>IF(EXACT(Asistencia!J178,"DL"),1,0)</f>
        <v>0</v>
      </c>
      <c r="BD169">
        <f>IF(EXACT(Asistencia!K178,"DL"),1,0)</f>
        <v>0</v>
      </c>
      <c r="BE169">
        <f>IF(EXACT(Asistencia!L178,"DL"),1,0)</f>
        <v>0</v>
      </c>
      <c r="BF169">
        <f t="shared" si="87"/>
        <v>0</v>
      </c>
      <c r="BG169">
        <f>IF(ISNUMBER(Asistencia!M178),Asistencia!M178,0)</f>
        <v>0</v>
      </c>
      <c r="BH169">
        <f>IF(ISNUMBER(Asistencia!N178),Asistencia!N178,0)</f>
        <v>0</v>
      </c>
      <c r="BI169">
        <f>IF(ISNUMBER(Asistencia!O178),Asistencia!O178,0)</f>
        <v>0</v>
      </c>
      <c r="BJ169">
        <f>IF(ISNUMBER(Asistencia!P178),Asistencia!P178,0)</f>
        <v>0</v>
      </c>
      <c r="BK169" t="str">
        <f>IF(Asistencia!F178="","",Asistencia!F178)</f>
        <v/>
      </c>
      <c r="BL169" t="str">
        <f>IF(Asistencia!G178="","",Asistencia!G178)</f>
        <v/>
      </c>
      <c r="BM169" t="str">
        <f>IF(Asistencia!H178="","",Asistencia!H178)</f>
        <v/>
      </c>
      <c r="BN169" t="str">
        <f>IF(Asistencia!I178="","",Asistencia!I178)</f>
        <v/>
      </c>
      <c r="BO169" t="str">
        <f>IF(Asistencia!J178="","",Asistencia!J178)</f>
        <v/>
      </c>
      <c r="BP169" t="str">
        <f>IF(Asistencia!K178="","",Asistencia!K178)</f>
        <v/>
      </c>
      <c r="BQ169" t="str">
        <f>IF(Asistencia!L178="","",Asistencia!L178)</f>
        <v/>
      </c>
    </row>
    <row r="170" spans="1:69" x14ac:dyDescent="0.25">
      <c r="A170" s="46"/>
      <c r="B170" s="47"/>
      <c r="C170" s="47"/>
      <c r="D170" s="47"/>
      <c r="E170" s="46"/>
      <c r="F170" s="45"/>
      <c r="G170" s="44"/>
      <c r="H170" s="44"/>
      <c r="I170" s="44"/>
      <c r="J170" s="44"/>
      <c r="K170" s="44"/>
      <c r="L170" s="44"/>
      <c r="M170" s="43"/>
      <c r="N170" s="41"/>
      <c r="O170" s="41"/>
      <c r="P170" s="41"/>
      <c r="Q170" s="41"/>
      <c r="R170" s="41"/>
      <c r="S170" s="41"/>
      <c r="T170" s="48"/>
      <c r="U170" s="41"/>
      <c r="V170" s="41"/>
      <c r="W170" s="42"/>
      <c r="AA170" t="str">
        <f t="shared" si="84"/>
        <v/>
      </c>
      <c r="AB170" t="str">
        <f>IF(Asistencia!A179="","",Asistencia!A179)</f>
        <v/>
      </c>
      <c r="AC170" t="str">
        <f>IF(Asistencia!A179="","",SUBSTITUTE(SUBSTITUTE(SUBSTITUTE(SUBSTITUTE(SUBSTITUTE(SUBSTITUTE(SUBSTITUTE(UPPER(TRIM(Asistencia!A179)),"Á","A"),"É","E"),"Í","I"),"Ó","O"),"Ú","U"),"Ñ","N"),"  "," "))</f>
        <v/>
      </c>
      <c r="AD170" t="str">
        <f>IF(Asistencia!E179="","",Asistencia!E179)</f>
        <v/>
      </c>
      <c r="AE170" t="str">
        <f>IF(Asistencia!D179="","",UPPER(TRIM(Asistencia!D179)))</f>
        <v/>
      </c>
      <c r="AF170" t="s">
        <v>194</v>
      </c>
      <c r="AG170">
        <f>IF(AND(AA170&lt;&gt;"",COUNTIF($AA$5:AA170,AA170)=1),1,0)</f>
        <v>0</v>
      </c>
      <c r="AH170" t="str">
        <f>IF(AG170=1,SUM($AG$5:AG170),"")</f>
        <v/>
      </c>
      <c r="AI170">
        <f>IF(OR(EXACT(Asistencia!F179,"A"),EXACT(Asistencia!F179,"R"),EXACT(Asistencia!F179,"DL"),EXACT(Asistencia!F179,"FL"),EXACT(Asistencia!F179,"FE"),EXACT(Asistencia!F179,"PCS"),EXACT(Asistencia!F179,"V")),1,0)</f>
        <v>0</v>
      </c>
      <c r="AJ170">
        <f>IF(OR(EXACT(Asistencia!G179,"A"),EXACT(Asistencia!G179,"R"),EXACT(Asistencia!G179,"DL"),EXACT(Asistencia!G179,"FL"),EXACT(Asistencia!G179,"FE"),EXACT(Asistencia!G179,"PCS"),EXACT(Asistencia!G179,"V")),1,0)</f>
        <v>0</v>
      </c>
      <c r="AK170">
        <f>IF(OR(EXACT(Asistencia!H179,"A"),EXACT(Asistencia!H179,"R"),EXACT(Asistencia!H179,"DL"),EXACT(Asistencia!H179,"FL"),EXACT(Asistencia!H179,"FE"),EXACT(Asistencia!H179,"PCS"),EXACT(Asistencia!H179,"V")),1,0)</f>
        <v>0</v>
      </c>
      <c r="AL170">
        <f>IF(OR(EXACT(Asistencia!I179,"A"),EXACT(Asistencia!I179,"R"),EXACT(Asistencia!I179,"DL"),EXACT(Asistencia!I179,"FL"),EXACT(Asistencia!I179,"FE"),EXACT(Asistencia!I179,"PCS"),EXACT(Asistencia!I179,"V")),1,0)</f>
        <v>0</v>
      </c>
      <c r="AM170">
        <f>IF(OR(EXACT(Asistencia!J179,"A"),EXACT(Asistencia!J179,"R"),EXACT(Asistencia!J179,"DL"),EXACT(Asistencia!J179,"FL"),EXACT(Asistencia!J179,"FE"),EXACT(Asistencia!J179,"PCS"),EXACT(Asistencia!J179,"V")),1,0)</f>
        <v>0</v>
      </c>
      <c r="AN170">
        <f>IF(OR(EXACT(Asistencia!K179,"A"),EXACT(Asistencia!K179,"R"),EXACT(Asistencia!K179,"DL"),EXACT(Asistencia!K179,"FL"),EXACT(Asistencia!K179,"FE"),EXACT(Asistencia!K179,"PCS"),EXACT(Asistencia!K179,"V")),1,0)</f>
        <v>0</v>
      </c>
      <c r="AO170">
        <f>IF(OR(EXACT(Asistencia!L179,"A"),EXACT(Asistencia!L179,"R"),EXACT(Asistencia!L179,"DL"),EXACT(Asistencia!L179,"FL"),EXACT(Asistencia!L179,"FE"),EXACT(Asistencia!L179,"PCS"),EXACT(Asistencia!L179,"V")),1,0)</f>
        <v>0</v>
      </c>
      <c r="AP170">
        <f t="shared" si="85"/>
        <v>0</v>
      </c>
      <c r="AQ170">
        <f>IF(EXACT(Asistencia!F179,"FL"),1,0)</f>
        <v>0</v>
      </c>
      <c r="AR170">
        <f>IF(EXACT(Asistencia!G179,"FL"),1,0)</f>
        <v>0</v>
      </c>
      <c r="AS170">
        <f>IF(EXACT(Asistencia!H179,"FL"),1,0)</f>
        <v>0</v>
      </c>
      <c r="AT170">
        <f>IF(EXACT(Asistencia!I179,"FL"),1,0)</f>
        <v>0</v>
      </c>
      <c r="AU170">
        <f>IF(EXACT(Asistencia!J179,"FL"),1,0)</f>
        <v>0</v>
      </c>
      <c r="AV170">
        <f>IF(EXACT(Asistencia!K179,"FL"),1,0)</f>
        <v>0</v>
      </c>
      <c r="AW170">
        <f>IF(EXACT(Asistencia!L179,"FL"),1,0)</f>
        <v>0</v>
      </c>
      <c r="AX170">
        <f t="shared" si="86"/>
        <v>0</v>
      </c>
      <c r="AY170">
        <f>IF(EXACT(Asistencia!F179,"DL"),1,0)</f>
        <v>0</v>
      </c>
      <c r="AZ170">
        <f>IF(EXACT(Asistencia!G179,"DL"),1,0)</f>
        <v>0</v>
      </c>
      <c r="BA170">
        <f>IF(EXACT(Asistencia!H179,"DL"),1,0)</f>
        <v>0</v>
      </c>
      <c r="BB170">
        <f>IF(EXACT(Asistencia!I179,"DL"),1,0)</f>
        <v>0</v>
      </c>
      <c r="BC170">
        <f>IF(EXACT(Asistencia!J179,"DL"),1,0)</f>
        <v>0</v>
      </c>
      <c r="BD170">
        <f>IF(EXACT(Asistencia!K179,"DL"),1,0)</f>
        <v>0</v>
      </c>
      <c r="BE170">
        <f>IF(EXACT(Asistencia!L179,"DL"),1,0)</f>
        <v>0</v>
      </c>
      <c r="BF170">
        <f t="shared" si="87"/>
        <v>0</v>
      </c>
      <c r="BG170">
        <f>IF(ISNUMBER(Asistencia!M179),Asistencia!M179,0)</f>
        <v>0</v>
      </c>
      <c r="BH170">
        <f>IF(ISNUMBER(Asistencia!N179),Asistencia!N179,0)</f>
        <v>0</v>
      </c>
      <c r="BI170">
        <f>IF(ISNUMBER(Asistencia!O179),Asistencia!O179,0)</f>
        <v>0</v>
      </c>
      <c r="BJ170">
        <f>IF(ISNUMBER(Asistencia!P179),Asistencia!P179,0)</f>
        <v>0</v>
      </c>
      <c r="BK170" t="str">
        <f>IF(Asistencia!F179="","",Asistencia!F179)</f>
        <v/>
      </c>
      <c r="BL170" t="str">
        <f>IF(Asistencia!G179="","",Asistencia!G179)</f>
        <v/>
      </c>
      <c r="BM170" t="str">
        <f>IF(Asistencia!H179="","",Asistencia!H179)</f>
        <v/>
      </c>
      <c r="BN170" t="str">
        <f>IF(Asistencia!I179="","",Asistencia!I179)</f>
        <v/>
      </c>
      <c r="BO170" t="str">
        <f>IF(Asistencia!J179="","",Asistencia!J179)</f>
        <v/>
      </c>
      <c r="BP170" t="str">
        <f>IF(Asistencia!K179="","",Asistencia!K179)</f>
        <v/>
      </c>
      <c r="BQ170" t="str">
        <f>IF(Asistencia!L179="","",Asistencia!L179)</f>
        <v/>
      </c>
    </row>
    <row r="171" spans="1:69" x14ac:dyDescent="0.25">
      <c r="A171" s="46"/>
      <c r="B171" s="47"/>
      <c r="C171" s="47"/>
      <c r="D171" s="47"/>
      <c r="E171" s="46"/>
      <c r="F171" s="45"/>
      <c r="G171" s="44"/>
      <c r="H171" s="44"/>
      <c r="I171" s="44"/>
      <c r="J171" s="44"/>
      <c r="K171" s="44"/>
      <c r="L171" s="44"/>
      <c r="M171" s="43"/>
      <c r="N171" s="41"/>
      <c r="O171" s="41"/>
      <c r="P171" s="41"/>
      <c r="Q171" s="41"/>
      <c r="R171" s="41"/>
      <c r="S171" s="41"/>
      <c r="T171" s="48"/>
      <c r="U171" s="41"/>
      <c r="V171" s="41"/>
      <c r="W171" s="42"/>
      <c r="AA171" t="str">
        <f t="shared" si="84"/>
        <v/>
      </c>
      <c r="AB171" t="str">
        <f>IF(Asistencia!A180="","",Asistencia!A180)</f>
        <v/>
      </c>
      <c r="AC171" t="str">
        <f>IF(Asistencia!A180="","",SUBSTITUTE(SUBSTITUTE(SUBSTITUTE(SUBSTITUTE(SUBSTITUTE(SUBSTITUTE(SUBSTITUTE(UPPER(TRIM(Asistencia!A180)),"Á","A"),"É","E"),"Í","I"),"Ó","O"),"Ú","U"),"Ñ","N"),"  "," "))</f>
        <v/>
      </c>
      <c r="AD171" t="str">
        <f>IF(Asistencia!E180="","",Asistencia!E180)</f>
        <v/>
      </c>
      <c r="AE171" t="str">
        <f>IF(Asistencia!D180="","",UPPER(TRIM(Asistencia!D180)))</f>
        <v/>
      </c>
      <c r="AF171" t="s">
        <v>194</v>
      </c>
      <c r="AG171">
        <f>IF(AND(AA171&lt;&gt;"",COUNTIF($AA$5:AA171,AA171)=1),1,0)</f>
        <v>0</v>
      </c>
      <c r="AH171" t="str">
        <f>IF(AG171=1,SUM($AG$5:AG171),"")</f>
        <v/>
      </c>
      <c r="AI171">
        <f>IF(OR(EXACT(Asistencia!F180,"A"),EXACT(Asistencia!F180,"R"),EXACT(Asistencia!F180,"DL"),EXACT(Asistencia!F180,"FL"),EXACT(Asistencia!F180,"FE"),EXACT(Asistencia!F180,"PCS"),EXACT(Asistencia!F180,"V")),1,0)</f>
        <v>0</v>
      </c>
      <c r="AJ171">
        <f>IF(OR(EXACT(Asistencia!G180,"A"),EXACT(Asistencia!G180,"R"),EXACT(Asistencia!G180,"DL"),EXACT(Asistencia!G180,"FL"),EXACT(Asistencia!G180,"FE"),EXACT(Asistencia!G180,"PCS"),EXACT(Asistencia!G180,"V")),1,0)</f>
        <v>0</v>
      </c>
      <c r="AK171">
        <f>IF(OR(EXACT(Asistencia!H180,"A"),EXACT(Asistencia!H180,"R"),EXACT(Asistencia!H180,"DL"),EXACT(Asistencia!H180,"FL"),EXACT(Asistencia!H180,"FE"),EXACT(Asistencia!H180,"PCS"),EXACT(Asistencia!H180,"V")),1,0)</f>
        <v>0</v>
      </c>
      <c r="AL171">
        <f>IF(OR(EXACT(Asistencia!I180,"A"),EXACT(Asistencia!I180,"R"),EXACT(Asistencia!I180,"DL"),EXACT(Asistencia!I180,"FL"),EXACT(Asistencia!I180,"FE"),EXACT(Asistencia!I180,"PCS"),EXACT(Asistencia!I180,"V")),1,0)</f>
        <v>0</v>
      </c>
      <c r="AM171">
        <f>IF(OR(EXACT(Asistencia!J180,"A"),EXACT(Asistencia!J180,"R"),EXACT(Asistencia!J180,"DL"),EXACT(Asistencia!J180,"FL"),EXACT(Asistencia!J180,"FE"),EXACT(Asistencia!J180,"PCS"),EXACT(Asistencia!J180,"V")),1,0)</f>
        <v>0</v>
      </c>
      <c r="AN171">
        <f>IF(OR(EXACT(Asistencia!K180,"A"),EXACT(Asistencia!K180,"R"),EXACT(Asistencia!K180,"DL"),EXACT(Asistencia!K180,"FL"),EXACT(Asistencia!K180,"FE"),EXACT(Asistencia!K180,"PCS"),EXACT(Asistencia!K180,"V")),1,0)</f>
        <v>0</v>
      </c>
      <c r="AO171">
        <f>IF(OR(EXACT(Asistencia!L180,"A"),EXACT(Asistencia!L180,"R"),EXACT(Asistencia!L180,"DL"),EXACT(Asistencia!L180,"FL"),EXACT(Asistencia!L180,"FE"),EXACT(Asistencia!L180,"PCS"),EXACT(Asistencia!L180,"V")),1,0)</f>
        <v>0</v>
      </c>
      <c r="AP171">
        <f t="shared" si="85"/>
        <v>0</v>
      </c>
      <c r="AQ171">
        <f>IF(EXACT(Asistencia!F180,"FL"),1,0)</f>
        <v>0</v>
      </c>
      <c r="AR171">
        <f>IF(EXACT(Asistencia!G180,"FL"),1,0)</f>
        <v>0</v>
      </c>
      <c r="AS171">
        <f>IF(EXACT(Asistencia!H180,"FL"),1,0)</f>
        <v>0</v>
      </c>
      <c r="AT171">
        <f>IF(EXACT(Asistencia!I180,"FL"),1,0)</f>
        <v>0</v>
      </c>
      <c r="AU171">
        <f>IF(EXACT(Asistencia!J180,"FL"),1,0)</f>
        <v>0</v>
      </c>
      <c r="AV171">
        <f>IF(EXACT(Asistencia!K180,"FL"),1,0)</f>
        <v>0</v>
      </c>
      <c r="AW171">
        <f>IF(EXACT(Asistencia!L180,"FL"),1,0)</f>
        <v>0</v>
      </c>
      <c r="AX171">
        <f t="shared" si="86"/>
        <v>0</v>
      </c>
      <c r="AY171">
        <f>IF(EXACT(Asistencia!F180,"DL"),1,0)</f>
        <v>0</v>
      </c>
      <c r="AZ171">
        <f>IF(EXACT(Asistencia!G180,"DL"),1,0)</f>
        <v>0</v>
      </c>
      <c r="BA171">
        <f>IF(EXACT(Asistencia!H180,"DL"),1,0)</f>
        <v>0</v>
      </c>
      <c r="BB171">
        <f>IF(EXACT(Asistencia!I180,"DL"),1,0)</f>
        <v>0</v>
      </c>
      <c r="BC171">
        <f>IF(EXACT(Asistencia!J180,"DL"),1,0)</f>
        <v>0</v>
      </c>
      <c r="BD171">
        <f>IF(EXACT(Asistencia!K180,"DL"),1,0)</f>
        <v>0</v>
      </c>
      <c r="BE171">
        <f>IF(EXACT(Asistencia!L180,"DL"),1,0)</f>
        <v>0</v>
      </c>
      <c r="BF171">
        <f t="shared" si="87"/>
        <v>0</v>
      </c>
      <c r="BG171">
        <f>IF(ISNUMBER(Asistencia!M180),Asistencia!M180,0)</f>
        <v>0</v>
      </c>
      <c r="BH171">
        <f>IF(ISNUMBER(Asistencia!N180),Asistencia!N180,0)</f>
        <v>0</v>
      </c>
      <c r="BI171">
        <f>IF(ISNUMBER(Asistencia!O180),Asistencia!O180,0)</f>
        <v>0</v>
      </c>
      <c r="BJ171">
        <f>IF(ISNUMBER(Asistencia!P180),Asistencia!P180,0)</f>
        <v>0</v>
      </c>
      <c r="BK171" t="str">
        <f>IF(Asistencia!F180="","",Asistencia!F180)</f>
        <v/>
      </c>
      <c r="BL171" t="str">
        <f>IF(Asistencia!G180="","",Asistencia!G180)</f>
        <v/>
      </c>
      <c r="BM171" t="str">
        <f>IF(Asistencia!H180="","",Asistencia!H180)</f>
        <v/>
      </c>
      <c r="BN171" t="str">
        <f>IF(Asistencia!I180="","",Asistencia!I180)</f>
        <v/>
      </c>
      <c r="BO171" t="str">
        <f>IF(Asistencia!J180="","",Asistencia!J180)</f>
        <v/>
      </c>
      <c r="BP171" t="str">
        <f>IF(Asistencia!K180="","",Asistencia!K180)</f>
        <v/>
      </c>
      <c r="BQ171" t="str">
        <f>IF(Asistencia!L180="","",Asistencia!L180)</f>
        <v/>
      </c>
    </row>
    <row r="172" spans="1:69" x14ac:dyDescent="0.25">
      <c r="A172" s="46"/>
      <c r="B172" s="47"/>
      <c r="C172" s="47"/>
      <c r="D172" s="47"/>
      <c r="E172" s="46"/>
      <c r="F172" s="45"/>
      <c r="G172" s="44"/>
      <c r="H172" s="44"/>
      <c r="I172" s="44"/>
      <c r="J172" s="44"/>
      <c r="K172" s="44"/>
      <c r="L172" s="44"/>
      <c r="M172" s="43"/>
      <c r="N172" s="41"/>
      <c r="O172" s="41"/>
      <c r="P172" s="41"/>
      <c r="Q172" s="41"/>
      <c r="R172" s="41"/>
      <c r="S172" s="41"/>
      <c r="T172" s="48"/>
      <c r="U172" s="41"/>
      <c r="V172" s="41"/>
      <c r="W172" s="42"/>
      <c r="AA172" t="str">
        <f t="shared" si="84"/>
        <v/>
      </c>
      <c r="AB172" t="str">
        <f>IF(Asistencia!A181="","",Asistencia!A181)</f>
        <v/>
      </c>
      <c r="AC172" t="str">
        <f>IF(Asistencia!A181="","",SUBSTITUTE(SUBSTITUTE(SUBSTITUTE(SUBSTITUTE(SUBSTITUTE(SUBSTITUTE(SUBSTITUTE(UPPER(TRIM(Asistencia!A181)),"Á","A"),"É","E"),"Í","I"),"Ó","O"),"Ú","U"),"Ñ","N"),"  "," "))</f>
        <v/>
      </c>
      <c r="AD172" t="str">
        <f>IF(Asistencia!E181="","",Asistencia!E181)</f>
        <v/>
      </c>
      <c r="AE172" t="str">
        <f>IF(Asistencia!D181="","",UPPER(TRIM(Asistencia!D181)))</f>
        <v/>
      </c>
      <c r="AF172" t="s">
        <v>194</v>
      </c>
      <c r="AG172">
        <f>IF(AND(AA172&lt;&gt;"",COUNTIF($AA$5:AA172,AA172)=1),1,0)</f>
        <v>0</v>
      </c>
      <c r="AH172" t="str">
        <f>IF(AG172=1,SUM($AG$5:AG172),"")</f>
        <v/>
      </c>
      <c r="AI172">
        <f>IF(OR(EXACT(Asistencia!F181,"A"),EXACT(Asistencia!F181,"R"),EXACT(Asistencia!F181,"DL"),EXACT(Asistencia!F181,"FL"),EXACT(Asistencia!F181,"FE"),EXACT(Asistencia!F181,"PCS"),EXACT(Asistencia!F181,"V")),1,0)</f>
        <v>0</v>
      </c>
      <c r="AJ172">
        <f>IF(OR(EXACT(Asistencia!G181,"A"),EXACT(Asistencia!G181,"R"),EXACT(Asistencia!G181,"DL"),EXACT(Asistencia!G181,"FL"),EXACT(Asistencia!G181,"FE"),EXACT(Asistencia!G181,"PCS"),EXACT(Asistencia!G181,"V")),1,0)</f>
        <v>0</v>
      </c>
      <c r="AK172">
        <f>IF(OR(EXACT(Asistencia!H181,"A"),EXACT(Asistencia!H181,"R"),EXACT(Asistencia!H181,"DL"),EXACT(Asistencia!H181,"FL"),EXACT(Asistencia!H181,"FE"),EXACT(Asistencia!H181,"PCS"),EXACT(Asistencia!H181,"V")),1,0)</f>
        <v>0</v>
      </c>
      <c r="AL172">
        <f>IF(OR(EXACT(Asistencia!I181,"A"),EXACT(Asistencia!I181,"R"),EXACT(Asistencia!I181,"DL"),EXACT(Asistencia!I181,"FL"),EXACT(Asistencia!I181,"FE"),EXACT(Asistencia!I181,"PCS"),EXACT(Asistencia!I181,"V")),1,0)</f>
        <v>0</v>
      </c>
      <c r="AM172">
        <f>IF(OR(EXACT(Asistencia!J181,"A"),EXACT(Asistencia!J181,"R"),EXACT(Asistencia!J181,"DL"),EXACT(Asistencia!J181,"FL"),EXACT(Asistencia!J181,"FE"),EXACT(Asistencia!J181,"PCS"),EXACT(Asistencia!J181,"V")),1,0)</f>
        <v>0</v>
      </c>
      <c r="AN172">
        <f>IF(OR(EXACT(Asistencia!K181,"A"),EXACT(Asistencia!K181,"R"),EXACT(Asistencia!K181,"DL"),EXACT(Asistencia!K181,"FL"),EXACT(Asistencia!K181,"FE"),EXACT(Asistencia!K181,"PCS"),EXACT(Asistencia!K181,"V")),1,0)</f>
        <v>0</v>
      </c>
      <c r="AO172">
        <f>IF(OR(EXACT(Asistencia!L181,"A"),EXACT(Asistencia!L181,"R"),EXACT(Asistencia!L181,"DL"),EXACT(Asistencia!L181,"FL"),EXACT(Asistencia!L181,"FE"),EXACT(Asistencia!L181,"PCS"),EXACT(Asistencia!L181,"V")),1,0)</f>
        <v>0</v>
      </c>
      <c r="AP172">
        <f t="shared" si="85"/>
        <v>0</v>
      </c>
      <c r="AQ172">
        <f>IF(EXACT(Asistencia!F181,"FL"),1,0)</f>
        <v>0</v>
      </c>
      <c r="AR172">
        <f>IF(EXACT(Asistencia!G181,"FL"),1,0)</f>
        <v>0</v>
      </c>
      <c r="AS172">
        <f>IF(EXACT(Asistencia!H181,"FL"),1,0)</f>
        <v>0</v>
      </c>
      <c r="AT172">
        <f>IF(EXACT(Asistencia!I181,"FL"),1,0)</f>
        <v>0</v>
      </c>
      <c r="AU172">
        <f>IF(EXACT(Asistencia!J181,"FL"),1,0)</f>
        <v>0</v>
      </c>
      <c r="AV172">
        <f>IF(EXACT(Asistencia!K181,"FL"),1,0)</f>
        <v>0</v>
      </c>
      <c r="AW172">
        <f>IF(EXACT(Asistencia!L181,"FL"),1,0)</f>
        <v>0</v>
      </c>
      <c r="AX172">
        <f t="shared" si="86"/>
        <v>0</v>
      </c>
      <c r="AY172">
        <f>IF(EXACT(Asistencia!F181,"DL"),1,0)</f>
        <v>0</v>
      </c>
      <c r="AZ172">
        <f>IF(EXACT(Asistencia!G181,"DL"),1,0)</f>
        <v>0</v>
      </c>
      <c r="BA172">
        <f>IF(EXACT(Asistencia!H181,"DL"),1,0)</f>
        <v>0</v>
      </c>
      <c r="BB172">
        <f>IF(EXACT(Asistencia!I181,"DL"),1,0)</f>
        <v>0</v>
      </c>
      <c r="BC172">
        <f>IF(EXACT(Asistencia!J181,"DL"),1,0)</f>
        <v>0</v>
      </c>
      <c r="BD172">
        <f>IF(EXACT(Asistencia!K181,"DL"),1,0)</f>
        <v>0</v>
      </c>
      <c r="BE172">
        <f>IF(EXACT(Asistencia!L181,"DL"),1,0)</f>
        <v>0</v>
      </c>
      <c r="BF172">
        <f t="shared" si="87"/>
        <v>0</v>
      </c>
      <c r="BG172">
        <f>IF(ISNUMBER(Asistencia!M181),Asistencia!M181,0)</f>
        <v>0</v>
      </c>
      <c r="BH172">
        <f>IF(ISNUMBER(Asistencia!N181),Asistencia!N181,0)</f>
        <v>0</v>
      </c>
      <c r="BI172">
        <f>IF(ISNUMBER(Asistencia!O181),Asistencia!O181,0)</f>
        <v>0</v>
      </c>
      <c r="BJ172">
        <f>IF(ISNUMBER(Asistencia!P181),Asistencia!P181,0)</f>
        <v>0</v>
      </c>
      <c r="BK172" t="str">
        <f>IF(Asistencia!F181="","",Asistencia!F181)</f>
        <v/>
      </c>
      <c r="BL172" t="str">
        <f>IF(Asistencia!G181="","",Asistencia!G181)</f>
        <v/>
      </c>
      <c r="BM172" t="str">
        <f>IF(Asistencia!H181="","",Asistencia!H181)</f>
        <v/>
      </c>
      <c r="BN172" t="str">
        <f>IF(Asistencia!I181="","",Asistencia!I181)</f>
        <v/>
      </c>
      <c r="BO172" t="str">
        <f>IF(Asistencia!J181="","",Asistencia!J181)</f>
        <v/>
      </c>
      <c r="BP172" t="str">
        <f>IF(Asistencia!K181="","",Asistencia!K181)</f>
        <v/>
      </c>
      <c r="BQ172" t="str">
        <f>IF(Asistencia!L181="","",Asistencia!L181)</f>
        <v/>
      </c>
    </row>
    <row r="173" spans="1:69" x14ac:dyDescent="0.25">
      <c r="A173" s="46"/>
      <c r="B173" s="47"/>
      <c r="C173" s="47"/>
      <c r="D173" s="47"/>
      <c r="E173" s="46"/>
      <c r="F173" s="45"/>
      <c r="G173" s="44"/>
      <c r="H173" s="44"/>
      <c r="I173" s="44"/>
      <c r="J173" s="44"/>
      <c r="K173" s="44"/>
      <c r="L173" s="44"/>
      <c r="M173" s="43"/>
      <c r="N173" s="41"/>
      <c r="O173" s="41"/>
      <c r="P173" s="41"/>
      <c r="Q173" s="41"/>
      <c r="R173" s="41"/>
      <c r="S173" s="41"/>
      <c r="T173" s="48"/>
      <c r="U173" s="41"/>
      <c r="V173" s="41"/>
      <c r="W173" s="42"/>
      <c r="AA173" t="str">
        <f t="shared" si="84"/>
        <v/>
      </c>
      <c r="AB173" t="str">
        <f>IF(Asistencia!A182="","",Asistencia!A182)</f>
        <v/>
      </c>
      <c r="AC173" t="str">
        <f>IF(Asistencia!A182="","",SUBSTITUTE(SUBSTITUTE(SUBSTITUTE(SUBSTITUTE(SUBSTITUTE(SUBSTITUTE(SUBSTITUTE(UPPER(TRIM(Asistencia!A182)),"Á","A"),"É","E"),"Í","I"),"Ó","O"),"Ú","U"),"Ñ","N"),"  "," "))</f>
        <v/>
      </c>
      <c r="AD173" t="str">
        <f>IF(Asistencia!E182="","",Asistencia!E182)</f>
        <v/>
      </c>
      <c r="AE173" t="str">
        <f>IF(Asistencia!D182="","",UPPER(TRIM(Asistencia!D182)))</f>
        <v/>
      </c>
      <c r="AF173" t="s">
        <v>194</v>
      </c>
      <c r="AG173">
        <f>IF(AND(AA173&lt;&gt;"",COUNTIF($AA$5:AA173,AA173)=1),1,0)</f>
        <v>0</v>
      </c>
      <c r="AH173" t="str">
        <f>IF(AG173=1,SUM($AG$5:AG173),"")</f>
        <v/>
      </c>
      <c r="AI173">
        <f>IF(OR(EXACT(Asistencia!F182,"A"),EXACT(Asistencia!F182,"R"),EXACT(Asistencia!F182,"DL"),EXACT(Asistencia!F182,"FL"),EXACT(Asistencia!F182,"FE"),EXACT(Asistencia!F182,"PCS"),EXACT(Asistencia!F182,"V")),1,0)</f>
        <v>0</v>
      </c>
      <c r="AJ173">
        <f>IF(OR(EXACT(Asistencia!G182,"A"),EXACT(Asistencia!G182,"R"),EXACT(Asistencia!G182,"DL"),EXACT(Asistencia!G182,"FL"),EXACT(Asistencia!G182,"FE"),EXACT(Asistencia!G182,"PCS"),EXACT(Asistencia!G182,"V")),1,0)</f>
        <v>0</v>
      </c>
      <c r="AK173">
        <f>IF(OR(EXACT(Asistencia!H182,"A"),EXACT(Asistencia!H182,"R"),EXACT(Asistencia!H182,"DL"),EXACT(Asistencia!H182,"FL"),EXACT(Asistencia!H182,"FE"),EXACT(Asistencia!H182,"PCS"),EXACT(Asistencia!H182,"V")),1,0)</f>
        <v>0</v>
      </c>
      <c r="AL173">
        <f>IF(OR(EXACT(Asistencia!I182,"A"),EXACT(Asistencia!I182,"R"),EXACT(Asistencia!I182,"DL"),EXACT(Asistencia!I182,"FL"),EXACT(Asistencia!I182,"FE"),EXACT(Asistencia!I182,"PCS"),EXACT(Asistencia!I182,"V")),1,0)</f>
        <v>0</v>
      </c>
      <c r="AM173">
        <f>IF(OR(EXACT(Asistencia!J182,"A"),EXACT(Asistencia!J182,"R"),EXACT(Asistencia!J182,"DL"),EXACT(Asistencia!J182,"FL"),EXACT(Asistencia!J182,"FE"),EXACT(Asistencia!J182,"PCS"),EXACT(Asistencia!J182,"V")),1,0)</f>
        <v>0</v>
      </c>
      <c r="AN173">
        <f>IF(OR(EXACT(Asistencia!K182,"A"),EXACT(Asistencia!K182,"R"),EXACT(Asistencia!K182,"DL"),EXACT(Asistencia!K182,"FL"),EXACT(Asistencia!K182,"FE"),EXACT(Asistencia!K182,"PCS"),EXACT(Asistencia!K182,"V")),1,0)</f>
        <v>0</v>
      </c>
      <c r="AO173">
        <f>IF(OR(EXACT(Asistencia!L182,"A"),EXACT(Asistencia!L182,"R"),EXACT(Asistencia!L182,"DL"),EXACT(Asistencia!L182,"FL"),EXACT(Asistencia!L182,"FE"),EXACT(Asistencia!L182,"PCS"),EXACT(Asistencia!L182,"V")),1,0)</f>
        <v>0</v>
      </c>
      <c r="AP173">
        <f t="shared" si="85"/>
        <v>0</v>
      </c>
      <c r="AQ173">
        <f>IF(EXACT(Asistencia!F182,"FL"),1,0)</f>
        <v>0</v>
      </c>
      <c r="AR173">
        <f>IF(EXACT(Asistencia!G182,"FL"),1,0)</f>
        <v>0</v>
      </c>
      <c r="AS173">
        <f>IF(EXACT(Asistencia!H182,"FL"),1,0)</f>
        <v>0</v>
      </c>
      <c r="AT173">
        <f>IF(EXACT(Asistencia!I182,"FL"),1,0)</f>
        <v>0</v>
      </c>
      <c r="AU173">
        <f>IF(EXACT(Asistencia!J182,"FL"),1,0)</f>
        <v>0</v>
      </c>
      <c r="AV173">
        <f>IF(EXACT(Asistencia!K182,"FL"),1,0)</f>
        <v>0</v>
      </c>
      <c r="AW173">
        <f>IF(EXACT(Asistencia!L182,"FL"),1,0)</f>
        <v>0</v>
      </c>
      <c r="AX173">
        <f t="shared" si="86"/>
        <v>0</v>
      </c>
      <c r="AY173">
        <f>IF(EXACT(Asistencia!F182,"DL"),1,0)</f>
        <v>0</v>
      </c>
      <c r="AZ173">
        <f>IF(EXACT(Asistencia!G182,"DL"),1,0)</f>
        <v>0</v>
      </c>
      <c r="BA173">
        <f>IF(EXACT(Asistencia!H182,"DL"),1,0)</f>
        <v>0</v>
      </c>
      <c r="BB173">
        <f>IF(EXACT(Asistencia!I182,"DL"),1,0)</f>
        <v>0</v>
      </c>
      <c r="BC173">
        <f>IF(EXACT(Asistencia!J182,"DL"),1,0)</f>
        <v>0</v>
      </c>
      <c r="BD173">
        <f>IF(EXACT(Asistencia!K182,"DL"),1,0)</f>
        <v>0</v>
      </c>
      <c r="BE173">
        <f>IF(EXACT(Asistencia!L182,"DL"),1,0)</f>
        <v>0</v>
      </c>
      <c r="BF173">
        <f t="shared" si="87"/>
        <v>0</v>
      </c>
      <c r="BG173">
        <f>IF(ISNUMBER(Asistencia!M182),Asistencia!M182,0)</f>
        <v>0</v>
      </c>
      <c r="BH173">
        <f>IF(ISNUMBER(Asistencia!N182),Asistencia!N182,0)</f>
        <v>0</v>
      </c>
      <c r="BI173">
        <f>IF(ISNUMBER(Asistencia!O182),Asistencia!O182,0)</f>
        <v>0</v>
      </c>
      <c r="BJ173">
        <f>IF(ISNUMBER(Asistencia!P182),Asistencia!P182,0)</f>
        <v>0</v>
      </c>
      <c r="BK173" t="str">
        <f>IF(Asistencia!F182="","",Asistencia!F182)</f>
        <v/>
      </c>
      <c r="BL173" t="str">
        <f>IF(Asistencia!G182="","",Asistencia!G182)</f>
        <v/>
      </c>
      <c r="BM173" t="str">
        <f>IF(Asistencia!H182="","",Asistencia!H182)</f>
        <v/>
      </c>
      <c r="BN173" t="str">
        <f>IF(Asistencia!I182="","",Asistencia!I182)</f>
        <v/>
      </c>
      <c r="BO173" t="str">
        <f>IF(Asistencia!J182="","",Asistencia!J182)</f>
        <v/>
      </c>
      <c r="BP173" t="str">
        <f>IF(Asistencia!K182="","",Asistencia!K182)</f>
        <v/>
      </c>
      <c r="BQ173" t="str">
        <f>IF(Asistencia!L182="","",Asistencia!L182)</f>
        <v/>
      </c>
    </row>
    <row r="174" spans="1:69" x14ac:dyDescent="0.25">
      <c r="A174" s="46"/>
      <c r="B174" s="47"/>
      <c r="C174" s="47"/>
      <c r="D174" s="47"/>
      <c r="E174" s="46"/>
      <c r="F174" s="45"/>
      <c r="G174" s="44"/>
      <c r="H174" s="44"/>
      <c r="I174" s="44"/>
      <c r="J174" s="44"/>
      <c r="K174" s="44"/>
      <c r="L174" s="44"/>
      <c r="M174" s="43"/>
      <c r="N174" s="41"/>
      <c r="O174" s="41"/>
      <c r="P174" s="41"/>
      <c r="Q174" s="41"/>
      <c r="R174" s="41"/>
      <c r="S174" s="41"/>
      <c r="T174" s="48"/>
      <c r="U174" s="41"/>
      <c r="V174" s="41"/>
      <c r="W174" s="42"/>
      <c r="AA174" t="str">
        <f t="shared" si="84"/>
        <v/>
      </c>
      <c r="AB174" t="str">
        <f>IF(Asistencia!A183="","",Asistencia!A183)</f>
        <v/>
      </c>
      <c r="AC174" t="str">
        <f>IF(Asistencia!A183="","",SUBSTITUTE(SUBSTITUTE(SUBSTITUTE(SUBSTITUTE(SUBSTITUTE(SUBSTITUTE(SUBSTITUTE(UPPER(TRIM(Asistencia!A183)),"Á","A"),"É","E"),"Í","I"),"Ó","O"),"Ú","U"),"Ñ","N"),"  "," "))</f>
        <v/>
      </c>
      <c r="AD174" t="str">
        <f>IF(Asistencia!E183="","",Asistencia!E183)</f>
        <v/>
      </c>
      <c r="AE174" t="str">
        <f>IF(Asistencia!D183="","",UPPER(TRIM(Asistencia!D183)))</f>
        <v/>
      </c>
      <c r="AF174" t="s">
        <v>194</v>
      </c>
      <c r="AG174">
        <f>IF(AND(AA174&lt;&gt;"",COUNTIF($AA$5:AA174,AA174)=1),1,0)</f>
        <v>0</v>
      </c>
      <c r="AH174" t="str">
        <f>IF(AG174=1,SUM($AG$5:AG174),"")</f>
        <v/>
      </c>
      <c r="AI174">
        <f>IF(OR(EXACT(Asistencia!F183,"A"),EXACT(Asistencia!F183,"R"),EXACT(Asistencia!F183,"DL"),EXACT(Asistencia!F183,"FL"),EXACT(Asistencia!F183,"FE"),EXACT(Asistencia!F183,"PCS"),EXACT(Asistencia!F183,"V")),1,0)</f>
        <v>0</v>
      </c>
      <c r="AJ174">
        <f>IF(OR(EXACT(Asistencia!G183,"A"),EXACT(Asistencia!G183,"R"),EXACT(Asistencia!G183,"DL"),EXACT(Asistencia!G183,"FL"),EXACT(Asistencia!G183,"FE"),EXACT(Asistencia!G183,"PCS"),EXACT(Asistencia!G183,"V")),1,0)</f>
        <v>0</v>
      </c>
      <c r="AK174">
        <f>IF(OR(EXACT(Asistencia!H183,"A"),EXACT(Asistencia!H183,"R"),EXACT(Asistencia!H183,"DL"),EXACT(Asistencia!H183,"FL"),EXACT(Asistencia!H183,"FE"),EXACT(Asistencia!H183,"PCS"),EXACT(Asistencia!H183,"V")),1,0)</f>
        <v>0</v>
      </c>
      <c r="AL174">
        <f>IF(OR(EXACT(Asistencia!I183,"A"),EXACT(Asistencia!I183,"R"),EXACT(Asistencia!I183,"DL"),EXACT(Asistencia!I183,"FL"),EXACT(Asistencia!I183,"FE"),EXACT(Asistencia!I183,"PCS"),EXACT(Asistencia!I183,"V")),1,0)</f>
        <v>0</v>
      </c>
      <c r="AM174">
        <f>IF(OR(EXACT(Asistencia!J183,"A"),EXACT(Asistencia!J183,"R"),EXACT(Asistencia!J183,"DL"),EXACT(Asistencia!J183,"FL"),EXACT(Asistencia!J183,"FE"),EXACT(Asistencia!J183,"PCS"),EXACT(Asistencia!J183,"V")),1,0)</f>
        <v>0</v>
      </c>
      <c r="AN174">
        <f>IF(OR(EXACT(Asistencia!K183,"A"),EXACT(Asistencia!K183,"R"),EXACT(Asistencia!K183,"DL"),EXACT(Asistencia!K183,"FL"),EXACT(Asistencia!K183,"FE"),EXACT(Asistencia!K183,"PCS"),EXACT(Asistencia!K183,"V")),1,0)</f>
        <v>0</v>
      </c>
      <c r="AO174">
        <f>IF(OR(EXACT(Asistencia!L183,"A"),EXACT(Asistencia!L183,"R"),EXACT(Asistencia!L183,"DL"),EXACT(Asistencia!L183,"FL"),EXACT(Asistencia!L183,"FE"),EXACT(Asistencia!L183,"PCS"),EXACT(Asistencia!L183,"V")),1,0)</f>
        <v>0</v>
      </c>
      <c r="AP174">
        <f t="shared" si="85"/>
        <v>0</v>
      </c>
      <c r="AQ174">
        <f>IF(EXACT(Asistencia!F183,"FL"),1,0)</f>
        <v>0</v>
      </c>
      <c r="AR174">
        <f>IF(EXACT(Asistencia!G183,"FL"),1,0)</f>
        <v>0</v>
      </c>
      <c r="AS174">
        <f>IF(EXACT(Asistencia!H183,"FL"),1,0)</f>
        <v>0</v>
      </c>
      <c r="AT174">
        <f>IF(EXACT(Asistencia!I183,"FL"),1,0)</f>
        <v>0</v>
      </c>
      <c r="AU174">
        <f>IF(EXACT(Asistencia!J183,"FL"),1,0)</f>
        <v>0</v>
      </c>
      <c r="AV174">
        <f>IF(EXACT(Asistencia!K183,"FL"),1,0)</f>
        <v>0</v>
      </c>
      <c r="AW174">
        <f>IF(EXACT(Asistencia!L183,"FL"),1,0)</f>
        <v>0</v>
      </c>
      <c r="AX174">
        <f t="shared" si="86"/>
        <v>0</v>
      </c>
      <c r="AY174">
        <f>IF(EXACT(Asistencia!F183,"DL"),1,0)</f>
        <v>0</v>
      </c>
      <c r="AZ174">
        <f>IF(EXACT(Asistencia!G183,"DL"),1,0)</f>
        <v>0</v>
      </c>
      <c r="BA174">
        <f>IF(EXACT(Asistencia!H183,"DL"),1,0)</f>
        <v>0</v>
      </c>
      <c r="BB174">
        <f>IF(EXACT(Asistencia!I183,"DL"),1,0)</f>
        <v>0</v>
      </c>
      <c r="BC174">
        <f>IF(EXACT(Asistencia!J183,"DL"),1,0)</f>
        <v>0</v>
      </c>
      <c r="BD174">
        <f>IF(EXACT(Asistencia!K183,"DL"),1,0)</f>
        <v>0</v>
      </c>
      <c r="BE174">
        <f>IF(EXACT(Asistencia!L183,"DL"),1,0)</f>
        <v>0</v>
      </c>
      <c r="BF174">
        <f t="shared" si="87"/>
        <v>0</v>
      </c>
      <c r="BG174">
        <f>IF(ISNUMBER(Asistencia!M183),Asistencia!M183,0)</f>
        <v>0</v>
      </c>
      <c r="BH174">
        <f>IF(ISNUMBER(Asistencia!N183),Asistencia!N183,0)</f>
        <v>0</v>
      </c>
      <c r="BI174">
        <f>IF(ISNUMBER(Asistencia!O183),Asistencia!O183,0)</f>
        <v>0</v>
      </c>
      <c r="BJ174">
        <f>IF(ISNUMBER(Asistencia!P183),Asistencia!P183,0)</f>
        <v>0</v>
      </c>
      <c r="BK174" t="str">
        <f>IF(Asistencia!F183="","",Asistencia!F183)</f>
        <v/>
      </c>
      <c r="BL174" t="str">
        <f>IF(Asistencia!G183="","",Asistencia!G183)</f>
        <v/>
      </c>
      <c r="BM174" t="str">
        <f>IF(Asistencia!H183="","",Asistencia!H183)</f>
        <v/>
      </c>
      <c r="BN174" t="str">
        <f>IF(Asistencia!I183="","",Asistencia!I183)</f>
        <v/>
      </c>
      <c r="BO174" t="str">
        <f>IF(Asistencia!J183="","",Asistencia!J183)</f>
        <v/>
      </c>
      <c r="BP174" t="str">
        <f>IF(Asistencia!K183="","",Asistencia!K183)</f>
        <v/>
      </c>
      <c r="BQ174" t="str">
        <f>IF(Asistencia!L183="","",Asistencia!L183)</f>
        <v/>
      </c>
    </row>
    <row r="175" spans="1:69" x14ac:dyDescent="0.25">
      <c r="A175" s="46"/>
      <c r="B175" s="47"/>
      <c r="C175" s="47"/>
      <c r="D175" s="47"/>
      <c r="E175" s="46"/>
      <c r="F175" s="45"/>
      <c r="G175" s="44"/>
      <c r="H175" s="44"/>
      <c r="I175" s="44"/>
      <c r="J175" s="44"/>
      <c r="K175" s="44"/>
      <c r="L175" s="44"/>
      <c r="M175" s="43"/>
      <c r="N175" s="41"/>
      <c r="O175" s="41"/>
      <c r="P175" s="41"/>
      <c r="Q175" s="41"/>
      <c r="R175" s="41"/>
      <c r="S175" s="41"/>
      <c r="T175" s="48"/>
      <c r="U175" s="41"/>
      <c r="V175" s="41"/>
      <c r="W175" s="42"/>
      <c r="AA175" t="str">
        <f t="shared" si="84"/>
        <v/>
      </c>
      <c r="AB175" t="str">
        <f>IF(Asistencia!A184="","",Asistencia!A184)</f>
        <v/>
      </c>
      <c r="AC175" t="str">
        <f>IF(Asistencia!A184="","",SUBSTITUTE(SUBSTITUTE(SUBSTITUTE(SUBSTITUTE(SUBSTITUTE(SUBSTITUTE(SUBSTITUTE(UPPER(TRIM(Asistencia!A184)),"Á","A"),"É","E"),"Í","I"),"Ó","O"),"Ú","U"),"Ñ","N"),"  "," "))</f>
        <v/>
      </c>
      <c r="AD175" t="str">
        <f>IF(Asistencia!E184="","",Asistencia!E184)</f>
        <v/>
      </c>
      <c r="AE175" t="str">
        <f>IF(Asistencia!D184="","",UPPER(TRIM(Asistencia!D184)))</f>
        <v/>
      </c>
      <c r="AF175" t="s">
        <v>194</v>
      </c>
      <c r="AG175">
        <f>IF(AND(AA175&lt;&gt;"",COUNTIF($AA$5:AA175,AA175)=1),1,0)</f>
        <v>0</v>
      </c>
      <c r="AH175" t="str">
        <f>IF(AG175=1,SUM($AG$5:AG175),"")</f>
        <v/>
      </c>
      <c r="AI175">
        <f>IF(OR(EXACT(Asistencia!F184,"A"),EXACT(Asistencia!F184,"R"),EXACT(Asistencia!F184,"DL"),EXACT(Asistencia!F184,"FL"),EXACT(Asistencia!F184,"FE"),EXACT(Asistencia!F184,"PCS"),EXACT(Asistencia!F184,"V")),1,0)</f>
        <v>0</v>
      </c>
      <c r="AJ175">
        <f>IF(OR(EXACT(Asistencia!G184,"A"),EXACT(Asistencia!G184,"R"),EXACT(Asistencia!G184,"DL"),EXACT(Asistencia!G184,"FL"),EXACT(Asistencia!G184,"FE"),EXACT(Asistencia!G184,"PCS"),EXACT(Asistencia!G184,"V")),1,0)</f>
        <v>0</v>
      </c>
      <c r="AK175">
        <f>IF(OR(EXACT(Asistencia!H184,"A"),EXACT(Asistencia!H184,"R"),EXACT(Asistencia!H184,"DL"),EXACT(Asistencia!H184,"FL"),EXACT(Asistencia!H184,"FE"),EXACT(Asistencia!H184,"PCS"),EXACT(Asistencia!H184,"V")),1,0)</f>
        <v>0</v>
      </c>
      <c r="AL175">
        <f>IF(OR(EXACT(Asistencia!I184,"A"),EXACT(Asistencia!I184,"R"),EXACT(Asistencia!I184,"DL"),EXACT(Asistencia!I184,"FL"),EXACT(Asistencia!I184,"FE"),EXACT(Asistencia!I184,"PCS"),EXACT(Asistencia!I184,"V")),1,0)</f>
        <v>0</v>
      </c>
      <c r="AM175">
        <f>IF(OR(EXACT(Asistencia!J184,"A"),EXACT(Asistencia!J184,"R"),EXACT(Asistencia!J184,"DL"),EXACT(Asistencia!J184,"FL"),EXACT(Asistencia!J184,"FE"),EXACT(Asistencia!J184,"PCS"),EXACT(Asistencia!J184,"V")),1,0)</f>
        <v>0</v>
      </c>
      <c r="AN175">
        <f>IF(OR(EXACT(Asistencia!K184,"A"),EXACT(Asistencia!K184,"R"),EXACT(Asistencia!K184,"DL"),EXACT(Asistencia!K184,"FL"),EXACT(Asistencia!K184,"FE"),EXACT(Asistencia!K184,"PCS"),EXACT(Asistencia!K184,"V")),1,0)</f>
        <v>0</v>
      </c>
      <c r="AO175">
        <f>IF(OR(EXACT(Asistencia!L184,"A"),EXACT(Asistencia!L184,"R"),EXACT(Asistencia!L184,"DL"),EXACT(Asistencia!L184,"FL"),EXACT(Asistencia!L184,"FE"),EXACT(Asistencia!L184,"PCS"),EXACT(Asistencia!L184,"V")),1,0)</f>
        <v>0</v>
      </c>
      <c r="AP175">
        <f t="shared" si="85"/>
        <v>0</v>
      </c>
      <c r="AQ175">
        <f>IF(EXACT(Asistencia!F184,"FL"),1,0)</f>
        <v>0</v>
      </c>
      <c r="AR175">
        <f>IF(EXACT(Asistencia!G184,"FL"),1,0)</f>
        <v>0</v>
      </c>
      <c r="AS175">
        <f>IF(EXACT(Asistencia!H184,"FL"),1,0)</f>
        <v>0</v>
      </c>
      <c r="AT175">
        <f>IF(EXACT(Asistencia!I184,"FL"),1,0)</f>
        <v>0</v>
      </c>
      <c r="AU175">
        <f>IF(EXACT(Asistencia!J184,"FL"),1,0)</f>
        <v>0</v>
      </c>
      <c r="AV175">
        <f>IF(EXACT(Asistencia!K184,"FL"),1,0)</f>
        <v>0</v>
      </c>
      <c r="AW175">
        <f>IF(EXACT(Asistencia!L184,"FL"),1,0)</f>
        <v>0</v>
      </c>
      <c r="AX175">
        <f t="shared" si="86"/>
        <v>0</v>
      </c>
      <c r="AY175">
        <f>IF(EXACT(Asistencia!F184,"DL"),1,0)</f>
        <v>0</v>
      </c>
      <c r="AZ175">
        <f>IF(EXACT(Asistencia!G184,"DL"),1,0)</f>
        <v>0</v>
      </c>
      <c r="BA175">
        <f>IF(EXACT(Asistencia!H184,"DL"),1,0)</f>
        <v>0</v>
      </c>
      <c r="BB175">
        <f>IF(EXACT(Asistencia!I184,"DL"),1,0)</f>
        <v>0</v>
      </c>
      <c r="BC175">
        <f>IF(EXACT(Asistencia!J184,"DL"),1,0)</f>
        <v>0</v>
      </c>
      <c r="BD175">
        <f>IF(EXACT(Asistencia!K184,"DL"),1,0)</f>
        <v>0</v>
      </c>
      <c r="BE175">
        <f>IF(EXACT(Asistencia!L184,"DL"),1,0)</f>
        <v>0</v>
      </c>
      <c r="BF175">
        <f t="shared" si="87"/>
        <v>0</v>
      </c>
      <c r="BG175">
        <f>IF(ISNUMBER(Asistencia!M184),Asistencia!M184,0)</f>
        <v>0</v>
      </c>
      <c r="BH175">
        <f>IF(ISNUMBER(Asistencia!N184),Asistencia!N184,0)</f>
        <v>0</v>
      </c>
      <c r="BI175">
        <f>IF(ISNUMBER(Asistencia!O184),Asistencia!O184,0)</f>
        <v>0</v>
      </c>
      <c r="BJ175">
        <f>IF(ISNUMBER(Asistencia!P184),Asistencia!P184,0)</f>
        <v>0</v>
      </c>
      <c r="BK175" t="str">
        <f>IF(Asistencia!F184="","",Asistencia!F184)</f>
        <v/>
      </c>
      <c r="BL175" t="str">
        <f>IF(Asistencia!G184="","",Asistencia!G184)</f>
        <v/>
      </c>
      <c r="BM175" t="str">
        <f>IF(Asistencia!H184="","",Asistencia!H184)</f>
        <v/>
      </c>
      <c r="BN175" t="str">
        <f>IF(Asistencia!I184="","",Asistencia!I184)</f>
        <v/>
      </c>
      <c r="BO175" t="str">
        <f>IF(Asistencia!J184="","",Asistencia!J184)</f>
        <v/>
      </c>
      <c r="BP175" t="str">
        <f>IF(Asistencia!K184="","",Asistencia!K184)</f>
        <v/>
      </c>
      <c r="BQ175" t="str">
        <f>IF(Asistencia!L184="","",Asistencia!L184)</f>
        <v/>
      </c>
    </row>
    <row r="176" spans="1:69" x14ac:dyDescent="0.25">
      <c r="A176" s="46"/>
      <c r="B176" s="47"/>
      <c r="C176" s="47"/>
      <c r="D176" s="47"/>
      <c r="E176" s="46"/>
      <c r="F176" s="45"/>
      <c r="G176" s="44"/>
      <c r="H176" s="44"/>
      <c r="I176" s="44"/>
      <c r="J176" s="44"/>
      <c r="K176" s="44"/>
      <c r="L176" s="44"/>
      <c r="M176" s="43"/>
      <c r="N176" s="41"/>
      <c r="O176" s="41"/>
      <c r="P176" s="41"/>
      <c r="Q176" s="41"/>
      <c r="R176" s="41"/>
      <c r="S176" s="41"/>
      <c r="T176" s="48"/>
      <c r="U176" s="41"/>
      <c r="V176" s="41"/>
      <c r="W176" s="42"/>
      <c r="AA176" t="str">
        <f t="shared" si="84"/>
        <v/>
      </c>
      <c r="AB176" t="str">
        <f>IF(Asistencia!A185="","",Asistencia!A185)</f>
        <v/>
      </c>
      <c r="AC176" t="str">
        <f>IF(Asistencia!A185="","",SUBSTITUTE(SUBSTITUTE(SUBSTITUTE(SUBSTITUTE(SUBSTITUTE(SUBSTITUTE(SUBSTITUTE(UPPER(TRIM(Asistencia!A185)),"Á","A"),"É","E"),"Í","I"),"Ó","O"),"Ú","U"),"Ñ","N"),"  "," "))</f>
        <v/>
      </c>
      <c r="AD176" t="str">
        <f>IF(Asistencia!E185="","",Asistencia!E185)</f>
        <v/>
      </c>
      <c r="AE176" t="str">
        <f>IF(Asistencia!D185="","",UPPER(TRIM(Asistencia!D185)))</f>
        <v/>
      </c>
      <c r="AF176" t="s">
        <v>194</v>
      </c>
      <c r="AG176">
        <f>IF(AND(AA176&lt;&gt;"",COUNTIF($AA$5:AA176,AA176)=1),1,0)</f>
        <v>0</v>
      </c>
      <c r="AH176" t="str">
        <f>IF(AG176=1,SUM($AG$5:AG176),"")</f>
        <v/>
      </c>
      <c r="AI176">
        <f>IF(OR(EXACT(Asistencia!F185,"A"),EXACT(Asistencia!F185,"R"),EXACT(Asistencia!F185,"DL"),EXACT(Asistencia!F185,"FL"),EXACT(Asistencia!F185,"FE"),EXACT(Asistencia!F185,"PCS"),EXACT(Asistencia!F185,"V")),1,0)</f>
        <v>0</v>
      </c>
      <c r="AJ176">
        <f>IF(OR(EXACT(Asistencia!G185,"A"),EXACT(Asistencia!G185,"R"),EXACT(Asistencia!G185,"DL"),EXACT(Asistencia!G185,"FL"),EXACT(Asistencia!G185,"FE"),EXACT(Asistencia!G185,"PCS"),EXACT(Asistencia!G185,"V")),1,0)</f>
        <v>0</v>
      </c>
      <c r="AK176">
        <f>IF(OR(EXACT(Asistencia!H185,"A"),EXACT(Asistencia!H185,"R"),EXACT(Asistencia!H185,"DL"),EXACT(Asistencia!H185,"FL"),EXACT(Asistencia!H185,"FE"),EXACT(Asistencia!H185,"PCS"),EXACT(Asistencia!H185,"V")),1,0)</f>
        <v>0</v>
      </c>
      <c r="AL176">
        <f>IF(OR(EXACT(Asistencia!I185,"A"),EXACT(Asistencia!I185,"R"),EXACT(Asistencia!I185,"DL"),EXACT(Asistencia!I185,"FL"),EXACT(Asistencia!I185,"FE"),EXACT(Asistencia!I185,"PCS"),EXACT(Asistencia!I185,"V")),1,0)</f>
        <v>0</v>
      </c>
      <c r="AM176">
        <f>IF(OR(EXACT(Asistencia!J185,"A"),EXACT(Asistencia!J185,"R"),EXACT(Asistencia!J185,"DL"),EXACT(Asistencia!J185,"FL"),EXACT(Asistencia!J185,"FE"),EXACT(Asistencia!J185,"PCS"),EXACT(Asistencia!J185,"V")),1,0)</f>
        <v>0</v>
      </c>
      <c r="AN176">
        <f>IF(OR(EXACT(Asistencia!K185,"A"),EXACT(Asistencia!K185,"R"),EXACT(Asistencia!K185,"DL"),EXACT(Asistencia!K185,"FL"),EXACT(Asistencia!K185,"FE"),EXACT(Asistencia!K185,"PCS"),EXACT(Asistencia!K185,"V")),1,0)</f>
        <v>0</v>
      </c>
      <c r="AO176">
        <f>IF(OR(EXACT(Asistencia!L185,"A"),EXACT(Asistencia!L185,"R"),EXACT(Asistencia!L185,"DL"),EXACT(Asistencia!L185,"FL"),EXACT(Asistencia!L185,"FE"),EXACT(Asistencia!L185,"PCS"),EXACT(Asistencia!L185,"V")),1,0)</f>
        <v>0</v>
      </c>
      <c r="AP176">
        <f t="shared" si="85"/>
        <v>0</v>
      </c>
      <c r="AQ176">
        <f>IF(EXACT(Asistencia!F185,"FL"),1,0)</f>
        <v>0</v>
      </c>
      <c r="AR176">
        <f>IF(EXACT(Asistencia!G185,"FL"),1,0)</f>
        <v>0</v>
      </c>
      <c r="AS176">
        <f>IF(EXACT(Asistencia!H185,"FL"),1,0)</f>
        <v>0</v>
      </c>
      <c r="AT176">
        <f>IF(EXACT(Asistencia!I185,"FL"),1,0)</f>
        <v>0</v>
      </c>
      <c r="AU176">
        <f>IF(EXACT(Asistencia!J185,"FL"),1,0)</f>
        <v>0</v>
      </c>
      <c r="AV176">
        <f>IF(EXACT(Asistencia!K185,"FL"),1,0)</f>
        <v>0</v>
      </c>
      <c r="AW176">
        <f>IF(EXACT(Asistencia!L185,"FL"),1,0)</f>
        <v>0</v>
      </c>
      <c r="AX176">
        <f t="shared" si="86"/>
        <v>0</v>
      </c>
      <c r="AY176">
        <f>IF(EXACT(Asistencia!F185,"DL"),1,0)</f>
        <v>0</v>
      </c>
      <c r="AZ176">
        <f>IF(EXACT(Asistencia!G185,"DL"),1,0)</f>
        <v>0</v>
      </c>
      <c r="BA176">
        <f>IF(EXACT(Asistencia!H185,"DL"),1,0)</f>
        <v>0</v>
      </c>
      <c r="BB176">
        <f>IF(EXACT(Asistencia!I185,"DL"),1,0)</f>
        <v>0</v>
      </c>
      <c r="BC176">
        <f>IF(EXACT(Asistencia!J185,"DL"),1,0)</f>
        <v>0</v>
      </c>
      <c r="BD176">
        <f>IF(EXACT(Asistencia!K185,"DL"),1,0)</f>
        <v>0</v>
      </c>
      <c r="BE176">
        <f>IF(EXACT(Asistencia!L185,"DL"),1,0)</f>
        <v>0</v>
      </c>
      <c r="BF176">
        <f t="shared" si="87"/>
        <v>0</v>
      </c>
      <c r="BG176">
        <f>IF(ISNUMBER(Asistencia!M185),Asistencia!M185,0)</f>
        <v>0</v>
      </c>
      <c r="BH176">
        <f>IF(ISNUMBER(Asistencia!N185),Asistencia!N185,0)</f>
        <v>0</v>
      </c>
      <c r="BI176">
        <f>IF(ISNUMBER(Asistencia!O185),Asistencia!O185,0)</f>
        <v>0</v>
      </c>
      <c r="BJ176">
        <f>IF(ISNUMBER(Asistencia!P185),Asistencia!P185,0)</f>
        <v>0</v>
      </c>
      <c r="BK176" t="str">
        <f>IF(Asistencia!F185="","",Asistencia!F185)</f>
        <v/>
      </c>
      <c r="BL176" t="str">
        <f>IF(Asistencia!G185="","",Asistencia!G185)</f>
        <v/>
      </c>
      <c r="BM176" t="str">
        <f>IF(Asistencia!H185="","",Asistencia!H185)</f>
        <v/>
      </c>
      <c r="BN176" t="str">
        <f>IF(Asistencia!I185="","",Asistencia!I185)</f>
        <v/>
      </c>
      <c r="BO176" t="str">
        <f>IF(Asistencia!J185="","",Asistencia!J185)</f>
        <v/>
      </c>
      <c r="BP176" t="str">
        <f>IF(Asistencia!K185="","",Asistencia!K185)</f>
        <v/>
      </c>
      <c r="BQ176" t="str">
        <f>IF(Asistencia!L185="","",Asistencia!L185)</f>
        <v/>
      </c>
    </row>
    <row r="177" spans="1:69" x14ac:dyDescent="0.25">
      <c r="A177" s="46"/>
      <c r="B177" s="47"/>
      <c r="C177" s="47"/>
      <c r="D177" s="47"/>
      <c r="E177" s="46"/>
      <c r="F177" s="45"/>
      <c r="G177" s="44"/>
      <c r="H177" s="44"/>
      <c r="I177" s="44"/>
      <c r="J177" s="44"/>
      <c r="K177" s="44"/>
      <c r="L177" s="44"/>
      <c r="M177" s="43"/>
      <c r="N177" s="41"/>
      <c r="O177" s="41"/>
      <c r="P177" s="41"/>
      <c r="Q177" s="41"/>
      <c r="R177" s="41"/>
      <c r="S177" s="41"/>
      <c r="T177" s="48"/>
      <c r="U177" s="41"/>
      <c r="V177" s="41"/>
      <c r="W177" s="42"/>
      <c r="AA177" t="str">
        <f t="shared" si="84"/>
        <v/>
      </c>
      <c r="AB177" t="str">
        <f>IF(Asistencia!A186="","",Asistencia!A186)</f>
        <v/>
      </c>
      <c r="AC177" t="str">
        <f>IF(Asistencia!A186="","",SUBSTITUTE(SUBSTITUTE(SUBSTITUTE(SUBSTITUTE(SUBSTITUTE(SUBSTITUTE(SUBSTITUTE(UPPER(TRIM(Asistencia!A186)),"Á","A"),"É","E"),"Í","I"),"Ó","O"),"Ú","U"),"Ñ","N"),"  "," "))</f>
        <v/>
      </c>
      <c r="AD177" t="str">
        <f>IF(Asistencia!E186="","",Asistencia!E186)</f>
        <v/>
      </c>
      <c r="AE177" t="str">
        <f>IF(Asistencia!D186="","",UPPER(TRIM(Asistencia!D186)))</f>
        <v/>
      </c>
      <c r="AF177" t="s">
        <v>194</v>
      </c>
      <c r="AG177">
        <f>IF(AND(AA177&lt;&gt;"",COUNTIF($AA$5:AA177,AA177)=1),1,0)</f>
        <v>0</v>
      </c>
      <c r="AH177" t="str">
        <f>IF(AG177=1,SUM($AG$5:AG177),"")</f>
        <v/>
      </c>
      <c r="AI177">
        <f>IF(OR(EXACT(Asistencia!F186,"A"),EXACT(Asistencia!F186,"R"),EXACT(Asistencia!F186,"DL"),EXACT(Asistencia!F186,"FL"),EXACT(Asistencia!F186,"FE"),EXACT(Asistencia!F186,"PCS"),EXACT(Asistencia!F186,"V")),1,0)</f>
        <v>0</v>
      </c>
      <c r="AJ177">
        <f>IF(OR(EXACT(Asistencia!G186,"A"),EXACT(Asistencia!G186,"R"),EXACT(Asistencia!G186,"DL"),EXACT(Asistencia!G186,"FL"),EXACT(Asistencia!G186,"FE"),EXACT(Asistencia!G186,"PCS"),EXACT(Asistencia!G186,"V")),1,0)</f>
        <v>0</v>
      </c>
      <c r="AK177">
        <f>IF(OR(EXACT(Asistencia!H186,"A"),EXACT(Asistencia!H186,"R"),EXACT(Asistencia!H186,"DL"),EXACT(Asistencia!H186,"FL"),EXACT(Asistencia!H186,"FE"),EXACT(Asistencia!H186,"PCS"),EXACT(Asistencia!H186,"V")),1,0)</f>
        <v>0</v>
      </c>
      <c r="AL177">
        <f>IF(OR(EXACT(Asistencia!I186,"A"),EXACT(Asistencia!I186,"R"),EXACT(Asistencia!I186,"DL"),EXACT(Asistencia!I186,"FL"),EXACT(Asistencia!I186,"FE"),EXACT(Asistencia!I186,"PCS"),EXACT(Asistencia!I186,"V")),1,0)</f>
        <v>0</v>
      </c>
      <c r="AM177">
        <f>IF(OR(EXACT(Asistencia!J186,"A"),EXACT(Asistencia!J186,"R"),EXACT(Asistencia!J186,"DL"),EXACT(Asistencia!J186,"FL"),EXACT(Asistencia!J186,"FE"),EXACT(Asistencia!J186,"PCS"),EXACT(Asistencia!J186,"V")),1,0)</f>
        <v>0</v>
      </c>
      <c r="AN177">
        <f>IF(OR(EXACT(Asistencia!K186,"A"),EXACT(Asistencia!K186,"R"),EXACT(Asistencia!K186,"DL"),EXACT(Asistencia!K186,"FL"),EXACT(Asistencia!K186,"FE"),EXACT(Asistencia!K186,"PCS"),EXACT(Asistencia!K186,"V")),1,0)</f>
        <v>0</v>
      </c>
      <c r="AO177">
        <f>IF(OR(EXACT(Asistencia!L186,"A"),EXACT(Asistencia!L186,"R"),EXACT(Asistencia!L186,"DL"),EXACT(Asistencia!L186,"FL"),EXACT(Asistencia!L186,"FE"),EXACT(Asistencia!L186,"PCS"),EXACT(Asistencia!L186,"V")),1,0)</f>
        <v>0</v>
      </c>
      <c r="AP177">
        <f t="shared" si="85"/>
        <v>0</v>
      </c>
      <c r="AQ177">
        <f>IF(EXACT(Asistencia!F186,"FL"),1,0)</f>
        <v>0</v>
      </c>
      <c r="AR177">
        <f>IF(EXACT(Asistencia!G186,"FL"),1,0)</f>
        <v>0</v>
      </c>
      <c r="AS177">
        <f>IF(EXACT(Asistencia!H186,"FL"),1,0)</f>
        <v>0</v>
      </c>
      <c r="AT177">
        <f>IF(EXACT(Asistencia!I186,"FL"),1,0)</f>
        <v>0</v>
      </c>
      <c r="AU177">
        <f>IF(EXACT(Asistencia!J186,"FL"),1,0)</f>
        <v>0</v>
      </c>
      <c r="AV177">
        <f>IF(EXACT(Asistencia!K186,"FL"),1,0)</f>
        <v>0</v>
      </c>
      <c r="AW177">
        <f>IF(EXACT(Asistencia!L186,"FL"),1,0)</f>
        <v>0</v>
      </c>
      <c r="AX177">
        <f t="shared" si="86"/>
        <v>0</v>
      </c>
      <c r="AY177">
        <f>IF(EXACT(Asistencia!F186,"DL"),1,0)</f>
        <v>0</v>
      </c>
      <c r="AZ177">
        <f>IF(EXACT(Asistencia!G186,"DL"),1,0)</f>
        <v>0</v>
      </c>
      <c r="BA177">
        <f>IF(EXACT(Asistencia!H186,"DL"),1,0)</f>
        <v>0</v>
      </c>
      <c r="BB177">
        <f>IF(EXACT(Asistencia!I186,"DL"),1,0)</f>
        <v>0</v>
      </c>
      <c r="BC177">
        <f>IF(EXACT(Asistencia!J186,"DL"),1,0)</f>
        <v>0</v>
      </c>
      <c r="BD177">
        <f>IF(EXACT(Asistencia!K186,"DL"),1,0)</f>
        <v>0</v>
      </c>
      <c r="BE177">
        <f>IF(EXACT(Asistencia!L186,"DL"),1,0)</f>
        <v>0</v>
      </c>
      <c r="BF177">
        <f t="shared" si="87"/>
        <v>0</v>
      </c>
      <c r="BG177">
        <f>IF(ISNUMBER(Asistencia!M186),Asistencia!M186,0)</f>
        <v>0</v>
      </c>
      <c r="BH177">
        <f>IF(ISNUMBER(Asistencia!N186),Asistencia!N186,0)</f>
        <v>0</v>
      </c>
      <c r="BI177">
        <f>IF(ISNUMBER(Asistencia!O186),Asistencia!O186,0)</f>
        <v>0</v>
      </c>
      <c r="BJ177">
        <f>IF(ISNUMBER(Asistencia!P186),Asistencia!P186,0)</f>
        <v>0</v>
      </c>
      <c r="BK177" t="str">
        <f>IF(Asistencia!F186="","",Asistencia!F186)</f>
        <v/>
      </c>
      <c r="BL177" t="str">
        <f>IF(Asistencia!G186="","",Asistencia!G186)</f>
        <v/>
      </c>
      <c r="BM177" t="str">
        <f>IF(Asistencia!H186="","",Asistencia!H186)</f>
        <v/>
      </c>
      <c r="BN177" t="str">
        <f>IF(Asistencia!I186="","",Asistencia!I186)</f>
        <v/>
      </c>
      <c r="BO177" t="str">
        <f>IF(Asistencia!J186="","",Asistencia!J186)</f>
        <v/>
      </c>
      <c r="BP177" t="str">
        <f>IF(Asistencia!K186="","",Asistencia!K186)</f>
        <v/>
      </c>
      <c r="BQ177" t="str">
        <f>IF(Asistencia!L186="","",Asistencia!L186)</f>
        <v/>
      </c>
    </row>
    <row r="178" spans="1:69" x14ac:dyDescent="0.25">
      <c r="A178" s="46"/>
      <c r="B178" s="47"/>
      <c r="C178" s="47"/>
      <c r="D178" s="47"/>
      <c r="E178" s="46"/>
      <c r="F178" s="45"/>
      <c r="G178" s="44"/>
      <c r="H178" s="44"/>
      <c r="I178" s="44"/>
      <c r="J178" s="44"/>
      <c r="K178" s="44"/>
      <c r="L178" s="44"/>
      <c r="M178" s="43"/>
      <c r="N178" s="41"/>
      <c r="O178" s="41"/>
      <c r="P178" s="41"/>
      <c r="Q178" s="41"/>
      <c r="R178" s="41"/>
      <c r="S178" s="41"/>
      <c r="T178" s="48"/>
      <c r="U178" s="41"/>
      <c r="V178" s="41"/>
      <c r="W178" s="42"/>
      <c r="AA178" t="str">
        <f t="shared" si="84"/>
        <v/>
      </c>
      <c r="AB178" t="str">
        <f>IF(Asistencia!A187="","",Asistencia!A187)</f>
        <v/>
      </c>
      <c r="AC178" t="str">
        <f>IF(Asistencia!A187="","",SUBSTITUTE(SUBSTITUTE(SUBSTITUTE(SUBSTITUTE(SUBSTITUTE(SUBSTITUTE(SUBSTITUTE(UPPER(TRIM(Asistencia!A187)),"Á","A"),"É","E"),"Í","I"),"Ó","O"),"Ú","U"),"Ñ","N"),"  "," "))</f>
        <v/>
      </c>
      <c r="AD178" t="str">
        <f>IF(Asistencia!E187="","",Asistencia!E187)</f>
        <v/>
      </c>
      <c r="AE178" t="str">
        <f>IF(Asistencia!D187="","",UPPER(TRIM(Asistencia!D187)))</f>
        <v/>
      </c>
      <c r="AF178" t="s">
        <v>194</v>
      </c>
      <c r="AG178">
        <f>IF(AND(AA178&lt;&gt;"",COUNTIF($AA$5:AA178,AA178)=1),1,0)</f>
        <v>0</v>
      </c>
      <c r="AH178" t="str">
        <f>IF(AG178=1,SUM($AG$5:AG178),"")</f>
        <v/>
      </c>
      <c r="AI178">
        <f>IF(OR(EXACT(Asistencia!F187,"A"),EXACT(Asistencia!F187,"R"),EXACT(Asistencia!F187,"DL"),EXACT(Asistencia!F187,"FL"),EXACT(Asistencia!F187,"FE"),EXACT(Asistencia!F187,"PCS"),EXACT(Asistencia!F187,"V")),1,0)</f>
        <v>0</v>
      </c>
      <c r="AJ178">
        <f>IF(OR(EXACT(Asistencia!G187,"A"),EXACT(Asistencia!G187,"R"),EXACT(Asistencia!G187,"DL"),EXACT(Asistencia!G187,"FL"),EXACT(Asistencia!G187,"FE"),EXACT(Asistencia!G187,"PCS"),EXACT(Asistencia!G187,"V")),1,0)</f>
        <v>0</v>
      </c>
      <c r="AK178">
        <f>IF(OR(EXACT(Asistencia!H187,"A"),EXACT(Asistencia!H187,"R"),EXACT(Asistencia!H187,"DL"),EXACT(Asistencia!H187,"FL"),EXACT(Asistencia!H187,"FE"),EXACT(Asistencia!H187,"PCS"),EXACT(Asistencia!H187,"V")),1,0)</f>
        <v>0</v>
      </c>
      <c r="AL178">
        <f>IF(OR(EXACT(Asistencia!I187,"A"),EXACT(Asistencia!I187,"R"),EXACT(Asistencia!I187,"DL"),EXACT(Asistencia!I187,"FL"),EXACT(Asistencia!I187,"FE"),EXACT(Asistencia!I187,"PCS"),EXACT(Asistencia!I187,"V")),1,0)</f>
        <v>0</v>
      </c>
      <c r="AM178">
        <f>IF(OR(EXACT(Asistencia!J187,"A"),EXACT(Asistencia!J187,"R"),EXACT(Asistencia!J187,"DL"),EXACT(Asistencia!J187,"FL"),EXACT(Asistencia!J187,"FE"),EXACT(Asistencia!J187,"PCS"),EXACT(Asistencia!J187,"V")),1,0)</f>
        <v>0</v>
      </c>
      <c r="AN178">
        <f>IF(OR(EXACT(Asistencia!K187,"A"),EXACT(Asistencia!K187,"R"),EXACT(Asistencia!K187,"DL"),EXACT(Asistencia!K187,"FL"),EXACT(Asistencia!K187,"FE"),EXACT(Asistencia!K187,"PCS"),EXACT(Asistencia!K187,"V")),1,0)</f>
        <v>0</v>
      </c>
      <c r="AO178">
        <f>IF(OR(EXACT(Asistencia!L187,"A"),EXACT(Asistencia!L187,"R"),EXACT(Asistencia!L187,"DL"),EXACT(Asistencia!L187,"FL"),EXACT(Asistencia!L187,"FE"),EXACT(Asistencia!L187,"PCS"),EXACT(Asistencia!L187,"V")),1,0)</f>
        <v>0</v>
      </c>
      <c r="AP178">
        <f t="shared" si="85"/>
        <v>0</v>
      </c>
      <c r="AQ178">
        <f>IF(EXACT(Asistencia!F187,"FL"),1,0)</f>
        <v>0</v>
      </c>
      <c r="AR178">
        <f>IF(EXACT(Asistencia!G187,"FL"),1,0)</f>
        <v>0</v>
      </c>
      <c r="AS178">
        <f>IF(EXACT(Asistencia!H187,"FL"),1,0)</f>
        <v>0</v>
      </c>
      <c r="AT178">
        <f>IF(EXACT(Asistencia!I187,"FL"),1,0)</f>
        <v>0</v>
      </c>
      <c r="AU178">
        <f>IF(EXACT(Asistencia!J187,"FL"),1,0)</f>
        <v>0</v>
      </c>
      <c r="AV178">
        <f>IF(EXACT(Asistencia!K187,"FL"),1,0)</f>
        <v>0</v>
      </c>
      <c r="AW178">
        <f>IF(EXACT(Asistencia!L187,"FL"),1,0)</f>
        <v>0</v>
      </c>
      <c r="AX178">
        <f t="shared" si="86"/>
        <v>0</v>
      </c>
      <c r="AY178">
        <f>IF(EXACT(Asistencia!F187,"DL"),1,0)</f>
        <v>0</v>
      </c>
      <c r="AZ178">
        <f>IF(EXACT(Asistencia!G187,"DL"),1,0)</f>
        <v>0</v>
      </c>
      <c r="BA178">
        <f>IF(EXACT(Asistencia!H187,"DL"),1,0)</f>
        <v>0</v>
      </c>
      <c r="BB178">
        <f>IF(EXACT(Asistencia!I187,"DL"),1,0)</f>
        <v>0</v>
      </c>
      <c r="BC178">
        <f>IF(EXACT(Asistencia!J187,"DL"),1,0)</f>
        <v>0</v>
      </c>
      <c r="BD178">
        <f>IF(EXACT(Asistencia!K187,"DL"),1,0)</f>
        <v>0</v>
      </c>
      <c r="BE178">
        <f>IF(EXACT(Asistencia!L187,"DL"),1,0)</f>
        <v>0</v>
      </c>
      <c r="BF178">
        <f t="shared" si="87"/>
        <v>0</v>
      </c>
      <c r="BG178">
        <f>IF(ISNUMBER(Asistencia!M187),Asistencia!M187,0)</f>
        <v>0</v>
      </c>
      <c r="BH178">
        <f>IF(ISNUMBER(Asistencia!N187),Asistencia!N187,0)</f>
        <v>0</v>
      </c>
      <c r="BI178">
        <f>IF(ISNUMBER(Asistencia!O187),Asistencia!O187,0)</f>
        <v>0</v>
      </c>
      <c r="BJ178">
        <f>IF(ISNUMBER(Asistencia!P187),Asistencia!P187,0)</f>
        <v>0</v>
      </c>
      <c r="BK178" t="str">
        <f>IF(Asistencia!F187="","",Asistencia!F187)</f>
        <v/>
      </c>
      <c r="BL178" t="str">
        <f>IF(Asistencia!G187="","",Asistencia!G187)</f>
        <v/>
      </c>
      <c r="BM178" t="str">
        <f>IF(Asistencia!H187="","",Asistencia!H187)</f>
        <v/>
      </c>
      <c r="BN178" t="str">
        <f>IF(Asistencia!I187="","",Asistencia!I187)</f>
        <v/>
      </c>
      <c r="BO178" t="str">
        <f>IF(Asistencia!J187="","",Asistencia!J187)</f>
        <v/>
      </c>
      <c r="BP178" t="str">
        <f>IF(Asistencia!K187="","",Asistencia!K187)</f>
        <v/>
      </c>
      <c r="BQ178" t="str">
        <f>IF(Asistencia!L187="","",Asistencia!L187)</f>
        <v/>
      </c>
    </row>
    <row r="179" spans="1:69" x14ac:dyDescent="0.25">
      <c r="A179" s="46"/>
      <c r="B179" s="47"/>
      <c r="C179" s="47"/>
      <c r="D179" s="47"/>
      <c r="E179" s="46"/>
      <c r="F179" s="45"/>
      <c r="G179" s="44"/>
      <c r="H179" s="44"/>
      <c r="I179" s="44"/>
      <c r="J179" s="44"/>
      <c r="K179" s="44"/>
      <c r="L179" s="44"/>
      <c r="M179" s="43"/>
      <c r="N179" s="41"/>
      <c r="O179" s="41"/>
      <c r="P179" s="41"/>
      <c r="Q179" s="41"/>
      <c r="R179" s="41"/>
      <c r="S179" s="41"/>
      <c r="T179" s="48"/>
      <c r="U179" s="41"/>
      <c r="V179" s="41"/>
      <c r="W179" s="42"/>
      <c r="AA179" t="str">
        <f t="shared" si="84"/>
        <v/>
      </c>
      <c r="AB179" t="str">
        <f>IF(Asistencia!A188="","",Asistencia!A188)</f>
        <v/>
      </c>
      <c r="AC179" t="str">
        <f>IF(Asistencia!A188="","",SUBSTITUTE(SUBSTITUTE(SUBSTITUTE(SUBSTITUTE(SUBSTITUTE(SUBSTITUTE(SUBSTITUTE(UPPER(TRIM(Asistencia!A188)),"Á","A"),"É","E"),"Í","I"),"Ó","O"),"Ú","U"),"Ñ","N"),"  "," "))</f>
        <v/>
      </c>
      <c r="AD179" t="str">
        <f>IF(Asistencia!E188="","",Asistencia!E188)</f>
        <v/>
      </c>
      <c r="AE179" t="str">
        <f>IF(Asistencia!D188="","",UPPER(TRIM(Asistencia!D188)))</f>
        <v/>
      </c>
      <c r="AF179" t="s">
        <v>194</v>
      </c>
      <c r="AG179">
        <f>IF(AND(AA179&lt;&gt;"",COUNTIF($AA$5:AA179,AA179)=1),1,0)</f>
        <v>0</v>
      </c>
      <c r="AH179" t="str">
        <f>IF(AG179=1,SUM($AG$5:AG179),"")</f>
        <v/>
      </c>
      <c r="AI179">
        <f>IF(OR(EXACT(Asistencia!F188,"A"),EXACT(Asistencia!F188,"R"),EXACT(Asistencia!F188,"DL"),EXACT(Asistencia!F188,"FL"),EXACT(Asistencia!F188,"FE"),EXACT(Asistencia!F188,"PCS"),EXACT(Asistencia!F188,"V")),1,0)</f>
        <v>0</v>
      </c>
      <c r="AJ179">
        <f>IF(OR(EXACT(Asistencia!G188,"A"),EXACT(Asistencia!G188,"R"),EXACT(Asistencia!G188,"DL"),EXACT(Asistencia!G188,"FL"),EXACT(Asistencia!G188,"FE"),EXACT(Asistencia!G188,"PCS"),EXACT(Asistencia!G188,"V")),1,0)</f>
        <v>0</v>
      </c>
      <c r="AK179">
        <f>IF(OR(EXACT(Asistencia!H188,"A"),EXACT(Asistencia!H188,"R"),EXACT(Asistencia!H188,"DL"),EXACT(Asistencia!H188,"FL"),EXACT(Asistencia!H188,"FE"),EXACT(Asistencia!H188,"PCS"),EXACT(Asistencia!H188,"V")),1,0)</f>
        <v>0</v>
      </c>
      <c r="AL179">
        <f>IF(OR(EXACT(Asistencia!I188,"A"),EXACT(Asistencia!I188,"R"),EXACT(Asistencia!I188,"DL"),EXACT(Asistencia!I188,"FL"),EXACT(Asistencia!I188,"FE"),EXACT(Asistencia!I188,"PCS"),EXACT(Asistencia!I188,"V")),1,0)</f>
        <v>0</v>
      </c>
      <c r="AM179">
        <f>IF(OR(EXACT(Asistencia!J188,"A"),EXACT(Asistencia!J188,"R"),EXACT(Asistencia!J188,"DL"),EXACT(Asistencia!J188,"FL"),EXACT(Asistencia!J188,"FE"),EXACT(Asistencia!J188,"PCS"),EXACT(Asistencia!J188,"V")),1,0)</f>
        <v>0</v>
      </c>
      <c r="AN179">
        <f>IF(OR(EXACT(Asistencia!K188,"A"),EXACT(Asistencia!K188,"R"),EXACT(Asistencia!K188,"DL"),EXACT(Asistencia!K188,"FL"),EXACT(Asistencia!K188,"FE"),EXACT(Asistencia!K188,"PCS"),EXACT(Asistencia!K188,"V")),1,0)</f>
        <v>0</v>
      </c>
      <c r="AO179">
        <f>IF(OR(EXACT(Asistencia!L188,"A"),EXACT(Asistencia!L188,"R"),EXACT(Asistencia!L188,"DL"),EXACT(Asistencia!L188,"FL"),EXACT(Asistencia!L188,"FE"),EXACT(Asistencia!L188,"PCS"),EXACT(Asistencia!L188,"V")),1,0)</f>
        <v>0</v>
      </c>
      <c r="AP179">
        <f t="shared" si="85"/>
        <v>0</v>
      </c>
      <c r="AQ179">
        <f>IF(EXACT(Asistencia!F188,"FL"),1,0)</f>
        <v>0</v>
      </c>
      <c r="AR179">
        <f>IF(EXACT(Asistencia!G188,"FL"),1,0)</f>
        <v>0</v>
      </c>
      <c r="AS179">
        <f>IF(EXACT(Asistencia!H188,"FL"),1,0)</f>
        <v>0</v>
      </c>
      <c r="AT179">
        <f>IF(EXACT(Asistencia!I188,"FL"),1,0)</f>
        <v>0</v>
      </c>
      <c r="AU179">
        <f>IF(EXACT(Asistencia!J188,"FL"),1,0)</f>
        <v>0</v>
      </c>
      <c r="AV179">
        <f>IF(EXACT(Asistencia!K188,"FL"),1,0)</f>
        <v>0</v>
      </c>
      <c r="AW179">
        <f>IF(EXACT(Asistencia!L188,"FL"),1,0)</f>
        <v>0</v>
      </c>
      <c r="AX179">
        <f t="shared" si="86"/>
        <v>0</v>
      </c>
      <c r="AY179">
        <f>IF(EXACT(Asistencia!F188,"DL"),1,0)</f>
        <v>0</v>
      </c>
      <c r="AZ179">
        <f>IF(EXACT(Asistencia!G188,"DL"),1,0)</f>
        <v>0</v>
      </c>
      <c r="BA179">
        <f>IF(EXACT(Asistencia!H188,"DL"),1,0)</f>
        <v>0</v>
      </c>
      <c r="BB179">
        <f>IF(EXACT(Asistencia!I188,"DL"),1,0)</f>
        <v>0</v>
      </c>
      <c r="BC179">
        <f>IF(EXACT(Asistencia!J188,"DL"),1,0)</f>
        <v>0</v>
      </c>
      <c r="BD179">
        <f>IF(EXACT(Asistencia!K188,"DL"),1,0)</f>
        <v>0</v>
      </c>
      <c r="BE179">
        <f>IF(EXACT(Asistencia!L188,"DL"),1,0)</f>
        <v>0</v>
      </c>
      <c r="BF179">
        <f t="shared" si="87"/>
        <v>0</v>
      </c>
      <c r="BG179">
        <f>IF(ISNUMBER(Asistencia!M188),Asistencia!M188,0)</f>
        <v>0</v>
      </c>
      <c r="BH179">
        <f>IF(ISNUMBER(Asistencia!N188),Asistencia!N188,0)</f>
        <v>0</v>
      </c>
      <c r="BI179">
        <f>IF(ISNUMBER(Asistencia!O188),Asistencia!O188,0)</f>
        <v>0</v>
      </c>
      <c r="BJ179">
        <f>IF(ISNUMBER(Asistencia!P188),Asistencia!P188,0)</f>
        <v>0</v>
      </c>
      <c r="BK179" t="str">
        <f>IF(Asistencia!F188="","",Asistencia!F188)</f>
        <v/>
      </c>
      <c r="BL179" t="str">
        <f>IF(Asistencia!G188="","",Asistencia!G188)</f>
        <v/>
      </c>
      <c r="BM179" t="str">
        <f>IF(Asistencia!H188="","",Asistencia!H188)</f>
        <v/>
      </c>
      <c r="BN179" t="str">
        <f>IF(Asistencia!I188="","",Asistencia!I188)</f>
        <v/>
      </c>
      <c r="BO179" t="str">
        <f>IF(Asistencia!J188="","",Asistencia!J188)</f>
        <v/>
      </c>
      <c r="BP179" t="str">
        <f>IF(Asistencia!K188="","",Asistencia!K188)</f>
        <v/>
      </c>
      <c r="BQ179" t="str">
        <f>IF(Asistencia!L188="","",Asistencia!L188)</f>
        <v/>
      </c>
    </row>
    <row r="180" spans="1:69" x14ac:dyDescent="0.25">
      <c r="A180" s="46"/>
      <c r="B180" s="47"/>
      <c r="C180" s="47"/>
      <c r="D180" s="47"/>
      <c r="E180" s="46"/>
      <c r="F180" s="45"/>
      <c r="G180" s="44"/>
      <c r="H180" s="44"/>
      <c r="I180" s="44"/>
      <c r="J180" s="44"/>
      <c r="K180" s="44"/>
      <c r="L180" s="44"/>
      <c r="M180" s="43"/>
      <c r="N180" s="41"/>
      <c r="O180" s="41"/>
      <c r="P180" s="41"/>
      <c r="Q180" s="41"/>
      <c r="R180" s="41"/>
      <c r="S180" s="41"/>
      <c r="T180" s="48"/>
      <c r="U180" s="41"/>
      <c r="V180" s="41"/>
      <c r="W180" s="42"/>
      <c r="AA180" t="str">
        <f t="shared" si="84"/>
        <v/>
      </c>
      <c r="AB180" t="str">
        <f>IF(Asistencia!A189="","",Asistencia!A189)</f>
        <v/>
      </c>
      <c r="AC180" t="str">
        <f>IF(Asistencia!A189="","",SUBSTITUTE(SUBSTITUTE(SUBSTITUTE(SUBSTITUTE(SUBSTITUTE(SUBSTITUTE(SUBSTITUTE(UPPER(TRIM(Asistencia!A189)),"Á","A"),"É","E"),"Í","I"),"Ó","O"),"Ú","U"),"Ñ","N"),"  "," "))</f>
        <v/>
      </c>
      <c r="AD180" t="str">
        <f>IF(Asistencia!E189="","",Asistencia!E189)</f>
        <v/>
      </c>
      <c r="AE180" t="str">
        <f>IF(Asistencia!D189="","",UPPER(TRIM(Asistencia!D189)))</f>
        <v/>
      </c>
      <c r="AF180" t="s">
        <v>194</v>
      </c>
      <c r="AG180">
        <f>IF(AND(AA180&lt;&gt;"",COUNTIF($AA$5:AA180,AA180)=1),1,0)</f>
        <v>0</v>
      </c>
      <c r="AH180" t="str">
        <f>IF(AG180=1,SUM($AG$5:AG180),"")</f>
        <v/>
      </c>
      <c r="AI180">
        <f>IF(OR(EXACT(Asistencia!F189,"A"),EXACT(Asistencia!F189,"R"),EXACT(Asistencia!F189,"DL"),EXACT(Asistencia!F189,"FL"),EXACT(Asistencia!F189,"FE"),EXACT(Asistencia!F189,"PCS"),EXACT(Asistencia!F189,"V")),1,0)</f>
        <v>0</v>
      </c>
      <c r="AJ180">
        <f>IF(OR(EXACT(Asistencia!G189,"A"),EXACT(Asistencia!G189,"R"),EXACT(Asistencia!G189,"DL"),EXACT(Asistencia!G189,"FL"),EXACT(Asistencia!G189,"FE"),EXACT(Asistencia!G189,"PCS"),EXACT(Asistencia!G189,"V")),1,0)</f>
        <v>0</v>
      </c>
      <c r="AK180">
        <f>IF(OR(EXACT(Asistencia!H189,"A"),EXACT(Asistencia!H189,"R"),EXACT(Asistencia!H189,"DL"),EXACT(Asistencia!H189,"FL"),EXACT(Asistencia!H189,"FE"),EXACT(Asistencia!H189,"PCS"),EXACT(Asistencia!H189,"V")),1,0)</f>
        <v>0</v>
      </c>
      <c r="AL180">
        <f>IF(OR(EXACT(Asistencia!I189,"A"),EXACT(Asistencia!I189,"R"),EXACT(Asistencia!I189,"DL"),EXACT(Asistencia!I189,"FL"),EXACT(Asistencia!I189,"FE"),EXACT(Asistencia!I189,"PCS"),EXACT(Asistencia!I189,"V")),1,0)</f>
        <v>0</v>
      </c>
      <c r="AM180">
        <f>IF(OR(EXACT(Asistencia!J189,"A"),EXACT(Asistencia!J189,"R"),EXACT(Asistencia!J189,"DL"),EXACT(Asistencia!J189,"FL"),EXACT(Asistencia!J189,"FE"),EXACT(Asistencia!J189,"PCS"),EXACT(Asistencia!J189,"V")),1,0)</f>
        <v>0</v>
      </c>
      <c r="AN180">
        <f>IF(OR(EXACT(Asistencia!K189,"A"),EXACT(Asistencia!K189,"R"),EXACT(Asistencia!K189,"DL"),EXACT(Asistencia!K189,"FL"),EXACT(Asistencia!K189,"FE"),EXACT(Asistencia!K189,"PCS"),EXACT(Asistencia!K189,"V")),1,0)</f>
        <v>0</v>
      </c>
      <c r="AO180">
        <f>IF(OR(EXACT(Asistencia!L189,"A"),EXACT(Asistencia!L189,"R"),EXACT(Asistencia!L189,"DL"),EXACT(Asistencia!L189,"FL"),EXACT(Asistencia!L189,"FE"),EXACT(Asistencia!L189,"PCS"),EXACT(Asistencia!L189,"V")),1,0)</f>
        <v>0</v>
      </c>
      <c r="AP180">
        <f t="shared" si="85"/>
        <v>0</v>
      </c>
      <c r="AQ180">
        <f>IF(EXACT(Asistencia!F189,"FL"),1,0)</f>
        <v>0</v>
      </c>
      <c r="AR180">
        <f>IF(EXACT(Asistencia!G189,"FL"),1,0)</f>
        <v>0</v>
      </c>
      <c r="AS180">
        <f>IF(EXACT(Asistencia!H189,"FL"),1,0)</f>
        <v>0</v>
      </c>
      <c r="AT180">
        <f>IF(EXACT(Asistencia!I189,"FL"),1,0)</f>
        <v>0</v>
      </c>
      <c r="AU180">
        <f>IF(EXACT(Asistencia!J189,"FL"),1,0)</f>
        <v>0</v>
      </c>
      <c r="AV180">
        <f>IF(EXACT(Asistencia!K189,"FL"),1,0)</f>
        <v>0</v>
      </c>
      <c r="AW180">
        <f>IF(EXACT(Asistencia!L189,"FL"),1,0)</f>
        <v>0</v>
      </c>
      <c r="AX180">
        <f t="shared" si="86"/>
        <v>0</v>
      </c>
      <c r="AY180">
        <f>IF(EXACT(Asistencia!F189,"DL"),1,0)</f>
        <v>0</v>
      </c>
      <c r="AZ180">
        <f>IF(EXACT(Asistencia!G189,"DL"),1,0)</f>
        <v>0</v>
      </c>
      <c r="BA180">
        <f>IF(EXACT(Asistencia!H189,"DL"),1,0)</f>
        <v>0</v>
      </c>
      <c r="BB180">
        <f>IF(EXACT(Asistencia!I189,"DL"),1,0)</f>
        <v>0</v>
      </c>
      <c r="BC180">
        <f>IF(EXACT(Asistencia!J189,"DL"),1,0)</f>
        <v>0</v>
      </c>
      <c r="BD180">
        <f>IF(EXACT(Asistencia!K189,"DL"),1,0)</f>
        <v>0</v>
      </c>
      <c r="BE180">
        <f>IF(EXACT(Asistencia!L189,"DL"),1,0)</f>
        <v>0</v>
      </c>
      <c r="BF180">
        <f t="shared" si="87"/>
        <v>0</v>
      </c>
      <c r="BG180">
        <f>IF(ISNUMBER(Asistencia!M189),Asistencia!M189,0)</f>
        <v>0</v>
      </c>
      <c r="BH180">
        <f>IF(ISNUMBER(Asistencia!N189),Asistencia!N189,0)</f>
        <v>0</v>
      </c>
      <c r="BI180">
        <f>IF(ISNUMBER(Asistencia!O189),Asistencia!O189,0)</f>
        <v>0</v>
      </c>
      <c r="BJ180">
        <f>IF(ISNUMBER(Asistencia!P189),Asistencia!P189,0)</f>
        <v>0</v>
      </c>
      <c r="BK180" t="str">
        <f>IF(Asistencia!F189="","",Asistencia!F189)</f>
        <v/>
      </c>
      <c r="BL180" t="str">
        <f>IF(Asistencia!G189="","",Asistencia!G189)</f>
        <v/>
      </c>
      <c r="BM180" t="str">
        <f>IF(Asistencia!H189="","",Asistencia!H189)</f>
        <v/>
      </c>
      <c r="BN180" t="str">
        <f>IF(Asistencia!I189="","",Asistencia!I189)</f>
        <v/>
      </c>
      <c r="BO180" t="str">
        <f>IF(Asistencia!J189="","",Asistencia!J189)</f>
        <v/>
      </c>
      <c r="BP180" t="str">
        <f>IF(Asistencia!K189="","",Asistencia!K189)</f>
        <v/>
      </c>
      <c r="BQ180" t="str">
        <f>IF(Asistencia!L189="","",Asistencia!L189)</f>
        <v/>
      </c>
    </row>
    <row r="181" spans="1:69" x14ac:dyDescent="0.25">
      <c r="A181" s="46"/>
      <c r="B181" s="47"/>
      <c r="C181" s="47"/>
      <c r="D181" s="47"/>
      <c r="E181" s="46"/>
      <c r="F181" s="45"/>
      <c r="G181" s="44"/>
      <c r="H181" s="44"/>
      <c r="I181" s="44"/>
      <c r="J181" s="44"/>
      <c r="K181" s="44"/>
      <c r="L181" s="44"/>
      <c r="M181" s="43"/>
      <c r="N181" s="41"/>
      <c r="O181" s="41"/>
      <c r="P181" s="41"/>
      <c r="Q181" s="41"/>
      <c r="R181" s="41"/>
      <c r="S181" s="41"/>
      <c r="T181" s="48"/>
      <c r="U181" s="41"/>
      <c r="V181" s="41"/>
      <c r="W181" s="42"/>
      <c r="AA181" t="str">
        <f t="shared" si="84"/>
        <v/>
      </c>
      <c r="AB181" t="str">
        <f>IF(Asistencia!A190="","",Asistencia!A190)</f>
        <v/>
      </c>
      <c r="AC181" t="str">
        <f>IF(Asistencia!A190="","",SUBSTITUTE(SUBSTITUTE(SUBSTITUTE(SUBSTITUTE(SUBSTITUTE(SUBSTITUTE(SUBSTITUTE(UPPER(TRIM(Asistencia!A190)),"Á","A"),"É","E"),"Í","I"),"Ó","O"),"Ú","U"),"Ñ","N"),"  "," "))</f>
        <v/>
      </c>
      <c r="AD181" t="str">
        <f>IF(Asistencia!E190="","",Asistencia!E190)</f>
        <v/>
      </c>
      <c r="AE181" t="str">
        <f>IF(Asistencia!D190="","",UPPER(TRIM(Asistencia!D190)))</f>
        <v/>
      </c>
      <c r="AF181" t="s">
        <v>194</v>
      </c>
      <c r="AG181">
        <f>IF(AND(AA181&lt;&gt;"",COUNTIF($AA$5:AA181,AA181)=1),1,0)</f>
        <v>0</v>
      </c>
      <c r="AH181" t="str">
        <f>IF(AG181=1,SUM($AG$5:AG181),"")</f>
        <v/>
      </c>
      <c r="AI181">
        <f>IF(OR(EXACT(Asistencia!F190,"A"),EXACT(Asistencia!F190,"R"),EXACT(Asistencia!F190,"DL"),EXACT(Asistencia!F190,"FL"),EXACT(Asistencia!F190,"FE"),EXACT(Asistencia!F190,"PCS"),EXACT(Asistencia!F190,"V")),1,0)</f>
        <v>0</v>
      </c>
      <c r="AJ181">
        <f>IF(OR(EXACT(Asistencia!G190,"A"),EXACT(Asistencia!G190,"R"),EXACT(Asistencia!G190,"DL"),EXACT(Asistencia!G190,"FL"),EXACT(Asistencia!G190,"FE"),EXACT(Asistencia!G190,"PCS"),EXACT(Asistencia!G190,"V")),1,0)</f>
        <v>0</v>
      </c>
      <c r="AK181">
        <f>IF(OR(EXACT(Asistencia!H190,"A"),EXACT(Asistencia!H190,"R"),EXACT(Asistencia!H190,"DL"),EXACT(Asistencia!H190,"FL"),EXACT(Asistencia!H190,"FE"),EXACT(Asistencia!H190,"PCS"),EXACT(Asistencia!H190,"V")),1,0)</f>
        <v>0</v>
      </c>
      <c r="AL181">
        <f>IF(OR(EXACT(Asistencia!I190,"A"),EXACT(Asistencia!I190,"R"),EXACT(Asistencia!I190,"DL"),EXACT(Asistencia!I190,"FL"),EXACT(Asistencia!I190,"FE"),EXACT(Asistencia!I190,"PCS"),EXACT(Asistencia!I190,"V")),1,0)</f>
        <v>0</v>
      </c>
      <c r="AM181">
        <f>IF(OR(EXACT(Asistencia!J190,"A"),EXACT(Asistencia!J190,"R"),EXACT(Asistencia!J190,"DL"),EXACT(Asistencia!J190,"FL"),EXACT(Asistencia!J190,"FE"),EXACT(Asistencia!J190,"PCS"),EXACT(Asistencia!J190,"V")),1,0)</f>
        <v>0</v>
      </c>
      <c r="AN181">
        <f>IF(OR(EXACT(Asistencia!K190,"A"),EXACT(Asistencia!K190,"R"),EXACT(Asistencia!K190,"DL"),EXACT(Asistencia!K190,"FL"),EXACT(Asistencia!K190,"FE"),EXACT(Asistencia!K190,"PCS"),EXACT(Asistencia!K190,"V")),1,0)</f>
        <v>0</v>
      </c>
      <c r="AO181">
        <f>IF(OR(EXACT(Asistencia!L190,"A"),EXACT(Asistencia!L190,"R"),EXACT(Asistencia!L190,"DL"),EXACT(Asistencia!L190,"FL"),EXACT(Asistencia!L190,"FE"),EXACT(Asistencia!L190,"PCS"),EXACT(Asistencia!L190,"V")),1,0)</f>
        <v>0</v>
      </c>
      <c r="AP181">
        <f t="shared" si="85"/>
        <v>0</v>
      </c>
      <c r="AQ181">
        <f>IF(EXACT(Asistencia!F190,"FL"),1,0)</f>
        <v>0</v>
      </c>
      <c r="AR181">
        <f>IF(EXACT(Asistencia!G190,"FL"),1,0)</f>
        <v>0</v>
      </c>
      <c r="AS181">
        <f>IF(EXACT(Asistencia!H190,"FL"),1,0)</f>
        <v>0</v>
      </c>
      <c r="AT181">
        <f>IF(EXACT(Asistencia!I190,"FL"),1,0)</f>
        <v>0</v>
      </c>
      <c r="AU181">
        <f>IF(EXACT(Asistencia!J190,"FL"),1,0)</f>
        <v>0</v>
      </c>
      <c r="AV181">
        <f>IF(EXACT(Asistencia!K190,"FL"),1,0)</f>
        <v>0</v>
      </c>
      <c r="AW181">
        <f>IF(EXACT(Asistencia!L190,"FL"),1,0)</f>
        <v>0</v>
      </c>
      <c r="AX181">
        <f t="shared" si="86"/>
        <v>0</v>
      </c>
      <c r="AY181">
        <f>IF(EXACT(Asistencia!F190,"DL"),1,0)</f>
        <v>0</v>
      </c>
      <c r="AZ181">
        <f>IF(EXACT(Asistencia!G190,"DL"),1,0)</f>
        <v>0</v>
      </c>
      <c r="BA181">
        <f>IF(EXACT(Asistencia!H190,"DL"),1,0)</f>
        <v>0</v>
      </c>
      <c r="BB181">
        <f>IF(EXACT(Asistencia!I190,"DL"),1,0)</f>
        <v>0</v>
      </c>
      <c r="BC181">
        <f>IF(EXACT(Asistencia!J190,"DL"),1,0)</f>
        <v>0</v>
      </c>
      <c r="BD181">
        <f>IF(EXACT(Asistencia!K190,"DL"),1,0)</f>
        <v>0</v>
      </c>
      <c r="BE181">
        <f>IF(EXACT(Asistencia!L190,"DL"),1,0)</f>
        <v>0</v>
      </c>
      <c r="BF181">
        <f t="shared" si="87"/>
        <v>0</v>
      </c>
      <c r="BG181">
        <f>IF(ISNUMBER(Asistencia!M190),Asistencia!M190,0)</f>
        <v>0</v>
      </c>
      <c r="BH181">
        <f>IF(ISNUMBER(Asistencia!N190),Asistencia!N190,0)</f>
        <v>0</v>
      </c>
      <c r="BI181">
        <f>IF(ISNUMBER(Asistencia!O190),Asistencia!O190,0)</f>
        <v>0</v>
      </c>
      <c r="BJ181">
        <f>IF(ISNUMBER(Asistencia!P190),Asistencia!P190,0)</f>
        <v>0</v>
      </c>
      <c r="BK181" t="str">
        <f>IF(Asistencia!F190="","",Asistencia!F190)</f>
        <v/>
      </c>
      <c r="BL181" t="str">
        <f>IF(Asistencia!G190="","",Asistencia!G190)</f>
        <v/>
      </c>
      <c r="BM181" t="str">
        <f>IF(Asistencia!H190="","",Asistencia!H190)</f>
        <v/>
      </c>
      <c r="BN181" t="str">
        <f>IF(Asistencia!I190="","",Asistencia!I190)</f>
        <v/>
      </c>
      <c r="BO181" t="str">
        <f>IF(Asistencia!J190="","",Asistencia!J190)</f>
        <v/>
      </c>
      <c r="BP181" t="str">
        <f>IF(Asistencia!K190="","",Asistencia!K190)</f>
        <v/>
      </c>
      <c r="BQ181" t="str">
        <f>IF(Asistencia!L190="","",Asistencia!L190)</f>
        <v/>
      </c>
    </row>
    <row r="182" spans="1:69" x14ac:dyDescent="0.25">
      <c r="A182" s="46"/>
      <c r="B182" s="47"/>
      <c r="C182" s="47"/>
      <c r="D182" s="47"/>
      <c r="E182" s="46"/>
      <c r="F182" s="45"/>
      <c r="G182" s="44"/>
      <c r="H182" s="44"/>
      <c r="I182" s="44"/>
      <c r="J182" s="44"/>
      <c r="K182" s="44"/>
      <c r="L182" s="44"/>
      <c r="M182" s="43"/>
      <c r="N182" s="41"/>
      <c r="O182" s="41"/>
      <c r="P182" s="41"/>
      <c r="Q182" s="41"/>
      <c r="R182" s="41"/>
      <c r="S182" s="41"/>
      <c r="T182" s="48"/>
      <c r="U182" s="41"/>
      <c r="V182" s="41"/>
      <c r="W182" s="42"/>
      <c r="AA182" t="str">
        <f t="shared" si="84"/>
        <v/>
      </c>
      <c r="AB182" t="str">
        <f>IF(Asistencia!A191="","",Asistencia!A191)</f>
        <v/>
      </c>
      <c r="AC182" t="str">
        <f>IF(Asistencia!A191="","",SUBSTITUTE(SUBSTITUTE(SUBSTITUTE(SUBSTITUTE(SUBSTITUTE(SUBSTITUTE(SUBSTITUTE(UPPER(TRIM(Asistencia!A191)),"Á","A"),"É","E"),"Í","I"),"Ó","O"),"Ú","U"),"Ñ","N"),"  "," "))</f>
        <v/>
      </c>
      <c r="AD182" t="str">
        <f>IF(Asistencia!E191="","",Asistencia!E191)</f>
        <v/>
      </c>
      <c r="AE182" t="str">
        <f>IF(Asistencia!D191="","",UPPER(TRIM(Asistencia!D191)))</f>
        <v/>
      </c>
      <c r="AF182" t="s">
        <v>194</v>
      </c>
      <c r="AG182">
        <f>IF(AND(AA182&lt;&gt;"",COUNTIF($AA$5:AA182,AA182)=1),1,0)</f>
        <v>0</v>
      </c>
      <c r="AH182" t="str">
        <f>IF(AG182=1,SUM($AG$5:AG182),"")</f>
        <v/>
      </c>
      <c r="AI182">
        <f>IF(OR(EXACT(Asistencia!F191,"A"),EXACT(Asistencia!F191,"R"),EXACT(Asistencia!F191,"DL"),EXACT(Asistencia!F191,"FL"),EXACT(Asistencia!F191,"FE"),EXACT(Asistencia!F191,"PCS"),EXACT(Asistencia!F191,"V")),1,0)</f>
        <v>0</v>
      </c>
      <c r="AJ182">
        <f>IF(OR(EXACT(Asistencia!G191,"A"),EXACT(Asistencia!G191,"R"),EXACT(Asistencia!G191,"DL"),EXACT(Asistencia!G191,"FL"),EXACT(Asistencia!G191,"FE"),EXACT(Asistencia!G191,"PCS"),EXACT(Asistencia!G191,"V")),1,0)</f>
        <v>0</v>
      </c>
      <c r="AK182">
        <f>IF(OR(EXACT(Asistencia!H191,"A"),EXACT(Asistencia!H191,"R"),EXACT(Asistencia!H191,"DL"),EXACT(Asistencia!H191,"FL"),EXACT(Asistencia!H191,"FE"),EXACT(Asistencia!H191,"PCS"),EXACT(Asistencia!H191,"V")),1,0)</f>
        <v>0</v>
      </c>
      <c r="AL182">
        <f>IF(OR(EXACT(Asistencia!I191,"A"),EXACT(Asistencia!I191,"R"),EXACT(Asistencia!I191,"DL"),EXACT(Asistencia!I191,"FL"),EXACT(Asistencia!I191,"FE"),EXACT(Asistencia!I191,"PCS"),EXACT(Asistencia!I191,"V")),1,0)</f>
        <v>0</v>
      </c>
      <c r="AM182">
        <f>IF(OR(EXACT(Asistencia!J191,"A"),EXACT(Asistencia!J191,"R"),EXACT(Asistencia!J191,"DL"),EXACT(Asistencia!J191,"FL"),EXACT(Asistencia!J191,"FE"),EXACT(Asistencia!J191,"PCS"),EXACT(Asistencia!J191,"V")),1,0)</f>
        <v>0</v>
      </c>
      <c r="AN182">
        <f>IF(OR(EXACT(Asistencia!K191,"A"),EXACT(Asistencia!K191,"R"),EXACT(Asistencia!K191,"DL"),EXACT(Asistencia!K191,"FL"),EXACT(Asistencia!K191,"FE"),EXACT(Asistencia!K191,"PCS"),EXACT(Asistencia!K191,"V")),1,0)</f>
        <v>0</v>
      </c>
      <c r="AO182">
        <f>IF(OR(EXACT(Asistencia!L191,"A"),EXACT(Asistencia!L191,"R"),EXACT(Asistencia!L191,"DL"),EXACT(Asistencia!L191,"FL"),EXACT(Asistencia!L191,"FE"),EXACT(Asistencia!L191,"PCS"),EXACT(Asistencia!L191,"V")),1,0)</f>
        <v>0</v>
      </c>
      <c r="AP182">
        <f t="shared" si="85"/>
        <v>0</v>
      </c>
      <c r="AQ182">
        <f>IF(EXACT(Asistencia!F191,"FL"),1,0)</f>
        <v>0</v>
      </c>
      <c r="AR182">
        <f>IF(EXACT(Asistencia!G191,"FL"),1,0)</f>
        <v>0</v>
      </c>
      <c r="AS182">
        <f>IF(EXACT(Asistencia!H191,"FL"),1,0)</f>
        <v>0</v>
      </c>
      <c r="AT182">
        <f>IF(EXACT(Asistencia!I191,"FL"),1,0)</f>
        <v>0</v>
      </c>
      <c r="AU182">
        <f>IF(EXACT(Asistencia!J191,"FL"),1,0)</f>
        <v>0</v>
      </c>
      <c r="AV182">
        <f>IF(EXACT(Asistencia!K191,"FL"),1,0)</f>
        <v>0</v>
      </c>
      <c r="AW182">
        <f>IF(EXACT(Asistencia!L191,"FL"),1,0)</f>
        <v>0</v>
      </c>
      <c r="AX182">
        <f t="shared" si="86"/>
        <v>0</v>
      </c>
      <c r="AY182">
        <f>IF(EXACT(Asistencia!F191,"DL"),1,0)</f>
        <v>0</v>
      </c>
      <c r="AZ182">
        <f>IF(EXACT(Asistencia!G191,"DL"),1,0)</f>
        <v>0</v>
      </c>
      <c r="BA182">
        <f>IF(EXACT(Asistencia!H191,"DL"),1,0)</f>
        <v>0</v>
      </c>
      <c r="BB182">
        <f>IF(EXACT(Asistencia!I191,"DL"),1,0)</f>
        <v>0</v>
      </c>
      <c r="BC182">
        <f>IF(EXACT(Asistencia!J191,"DL"),1,0)</f>
        <v>0</v>
      </c>
      <c r="BD182">
        <f>IF(EXACT(Asistencia!K191,"DL"),1,0)</f>
        <v>0</v>
      </c>
      <c r="BE182">
        <f>IF(EXACT(Asistencia!L191,"DL"),1,0)</f>
        <v>0</v>
      </c>
      <c r="BF182">
        <f t="shared" si="87"/>
        <v>0</v>
      </c>
      <c r="BG182">
        <f>IF(ISNUMBER(Asistencia!M191),Asistencia!M191,0)</f>
        <v>0</v>
      </c>
      <c r="BH182">
        <f>IF(ISNUMBER(Asistencia!N191),Asistencia!N191,0)</f>
        <v>0</v>
      </c>
      <c r="BI182">
        <f>IF(ISNUMBER(Asistencia!O191),Asistencia!O191,0)</f>
        <v>0</v>
      </c>
      <c r="BJ182">
        <f>IF(ISNUMBER(Asistencia!P191),Asistencia!P191,0)</f>
        <v>0</v>
      </c>
      <c r="BK182" t="str">
        <f>IF(Asistencia!F191="","",Asistencia!F191)</f>
        <v/>
      </c>
      <c r="BL182" t="str">
        <f>IF(Asistencia!G191="","",Asistencia!G191)</f>
        <v/>
      </c>
      <c r="BM182" t="str">
        <f>IF(Asistencia!H191="","",Asistencia!H191)</f>
        <v/>
      </c>
      <c r="BN182" t="str">
        <f>IF(Asistencia!I191="","",Asistencia!I191)</f>
        <v/>
      </c>
      <c r="BO182" t="str">
        <f>IF(Asistencia!J191="","",Asistencia!J191)</f>
        <v/>
      </c>
      <c r="BP182" t="str">
        <f>IF(Asistencia!K191="","",Asistencia!K191)</f>
        <v/>
      </c>
      <c r="BQ182" t="str">
        <f>IF(Asistencia!L191="","",Asistencia!L191)</f>
        <v/>
      </c>
    </row>
    <row r="183" spans="1:69" x14ac:dyDescent="0.25">
      <c r="A183" s="46"/>
      <c r="B183" s="47"/>
      <c r="C183" s="47"/>
      <c r="D183" s="47"/>
      <c r="E183" s="46"/>
      <c r="F183" s="45"/>
      <c r="G183" s="44"/>
      <c r="H183" s="44"/>
      <c r="I183" s="44"/>
      <c r="J183" s="44"/>
      <c r="K183" s="44"/>
      <c r="L183" s="44"/>
      <c r="M183" s="43"/>
      <c r="N183" s="41"/>
      <c r="O183" s="41"/>
      <c r="P183" s="41"/>
      <c r="Q183" s="41"/>
      <c r="R183" s="41"/>
      <c r="S183" s="41"/>
      <c r="T183" s="48"/>
      <c r="U183" s="41"/>
      <c r="V183" s="41"/>
      <c r="W183" s="42"/>
      <c r="AA183" t="str">
        <f t="shared" si="84"/>
        <v/>
      </c>
      <c r="AB183" t="str">
        <f>IF(Asistencia!A192="","",Asistencia!A192)</f>
        <v/>
      </c>
      <c r="AC183" t="str">
        <f>IF(Asistencia!A192="","",SUBSTITUTE(SUBSTITUTE(SUBSTITUTE(SUBSTITUTE(SUBSTITUTE(SUBSTITUTE(SUBSTITUTE(UPPER(TRIM(Asistencia!A192)),"Á","A"),"É","E"),"Í","I"),"Ó","O"),"Ú","U"),"Ñ","N"),"  "," "))</f>
        <v/>
      </c>
      <c r="AD183" t="str">
        <f>IF(Asistencia!E192="","",Asistencia!E192)</f>
        <v/>
      </c>
      <c r="AE183" t="str">
        <f>IF(Asistencia!D192="","",UPPER(TRIM(Asistencia!D192)))</f>
        <v/>
      </c>
      <c r="AF183" t="s">
        <v>194</v>
      </c>
      <c r="AG183">
        <f>IF(AND(AA183&lt;&gt;"",COUNTIF($AA$5:AA183,AA183)=1),1,0)</f>
        <v>0</v>
      </c>
      <c r="AH183" t="str">
        <f>IF(AG183=1,SUM($AG$5:AG183),"")</f>
        <v/>
      </c>
      <c r="AI183">
        <f>IF(OR(EXACT(Asistencia!F192,"A"),EXACT(Asistencia!F192,"R"),EXACT(Asistencia!F192,"DL"),EXACT(Asistencia!F192,"FL"),EXACT(Asistencia!F192,"FE"),EXACT(Asistencia!F192,"PCS"),EXACT(Asistencia!F192,"V")),1,0)</f>
        <v>0</v>
      </c>
      <c r="AJ183">
        <f>IF(OR(EXACT(Asistencia!G192,"A"),EXACT(Asistencia!G192,"R"),EXACT(Asistencia!G192,"DL"),EXACT(Asistencia!G192,"FL"),EXACT(Asistencia!G192,"FE"),EXACT(Asistencia!G192,"PCS"),EXACT(Asistencia!G192,"V")),1,0)</f>
        <v>0</v>
      </c>
      <c r="AK183">
        <f>IF(OR(EXACT(Asistencia!H192,"A"),EXACT(Asistencia!H192,"R"),EXACT(Asistencia!H192,"DL"),EXACT(Asistencia!H192,"FL"),EXACT(Asistencia!H192,"FE"),EXACT(Asistencia!H192,"PCS"),EXACT(Asistencia!H192,"V")),1,0)</f>
        <v>0</v>
      </c>
      <c r="AL183">
        <f>IF(OR(EXACT(Asistencia!I192,"A"),EXACT(Asistencia!I192,"R"),EXACT(Asistencia!I192,"DL"),EXACT(Asistencia!I192,"FL"),EXACT(Asistencia!I192,"FE"),EXACT(Asistencia!I192,"PCS"),EXACT(Asistencia!I192,"V")),1,0)</f>
        <v>0</v>
      </c>
      <c r="AM183">
        <f>IF(OR(EXACT(Asistencia!J192,"A"),EXACT(Asistencia!J192,"R"),EXACT(Asistencia!J192,"DL"),EXACT(Asistencia!J192,"FL"),EXACT(Asistencia!J192,"FE"),EXACT(Asistencia!J192,"PCS"),EXACT(Asistencia!J192,"V")),1,0)</f>
        <v>0</v>
      </c>
      <c r="AN183">
        <f>IF(OR(EXACT(Asistencia!K192,"A"),EXACT(Asistencia!K192,"R"),EXACT(Asistencia!K192,"DL"),EXACT(Asistencia!K192,"FL"),EXACT(Asistencia!K192,"FE"),EXACT(Asistencia!K192,"PCS"),EXACT(Asistencia!K192,"V")),1,0)</f>
        <v>0</v>
      </c>
      <c r="AO183">
        <f>IF(OR(EXACT(Asistencia!L192,"A"),EXACT(Asistencia!L192,"R"),EXACT(Asistencia!L192,"DL"),EXACT(Asistencia!L192,"FL"),EXACT(Asistencia!L192,"FE"),EXACT(Asistencia!L192,"PCS"),EXACT(Asistencia!L192,"V")),1,0)</f>
        <v>0</v>
      </c>
      <c r="AP183">
        <f t="shared" si="85"/>
        <v>0</v>
      </c>
      <c r="AQ183">
        <f>IF(EXACT(Asistencia!F192,"FL"),1,0)</f>
        <v>0</v>
      </c>
      <c r="AR183">
        <f>IF(EXACT(Asistencia!G192,"FL"),1,0)</f>
        <v>0</v>
      </c>
      <c r="AS183">
        <f>IF(EXACT(Asistencia!H192,"FL"),1,0)</f>
        <v>0</v>
      </c>
      <c r="AT183">
        <f>IF(EXACT(Asistencia!I192,"FL"),1,0)</f>
        <v>0</v>
      </c>
      <c r="AU183">
        <f>IF(EXACT(Asistencia!J192,"FL"),1,0)</f>
        <v>0</v>
      </c>
      <c r="AV183">
        <f>IF(EXACT(Asistencia!K192,"FL"),1,0)</f>
        <v>0</v>
      </c>
      <c r="AW183">
        <f>IF(EXACT(Asistencia!L192,"FL"),1,0)</f>
        <v>0</v>
      </c>
      <c r="AX183">
        <f t="shared" si="86"/>
        <v>0</v>
      </c>
      <c r="AY183">
        <f>IF(EXACT(Asistencia!F192,"DL"),1,0)</f>
        <v>0</v>
      </c>
      <c r="AZ183">
        <f>IF(EXACT(Asistencia!G192,"DL"),1,0)</f>
        <v>0</v>
      </c>
      <c r="BA183">
        <f>IF(EXACT(Asistencia!H192,"DL"),1,0)</f>
        <v>0</v>
      </c>
      <c r="BB183">
        <f>IF(EXACT(Asistencia!I192,"DL"),1,0)</f>
        <v>0</v>
      </c>
      <c r="BC183">
        <f>IF(EXACT(Asistencia!J192,"DL"),1,0)</f>
        <v>0</v>
      </c>
      <c r="BD183">
        <f>IF(EXACT(Asistencia!K192,"DL"),1,0)</f>
        <v>0</v>
      </c>
      <c r="BE183">
        <f>IF(EXACT(Asistencia!L192,"DL"),1,0)</f>
        <v>0</v>
      </c>
      <c r="BF183">
        <f t="shared" si="87"/>
        <v>0</v>
      </c>
      <c r="BG183">
        <f>IF(ISNUMBER(Asistencia!M192),Asistencia!M192,0)</f>
        <v>0</v>
      </c>
      <c r="BH183">
        <f>IF(ISNUMBER(Asistencia!N192),Asistencia!N192,0)</f>
        <v>0</v>
      </c>
      <c r="BI183">
        <f>IF(ISNUMBER(Asistencia!O192),Asistencia!O192,0)</f>
        <v>0</v>
      </c>
      <c r="BJ183">
        <f>IF(ISNUMBER(Asistencia!P192),Asistencia!P192,0)</f>
        <v>0</v>
      </c>
      <c r="BK183" t="str">
        <f>IF(Asistencia!F192="","",Asistencia!F192)</f>
        <v/>
      </c>
      <c r="BL183" t="str">
        <f>IF(Asistencia!G192="","",Asistencia!G192)</f>
        <v/>
      </c>
      <c r="BM183" t="str">
        <f>IF(Asistencia!H192="","",Asistencia!H192)</f>
        <v/>
      </c>
      <c r="BN183" t="str">
        <f>IF(Asistencia!I192="","",Asistencia!I192)</f>
        <v/>
      </c>
      <c r="BO183" t="str">
        <f>IF(Asistencia!J192="","",Asistencia!J192)</f>
        <v/>
      </c>
      <c r="BP183" t="str">
        <f>IF(Asistencia!K192="","",Asistencia!K192)</f>
        <v/>
      </c>
      <c r="BQ183" t="str">
        <f>IF(Asistencia!L192="","",Asistencia!L192)</f>
        <v/>
      </c>
    </row>
    <row r="184" spans="1:69" x14ac:dyDescent="0.25">
      <c r="A184" s="46"/>
      <c r="B184" s="47"/>
      <c r="C184" s="47"/>
      <c r="D184" s="47"/>
      <c r="E184" s="46"/>
      <c r="F184" s="45"/>
      <c r="G184" s="44"/>
      <c r="H184" s="44"/>
      <c r="I184" s="44"/>
      <c r="J184" s="44"/>
      <c r="K184" s="44"/>
      <c r="L184" s="44"/>
      <c r="M184" s="43"/>
      <c r="N184" s="41"/>
      <c r="O184" s="41"/>
      <c r="P184" s="41"/>
      <c r="Q184" s="41"/>
      <c r="R184" s="41"/>
      <c r="S184" s="41"/>
      <c r="T184" s="48"/>
      <c r="U184" s="41"/>
      <c r="V184" s="41"/>
      <c r="W184" s="42"/>
      <c r="AA184" t="str">
        <f t="shared" si="84"/>
        <v/>
      </c>
      <c r="AB184" t="str">
        <f>IF(Asistencia!A193="","",Asistencia!A193)</f>
        <v/>
      </c>
      <c r="AC184" t="str">
        <f>IF(Asistencia!A193="","",SUBSTITUTE(SUBSTITUTE(SUBSTITUTE(SUBSTITUTE(SUBSTITUTE(SUBSTITUTE(SUBSTITUTE(UPPER(TRIM(Asistencia!A193)),"Á","A"),"É","E"),"Í","I"),"Ó","O"),"Ú","U"),"Ñ","N"),"  "," "))</f>
        <v/>
      </c>
      <c r="AD184" t="str">
        <f>IF(Asistencia!E193="","",Asistencia!E193)</f>
        <v/>
      </c>
      <c r="AE184" t="str">
        <f>IF(Asistencia!D193="","",UPPER(TRIM(Asistencia!D193)))</f>
        <v/>
      </c>
      <c r="AF184" t="s">
        <v>194</v>
      </c>
      <c r="AG184">
        <f>IF(AND(AA184&lt;&gt;"",COUNTIF($AA$5:AA184,AA184)=1),1,0)</f>
        <v>0</v>
      </c>
      <c r="AH184" t="str">
        <f>IF(AG184=1,SUM($AG$5:AG184),"")</f>
        <v/>
      </c>
      <c r="AI184">
        <f>IF(OR(EXACT(Asistencia!F193,"A"),EXACT(Asistencia!F193,"R"),EXACT(Asistencia!F193,"DL"),EXACT(Asistencia!F193,"FL"),EXACT(Asistencia!F193,"FE"),EXACT(Asistencia!F193,"PCS"),EXACT(Asistencia!F193,"V")),1,0)</f>
        <v>0</v>
      </c>
      <c r="AJ184">
        <f>IF(OR(EXACT(Asistencia!G193,"A"),EXACT(Asistencia!G193,"R"),EXACT(Asistencia!G193,"DL"),EXACT(Asistencia!G193,"FL"),EXACT(Asistencia!G193,"FE"),EXACT(Asistencia!G193,"PCS"),EXACT(Asistencia!G193,"V")),1,0)</f>
        <v>0</v>
      </c>
      <c r="AK184">
        <f>IF(OR(EXACT(Asistencia!H193,"A"),EXACT(Asistencia!H193,"R"),EXACT(Asistencia!H193,"DL"),EXACT(Asistencia!H193,"FL"),EXACT(Asistencia!H193,"FE"),EXACT(Asistencia!H193,"PCS"),EXACT(Asistencia!H193,"V")),1,0)</f>
        <v>0</v>
      </c>
      <c r="AL184">
        <f>IF(OR(EXACT(Asistencia!I193,"A"),EXACT(Asistencia!I193,"R"),EXACT(Asistencia!I193,"DL"),EXACT(Asistencia!I193,"FL"),EXACT(Asistencia!I193,"FE"),EXACT(Asistencia!I193,"PCS"),EXACT(Asistencia!I193,"V")),1,0)</f>
        <v>0</v>
      </c>
      <c r="AM184">
        <f>IF(OR(EXACT(Asistencia!J193,"A"),EXACT(Asistencia!J193,"R"),EXACT(Asistencia!J193,"DL"),EXACT(Asistencia!J193,"FL"),EXACT(Asistencia!J193,"FE"),EXACT(Asistencia!J193,"PCS"),EXACT(Asistencia!J193,"V")),1,0)</f>
        <v>0</v>
      </c>
      <c r="AN184">
        <f>IF(OR(EXACT(Asistencia!K193,"A"),EXACT(Asistencia!K193,"R"),EXACT(Asistencia!K193,"DL"),EXACT(Asistencia!K193,"FL"),EXACT(Asistencia!K193,"FE"),EXACT(Asistencia!K193,"PCS"),EXACT(Asistencia!K193,"V")),1,0)</f>
        <v>0</v>
      </c>
      <c r="AO184">
        <f>IF(OR(EXACT(Asistencia!L193,"A"),EXACT(Asistencia!L193,"R"),EXACT(Asistencia!L193,"DL"),EXACT(Asistencia!L193,"FL"),EXACT(Asistencia!L193,"FE"),EXACT(Asistencia!L193,"PCS"),EXACT(Asistencia!L193,"V")),1,0)</f>
        <v>0</v>
      </c>
      <c r="AP184">
        <f t="shared" si="85"/>
        <v>0</v>
      </c>
      <c r="AQ184">
        <f>IF(EXACT(Asistencia!F193,"FL"),1,0)</f>
        <v>0</v>
      </c>
      <c r="AR184">
        <f>IF(EXACT(Asistencia!G193,"FL"),1,0)</f>
        <v>0</v>
      </c>
      <c r="AS184">
        <f>IF(EXACT(Asistencia!H193,"FL"),1,0)</f>
        <v>0</v>
      </c>
      <c r="AT184">
        <f>IF(EXACT(Asistencia!I193,"FL"),1,0)</f>
        <v>0</v>
      </c>
      <c r="AU184">
        <f>IF(EXACT(Asistencia!J193,"FL"),1,0)</f>
        <v>0</v>
      </c>
      <c r="AV184">
        <f>IF(EXACT(Asistencia!K193,"FL"),1,0)</f>
        <v>0</v>
      </c>
      <c r="AW184">
        <f>IF(EXACT(Asistencia!L193,"FL"),1,0)</f>
        <v>0</v>
      </c>
      <c r="AX184">
        <f t="shared" si="86"/>
        <v>0</v>
      </c>
      <c r="AY184">
        <f>IF(EXACT(Asistencia!F193,"DL"),1,0)</f>
        <v>0</v>
      </c>
      <c r="AZ184">
        <f>IF(EXACT(Asistencia!G193,"DL"),1,0)</f>
        <v>0</v>
      </c>
      <c r="BA184">
        <f>IF(EXACT(Asistencia!H193,"DL"),1,0)</f>
        <v>0</v>
      </c>
      <c r="BB184">
        <f>IF(EXACT(Asistencia!I193,"DL"),1,0)</f>
        <v>0</v>
      </c>
      <c r="BC184">
        <f>IF(EXACT(Asistencia!J193,"DL"),1,0)</f>
        <v>0</v>
      </c>
      <c r="BD184">
        <f>IF(EXACT(Asistencia!K193,"DL"),1,0)</f>
        <v>0</v>
      </c>
      <c r="BE184">
        <f>IF(EXACT(Asistencia!L193,"DL"),1,0)</f>
        <v>0</v>
      </c>
      <c r="BF184">
        <f t="shared" si="87"/>
        <v>0</v>
      </c>
      <c r="BG184">
        <f>IF(ISNUMBER(Asistencia!M193),Asistencia!M193,0)</f>
        <v>0</v>
      </c>
      <c r="BH184">
        <f>IF(ISNUMBER(Asistencia!N193),Asistencia!N193,0)</f>
        <v>0</v>
      </c>
      <c r="BI184">
        <f>IF(ISNUMBER(Asistencia!O193),Asistencia!O193,0)</f>
        <v>0</v>
      </c>
      <c r="BJ184">
        <f>IF(ISNUMBER(Asistencia!P193),Asistencia!P193,0)</f>
        <v>0</v>
      </c>
      <c r="BK184" t="str">
        <f>IF(Asistencia!F193="","",Asistencia!F193)</f>
        <v/>
      </c>
      <c r="BL184" t="str">
        <f>IF(Asistencia!G193="","",Asistencia!G193)</f>
        <v/>
      </c>
      <c r="BM184" t="str">
        <f>IF(Asistencia!H193="","",Asistencia!H193)</f>
        <v/>
      </c>
      <c r="BN184" t="str">
        <f>IF(Asistencia!I193="","",Asistencia!I193)</f>
        <v/>
      </c>
      <c r="BO184" t="str">
        <f>IF(Asistencia!J193="","",Asistencia!J193)</f>
        <v/>
      </c>
      <c r="BP184" t="str">
        <f>IF(Asistencia!K193="","",Asistencia!K193)</f>
        <v/>
      </c>
      <c r="BQ184" t="str">
        <f>IF(Asistencia!L193="","",Asistencia!L193)</f>
        <v/>
      </c>
    </row>
    <row r="185" spans="1:69" x14ac:dyDescent="0.25">
      <c r="A185" s="46"/>
      <c r="B185" s="47"/>
      <c r="C185" s="47"/>
      <c r="D185" s="47"/>
      <c r="E185" s="46"/>
      <c r="F185" s="45"/>
      <c r="G185" s="44"/>
      <c r="H185" s="44"/>
      <c r="I185" s="44"/>
      <c r="J185" s="44"/>
      <c r="K185" s="44"/>
      <c r="L185" s="44"/>
      <c r="M185" s="43"/>
      <c r="N185" s="41"/>
      <c r="O185" s="41"/>
      <c r="P185" s="41"/>
      <c r="Q185" s="41"/>
      <c r="R185" s="41"/>
      <c r="S185" s="41"/>
      <c r="T185" s="48"/>
      <c r="U185" s="41"/>
      <c r="V185" s="41"/>
      <c r="W185" s="42"/>
      <c r="AA185" t="str">
        <f t="shared" si="84"/>
        <v/>
      </c>
      <c r="AB185" t="str">
        <f>IF(Asistencia!A194="","",Asistencia!A194)</f>
        <v/>
      </c>
      <c r="AC185" t="str">
        <f>IF(Asistencia!A194="","",SUBSTITUTE(SUBSTITUTE(SUBSTITUTE(SUBSTITUTE(SUBSTITUTE(SUBSTITUTE(SUBSTITUTE(UPPER(TRIM(Asistencia!A194)),"Á","A"),"É","E"),"Í","I"),"Ó","O"),"Ú","U"),"Ñ","N"),"  "," "))</f>
        <v/>
      </c>
      <c r="AD185" t="str">
        <f>IF(Asistencia!E194="","",Asistencia!E194)</f>
        <v/>
      </c>
      <c r="AE185" t="str">
        <f>IF(Asistencia!D194="","",UPPER(TRIM(Asistencia!D194)))</f>
        <v/>
      </c>
      <c r="AF185" t="s">
        <v>194</v>
      </c>
      <c r="AG185">
        <f>IF(AND(AA185&lt;&gt;"",COUNTIF($AA$5:AA185,AA185)=1),1,0)</f>
        <v>0</v>
      </c>
      <c r="AH185" t="str">
        <f>IF(AG185=1,SUM($AG$5:AG185),"")</f>
        <v/>
      </c>
      <c r="AI185">
        <f>IF(OR(EXACT(Asistencia!F194,"A"),EXACT(Asistencia!F194,"R"),EXACT(Asistencia!F194,"DL"),EXACT(Asistencia!F194,"FL"),EXACT(Asistencia!F194,"FE"),EXACT(Asistencia!F194,"PCS"),EXACT(Asistencia!F194,"V")),1,0)</f>
        <v>0</v>
      </c>
      <c r="AJ185">
        <f>IF(OR(EXACT(Asistencia!G194,"A"),EXACT(Asistencia!G194,"R"),EXACT(Asistencia!G194,"DL"),EXACT(Asistencia!G194,"FL"),EXACT(Asistencia!G194,"FE"),EXACT(Asistencia!G194,"PCS"),EXACT(Asistencia!G194,"V")),1,0)</f>
        <v>0</v>
      </c>
      <c r="AK185">
        <f>IF(OR(EXACT(Asistencia!H194,"A"),EXACT(Asistencia!H194,"R"),EXACT(Asistencia!H194,"DL"),EXACT(Asistencia!H194,"FL"),EXACT(Asistencia!H194,"FE"),EXACT(Asistencia!H194,"PCS"),EXACT(Asistencia!H194,"V")),1,0)</f>
        <v>0</v>
      </c>
      <c r="AL185">
        <f>IF(OR(EXACT(Asistencia!I194,"A"),EXACT(Asistencia!I194,"R"),EXACT(Asistencia!I194,"DL"),EXACT(Asistencia!I194,"FL"),EXACT(Asistencia!I194,"FE"),EXACT(Asistencia!I194,"PCS"),EXACT(Asistencia!I194,"V")),1,0)</f>
        <v>0</v>
      </c>
      <c r="AM185">
        <f>IF(OR(EXACT(Asistencia!J194,"A"),EXACT(Asistencia!J194,"R"),EXACT(Asistencia!J194,"DL"),EXACT(Asistencia!J194,"FL"),EXACT(Asistencia!J194,"FE"),EXACT(Asistencia!J194,"PCS"),EXACT(Asistencia!J194,"V")),1,0)</f>
        <v>0</v>
      </c>
      <c r="AN185">
        <f>IF(OR(EXACT(Asistencia!K194,"A"),EXACT(Asistencia!K194,"R"),EXACT(Asistencia!K194,"DL"),EXACT(Asistencia!K194,"FL"),EXACT(Asistencia!K194,"FE"),EXACT(Asistencia!K194,"PCS"),EXACT(Asistencia!K194,"V")),1,0)</f>
        <v>0</v>
      </c>
      <c r="AO185">
        <f>IF(OR(EXACT(Asistencia!L194,"A"),EXACT(Asistencia!L194,"R"),EXACT(Asistencia!L194,"DL"),EXACT(Asistencia!L194,"FL"),EXACT(Asistencia!L194,"FE"),EXACT(Asistencia!L194,"PCS"),EXACT(Asistencia!L194,"V")),1,0)</f>
        <v>0</v>
      </c>
      <c r="AP185">
        <f t="shared" si="85"/>
        <v>0</v>
      </c>
      <c r="AQ185">
        <f>IF(EXACT(Asistencia!F194,"FL"),1,0)</f>
        <v>0</v>
      </c>
      <c r="AR185">
        <f>IF(EXACT(Asistencia!G194,"FL"),1,0)</f>
        <v>0</v>
      </c>
      <c r="AS185">
        <f>IF(EXACT(Asistencia!H194,"FL"),1,0)</f>
        <v>0</v>
      </c>
      <c r="AT185">
        <f>IF(EXACT(Asistencia!I194,"FL"),1,0)</f>
        <v>0</v>
      </c>
      <c r="AU185">
        <f>IF(EXACT(Asistencia!J194,"FL"),1,0)</f>
        <v>0</v>
      </c>
      <c r="AV185">
        <f>IF(EXACT(Asistencia!K194,"FL"),1,0)</f>
        <v>0</v>
      </c>
      <c r="AW185">
        <f>IF(EXACT(Asistencia!L194,"FL"),1,0)</f>
        <v>0</v>
      </c>
      <c r="AX185">
        <f t="shared" si="86"/>
        <v>0</v>
      </c>
      <c r="AY185">
        <f>IF(EXACT(Asistencia!F194,"DL"),1,0)</f>
        <v>0</v>
      </c>
      <c r="AZ185">
        <f>IF(EXACT(Asistencia!G194,"DL"),1,0)</f>
        <v>0</v>
      </c>
      <c r="BA185">
        <f>IF(EXACT(Asistencia!H194,"DL"),1,0)</f>
        <v>0</v>
      </c>
      <c r="BB185">
        <f>IF(EXACT(Asistencia!I194,"DL"),1,0)</f>
        <v>0</v>
      </c>
      <c r="BC185">
        <f>IF(EXACT(Asistencia!J194,"DL"),1,0)</f>
        <v>0</v>
      </c>
      <c r="BD185">
        <f>IF(EXACT(Asistencia!K194,"DL"),1,0)</f>
        <v>0</v>
      </c>
      <c r="BE185">
        <f>IF(EXACT(Asistencia!L194,"DL"),1,0)</f>
        <v>0</v>
      </c>
      <c r="BF185">
        <f t="shared" si="87"/>
        <v>0</v>
      </c>
      <c r="BG185">
        <f>IF(ISNUMBER(Asistencia!M194),Asistencia!M194,0)</f>
        <v>0</v>
      </c>
      <c r="BH185">
        <f>IF(ISNUMBER(Asistencia!N194),Asistencia!N194,0)</f>
        <v>0</v>
      </c>
      <c r="BI185">
        <f>IF(ISNUMBER(Asistencia!O194),Asistencia!O194,0)</f>
        <v>0</v>
      </c>
      <c r="BJ185">
        <f>IF(ISNUMBER(Asistencia!P194),Asistencia!P194,0)</f>
        <v>0</v>
      </c>
      <c r="BK185" t="str">
        <f>IF(Asistencia!F194="","",Asistencia!F194)</f>
        <v/>
      </c>
      <c r="BL185" t="str">
        <f>IF(Asistencia!G194="","",Asistencia!G194)</f>
        <v/>
      </c>
      <c r="BM185" t="str">
        <f>IF(Asistencia!H194="","",Asistencia!H194)</f>
        <v/>
      </c>
      <c r="BN185" t="str">
        <f>IF(Asistencia!I194="","",Asistencia!I194)</f>
        <v/>
      </c>
      <c r="BO185" t="str">
        <f>IF(Asistencia!J194="","",Asistencia!J194)</f>
        <v/>
      </c>
      <c r="BP185" t="str">
        <f>IF(Asistencia!K194="","",Asistencia!K194)</f>
        <v/>
      </c>
      <c r="BQ185" t="str">
        <f>IF(Asistencia!L194="","",Asistencia!L194)</f>
        <v/>
      </c>
    </row>
    <row r="186" spans="1:69" x14ac:dyDescent="0.25">
      <c r="A186" s="46"/>
      <c r="B186" s="47"/>
      <c r="C186" s="47"/>
      <c r="D186" s="47"/>
      <c r="E186" s="46"/>
      <c r="F186" s="45"/>
      <c r="G186" s="44"/>
      <c r="H186" s="44"/>
      <c r="I186" s="44"/>
      <c r="J186" s="44"/>
      <c r="K186" s="44"/>
      <c r="L186" s="44"/>
      <c r="M186" s="43"/>
      <c r="N186" s="41"/>
      <c r="O186" s="41"/>
      <c r="P186" s="41"/>
      <c r="Q186" s="41"/>
      <c r="R186" s="41"/>
      <c r="S186" s="41"/>
      <c r="T186" s="48"/>
      <c r="U186" s="41"/>
      <c r="V186" s="41"/>
      <c r="W186" s="42"/>
      <c r="AA186" t="str">
        <f t="shared" si="84"/>
        <v/>
      </c>
      <c r="AB186" t="str">
        <f>IF(Asistencia!A195="","",Asistencia!A195)</f>
        <v/>
      </c>
      <c r="AC186" t="str">
        <f>IF(Asistencia!A195="","",SUBSTITUTE(SUBSTITUTE(SUBSTITUTE(SUBSTITUTE(SUBSTITUTE(SUBSTITUTE(SUBSTITUTE(UPPER(TRIM(Asistencia!A195)),"Á","A"),"É","E"),"Í","I"),"Ó","O"),"Ú","U"),"Ñ","N"),"  "," "))</f>
        <v/>
      </c>
      <c r="AD186" t="str">
        <f>IF(Asistencia!E195="","",Asistencia!E195)</f>
        <v/>
      </c>
      <c r="AE186" t="str">
        <f>IF(Asistencia!D195="","",UPPER(TRIM(Asistencia!D195)))</f>
        <v/>
      </c>
      <c r="AF186" t="s">
        <v>194</v>
      </c>
      <c r="AG186">
        <f>IF(AND(AA186&lt;&gt;"",COUNTIF($AA$5:AA186,AA186)=1),1,0)</f>
        <v>0</v>
      </c>
      <c r="AH186" t="str">
        <f>IF(AG186=1,SUM($AG$5:AG186),"")</f>
        <v/>
      </c>
      <c r="AI186">
        <f>IF(OR(EXACT(Asistencia!F195,"A"),EXACT(Asistencia!F195,"R"),EXACT(Asistencia!F195,"DL"),EXACT(Asistencia!F195,"FL"),EXACT(Asistencia!F195,"FE"),EXACT(Asistencia!F195,"PCS"),EXACT(Asistencia!F195,"V")),1,0)</f>
        <v>0</v>
      </c>
      <c r="AJ186">
        <f>IF(OR(EXACT(Asistencia!G195,"A"),EXACT(Asistencia!G195,"R"),EXACT(Asistencia!G195,"DL"),EXACT(Asistencia!G195,"FL"),EXACT(Asistencia!G195,"FE"),EXACT(Asistencia!G195,"PCS"),EXACT(Asistencia!G195,"V")),1,0)</f>
        <v>0</v>
      </c>
      <c r="AK186">
        <f>IF(OR(EXACT(Asistencia!H195,"A"),EXACT(Asistencia!H195,"R"),EXACT(Asistencia!H195,"DL"),EXACT(Asistencia!H195,"FL"),EXACT(Asistencia!H195,"FE"),EXACT(Asistencia!H195,"PCS"),EXACT(Asistencia!H195,"V")),1,0)</f>
        <v>0</v>
      </c>
      <c r="AL186">
        <f>IF(OR(EXACT(Asistencia!I195,"A"),EXACT(Asistencia!I195,"R"),EXACT(Asistencia!I195,"DL"),EXACT(Asistencia!I195,"FL"),EXACT(Asistencia!I195,"FE"),EXACT(Asistencia!I195,"PCS"),EXACT(Asistencia!I195,"V")),1,0)</f>
        <v>0</v>
      </c>
      <c r="AM186">
        <f>IF(OR(EXACT(Asistencia!J195,"A"),EXACT(Asistencia!J195,"R"),EXACT(Asistencia!J195,"DL"),EXACT(Asistencia!J195,"FL"),EXACT(Asistencia!J195,"FE"),EXACT(Asistencia!J195,"PCS"),EXACT(Asistencia!J195,"V")),1,0)</f>
        <v>0</v>
      </c>
      <c r="AN186">
        <f>IF(OR(EXACT(Asistencia!K195,"A"),EXACT(Asistencia!K195,"R"),EXACT(Asistencia!K195,"DL"),EXACT(Asistencia!K195,"FL"),EXACT(Asistencia!K195,"FE"),EXACT(Asistencia!K195,"PCS"),EXACT(Asistencia!K195,"V")),1,0)</f>
        <v>0</v>
      </c>
      <c r="AO186">
        <f>IF(OR(EXACT(Asistencia!L195,"A"),EXACT(Asistencia!L195,"R"),EXACT(Asistencia!L195,"DL"),EXACT(Asistencia!L195,"FL"),EXACT(Asistencia!L195,"FE"),EXACT(Asistencia!L195,"PCS"),EXACT(Asistencia!L195,"V")),1,0)</f>
        <v>0</v>
      </c>
      <c r="AP186">
        <f t="shared" si="85"/>
        <v>0</v>
      </c>
      <c r="AQ186">
        <f>IF(EXACT(Asistencia!F195,"FL"),1,0)</f>
        <v>0</v>
      </c>
      <c r="AR186">
        <f>IF(EXACT(Asistencia!G195,"FL"),1,0)</f>
        <v>0</v>
      </c>
      <c r="AS186">
        <f>IF(EXACT(Asistencia!H195,"FL"),1,0)</f>
        <v>0</v>
      </c>
      <c r="AT186">
        <f>IF(EXACT(Asistencia!I195,"FL"),1,0)</f>
        <v>0</v>
      </c>
      <c r="AU186">
        <f>IF(EXACT(Asistencia!J195,"FL"),1,0)</f>
        <v>0</v>
      </c>
      <c r="AV186">
        <f>IF(EXACT(Asistencia!K195,"FL"),1,0)</f>
        <v>0</v>
      </c>
      <c r="AW186">
        <f>IF(EXACT(Asistencia!L195,"FL"),1,0)</f>
        <v>0</v>
      </c>
      <c r="AX186">
        <f t="shared" si="86"/>
        <v>0</v>
      </c>
      <c r="AY186">
        <f>IF(EXACT(Asistencia!F195,"DL"),1,0)</f>
        <v>0</v>
      </c>
      <c r="AZ186">
        <f>IF(EXACT(Asistencia!G195,"DL"),1,0)</f>
        <v>0</v>
      </c>
      <c r="BA186">
        <f>IF(EXACT(Asistencia!H195,"DL"),1,0)</f>
        <v>0</v>
      </c>
      <c r="BB186">
        <f>IF(EXACT(Asistencia!I195,"DL"),1,0)</f>
        <v>0</v>
      </c>
      <c r="BC186">
        <f>IF(EXACT(Asistencia!J195,"DL"),1,0)</f>
        <v>0</v>
      </c>
      <c r="BD186">
        <f>IF(EXACT(Asistencia!K195,"DL"),1,0)</f>
        <v>0</v>
      </c>
      <c r="BE186">
        <f>IF(EXACT(Asistencia!L195,"DL"),1,0)</f>
        <v>0</v>
      </c>
      <c r="BF186">
        <f t="shared" si="87"/>
        <v>0</v>
      </c>
      <c r="BG186">
        <f>IF(ISNUMBER(Asistencia!M195),Asistencia!M195,0)</f>
        <v>0</v>
      </c>
      <c r="BH186">
        <f>IF(ISNUMBER(Asistencia!N195),Asistencia!N195,0)</f>
        <v>0</v>
      </c>
      <c r="BI186">
        <f>IF(ISNUMBER(Asistencia!O195),Asistencia!O195,0)</f>
        <v>0</v>
      </c>
      <c r="BJ186">
        <f>IF(ISNUMBER(Asistencia!P195),Asistencia!P195,0)</f>
        <v>0</v>
      </c>
      <c r="BK186" t="str">
        <f>IF(Asistencia!F195="","",Asistencia!F195)</f>
        <v/>
      </c>
      <c r="BL186" t="str">
        <f>IF(Asistencia!G195="","",Asistencia!G195)</f>
        <v/>
      </c>
      <c r="BM186" t="str">
        <f>IF(Asistencia!H195="","",Asistencia!H195)</f>
        <v/>
      </c>
      <c r="BN186" t="str">
        <f>IF(Asistencia!I195="","",Asistencia!I195)</f>
        <v/>
      </c>
      <c r="BO186" t="str">
        <f>IF(Asistencia!J195="","",Asistencia!J195)</f>
        <v/>
      </c>
      <c r="BP186" t="str">
        <f>IF(Asistencia!K195="","",Asistencia!K195)</f>
        <v/>
      </c>
      <c r="BQ186" t="str">
        <f>IF(Asistencia!L195="","",Asistencia!L195)</f>
        <v/>
      </c>
    </row>
    <row r="187" spans="1:69" x14ac:dyDescent="0.25">
      <c r="A187" s="46"/>
      <c r="B187" s="47"/>
      <c r="C187" s="47"/>
      <c r="D187" s="47"/>
      <c r="E187" s="46"/>
      <c r="F187" s="45"/>
      <c r="G187" s="44"/>
      <c r="H187" s="44"/>
      <c r="I187" s="44"/>
      <c r="J187" s="44"/>
      <c r="K187" s="44"/>
      <c r="L187" s="44"/>
      <c r="M187" s="43"/>
      <c r="N187" s="41"/>
      <c r="O187" s="41"/>
      <c r="P187" s="41"/>
      <c r="Q187" s="41"/>
      <c r="R187" s="41"/>
      <c r="S187" s="41"/>
      <c r="T187" s="48"/>
      <c r="U187" s="41"/>
      <c r="V187" s="41"/>
      <c r="W187" s="42"/>
      <c r="AA187" t="str">
        <f t="shared" si="84"/>
        <v/>
      </c>
      <c r="AB187" t="str">
        <f>IF(Asistencia!A196="","",Asistencia!A196)</f>
        <v/>
      </c>
      <c r="AC187" t="str">
        <f>IF(Asistencia!A196="","",SUBSTITUTE(SUBSTITUTE(SUBSTITUTE(SUBSTITUTE(SUBSTITUTE(SUBSTITUTE(SUBSTITUTE(UPPER(TRIM(Asistencia!A196)),"Á","A"),"É","E"),"Í","I"),"Ó","O"),"Ú","U"),"Ñ","N"),"  "," "))</f>
        <v/>
      </c>
      <c r="AD187" t="str">
        <f>IF(Asistencia!E196="","",Asistencia!E196)</f>
        <v/>
      </c>
      <c r="AE187" t="str">
        <f>IF(Asistencia!D196="","",UPPER(TRIM(Asistencia!D196)))</f>
        <v/>
      </c>
      <c r="AF187" t="s">
        <v>194</v>
      </c>
      <c r="AG187">
        <f>IF(AND(AA187&lt;&gt;"",COUNTIF($AA$5:AA187,AA187)=1),1,0)</f>
        <v>0</v>
      </c>
      <c r="AH187" t="str">
        <f>IF(AG187=1,SUM($AG$5:AG187),"")</f>
        <v/>
      </c>
      <c r="AI187">
        <f>IF(OR(EXACT(Asistencia!F196,"A"),EXACT(Asistencia!F196,"R"),EXACT(Asistencia!F196,"DL"),EXACT(Asistencia!F196,"FL"),EXACT(Asistencia!F196,"FE"),EXACT(Asistencia!F196,"PCS"),EXACT(Asistencia!F196,"V")),1,0)</f>
        <v>0</v>
      </c>
      <c r="AJ187">
        <f>IF(OR(EXACT(Asistencia!G196,"A"),EXACT(Asistencia!G196,"R"),EXACT(Asistencia!G196,"DL"),EXACT(Asistencia!G196,"FL"),EXACT(Asistencia!G196,"FE"),EXACT(Asistencia!G196,"PCS"),EXACT(Asistencia!G196,"V")),1,0)</f>
        <v>0</v>
      </c>
      <c r="AK187">
        <f>IF(OR(EXACT(Asistencia!H196,"A"),EXACT(Asistencia!H196,"R"),EXACT(Asistencia!H196,"DL"),EXACT(Asistencia!H196,"FL"),EXACT(Asistencia!H196,"FE"),EXACT(Asistencia!H196,"PCS"),EXACT(Asistencia!H196,"V")),1,0)</f>
        <v>0</v>
      </c>
      <c r="AL187">
        <f>IF(OR(EXACT(Asistencia!I196,"A"),EXACT(Asistencia!I196,"R"),EXACT(Asistencia!I196,"DL"),EXACT(Asistencia!I196,"FL"),EXACT(Asistencia!I196,"FE"),EXACT(Asistencia!I196,"PCS"),EXACT(Asistencia!I196,"V")),1,0)</f>
        <v>0</v>
      </c>
      <c r="AM187">
        <f>IF(OR(EXACT(Asistencia!J196,"A"),EXACT(Asistencia!J196,"R"),EXACT(Asistencia!J196,"DL"),EXACT(Asistencia!J196,"FL"),EXACT(Asistencia!J196,"FE"),EXACT(Asistencia!J196,"PCS"),EXACT(Asistencia!J196,"V")),1,0)</f>
        <v>0</v>
      </c>
      <c r="AN187">
        <f>IF(OR(EXACT(Asistencia!K196,"A"),EXACT(Asistencia!K196,"R"),EXACT(Asistencia!K196,"DL"),EXACT(Asistencia!K196,"FL"),EXACT(Asistencia!K196,"FE"),EXACT(Asistencia!K196,"PCS"),EXACT(Asistencia!K196,"V")),1,0)</f>
        <v>0</v>
      </c>
      <c r="AO187">
        <f>IF(OR(EXACT(Asistencia!L196,"A"),EXACT(Asistencia!L196,"R"),EXACT(Asistencia!L196,"DL"),EXACT(Asistencia!L196,"FL"),EXACT(Asistencia!L196,"FE"),EXACT(Asistencia!L196,"PCS"),EXACT(Asistencia!L196,"V")),1,0)</f>
        <v>0</v>
      </c>
      <c r="AP187">
        <f t="shared" si="85"/>
        <v>0</v>
      </c>
      <c r="AQ187">
        <f>IF(EXACT(Asistencia!F196,"FL"),1,0)</f>
        <v>0</v>
      </c>
      <c r="AR187">
        <f>IF(EXACT(Asistencia!G196,"FL"),1,0)</f>
        <v>0</v>
      </c>
      <c r="AS187">
        <f>IF(EXACT(Asistencia!H196,"FL"),1,0)</f>
        <v>0</v>
      </c>
      <c r="AT187">
        <f>IF(EXACT(Asistencia!I196,"FL"),1,0)</f>
        <v>0</v>
      </c>
      <c r="AU187">
        <f>IF(EXACT(Asistencia!J196,"FL"),1,0)</f>
        <v>0</v>
      </c>
      <c r="AV187">
        <f>IF(EXACT(Asistencia!K196,"FL"),1,0)</f>
        <v>0</v>
      </c>
      <c r="AW187">
        <f>IF(EXACT(Asistencia!L196,"FL"),1,0)</f>
        <v>0</v>
      </c>
      <c r="AX187">
        <f t="shared" si="86"/>
        <v>0</v>
      </c>
      <c r="AY187">
        <f>IF(EXACT(Asistencia!F196,"DL"),1,0)</f>
        <v>0</v>
      </c>
      <c r="AZ187">
        <f>IF(EXACT(Asistencia!G196,"DL"),1,0)</f>
        <v>0</v>
      </c>
      <c r="BA187">
        <f>IF(EXACT(Asistencia!H196,"DL"),1,0)</f>
        <v>0</v>
      </c>
      <c r="BB187">
        <f>IF(EXACT(Asistencia!I196,"DL"),1,0)</f>
        <v>0</v>
      </c>
      <c r="BC187">
        <f>IF(EXACT(Asistencia!J196,"DL"),1,0)</f>
        <v>0</v>
      </c>
      <c r="BD187">
        <f>IF(EXACT(Asistencia!K196,"DL"),1,0)</f>
        <v>0</v>
      </c>
      <c r="BE187">
        <f>IF(EXACT(Asistencia!L196,"DL"),1,0)</f>
        <v>0</v>
      </c>
      <c r="BF187">
        <f t="shared" si="87"/>
        <v>0</v>
      </c>
      <c r="BG187">
        <f>IF(ISNUMBER(Asistencia!M196),Asistencia!M196,0)</f>
        <v>0</v>
      </c>
      <c r="BH187">
        <f>IF(ISNUMBER(Asistencia!N196),Asistencia!N196,0)</f>
        <v>0</v>
      </c>
      <c r="BI187">
        <f>IF(ISNUMBER(Asistencia!O196),Asistencia!O196,0)</f>
        <v>0</v>
      </c>
      <c r="BJ187">
        <f>IF(ISNUMBER(Asistencia!P196),Asistencia!P196,0)</f>
        <v>0</v>
      </c>
      <c r="BK187" t="str">
        <f>IF(Asistencia!F196="","",Asistencia!F196)</f>
        <v/>
      </c>
      <c r="BL187" t="str">
        <f>IF(Asistencia!G196="","",Asistencia!G196)</f>
        <v/>
      </c>
      <c r="BM187" t="str">
        <f>IF(Asistencia!H196="","",Asistencia!H196)</f>
        <v/>
      </c>
      <c r="BN187" t="str">
        <f>IF(Asistencia!I196="","",Asistencia!I196)</f>
        <v/>
      </c>
      <c r="BO187" t="str">
        <f>IF(Asistencia!J196="","",Asistencia!J196)</f>
        <v/>
      </c>
      <c r="BP187" t="str">
        <f>IF(Asistencia!K196="","",Asistencia!K196)</f>
        <v/>
      </c>
      <c r="BQ187" t="str">
        <f>IF(Asistencia!L196="","",Asistencia!L196)</f>
        <v/>
      </c>
    </row>
    <row r="188" spans="1:69" x14ac:dyDescent="0.25">
      <c r="A188" s="46"/>
      <c r="B188" s="47"/>
      <c r="C188" s="47"/>
      <c r="D188" s="47"/>
      <c r="E188" s="46"/>
      <c r="F188" s="45"/>
      <c r="G188" s="44"/>
      <c r="H188" s="44"/>
      <c r="I188" s="44"/>
      <c r="J188" s="44"/>
      <c r="K188" s="44"/>
      <c r="L188" s="44"/>
      <c r="M188" s="43"/>
      <c r="N188" s="41"/>
      <c r="O188" s="41"/>
      <c r="P188" s="41"/>
      <c r="Q188" s="41"/>
      <c r="R188" s="41"/>
      <c r="S188" s="41"/>
      <c r="T188" s="48"/>
      <c r="U188" s="41"/>
      <c r="V188" s="41"/>
      <c r="W188" s="42"/>
      <c r="AA188" t="str">
        <f t="shared" si="84"/>
        <v/>
      </c>
      <c r="AB188" t="str">
        <f>IF(Asistencia!A197="","",Asistencia!A197)</f>
        <v/>
      </c>
      <c r="AC188" t="str">
        <f>IF(Asistencia!A197="","",SUBSTITUTE(SUBSTITUTE(SUBSTITUTE(SUBSTITUTE(SUBSTITUTE(SUBSTITUTE(SUBSTITUTE(UPPER(TRIM(Asistencia!A197)),"Á","A"),"É","E"),"Í","I"),"Ó","O"),"Ú","U"),"Ñ","N"),"  "," "))</f>
        <v/>
      </c>
      <c r="AD188" t="str">
        <f>IF(Asistencia!E197="","",Asistencia!E197)</f>
        <v/>
      </c>
      <c r="AE188" t="str">
        <f>IF(Asistencia!D197="","",UPPER(TRIM(Asistencia!D197)))</f>
        <v/>
      </c>
      <c r="AF188" t="s">
        <v>194</v>
      </c>
      <c r="AG188">
        <f>IF(AND(AA188&lt;&gt;"",COUNTIF($AA$5:AA188,AA188)=1),1,0)</f>
        <v>0</v>
      </c>
      <c r="AH188" t="str">
        <f>IF(AG188=1,SUM($AG$5:AG188),"")</f>
        <v/>
      </c>
      <c r="AI188">
        <f>IF(OR(EXACT(Asistencia!F197,"A"),EXACT(Asistencia!F197,"R"),EXACT(Asistencia!F197,"DL"),EXACT(Asistencia!F197,"FL"),EXACT(Asistencia!F197,"FE"),EXACT(Asistencia!F197,"PCS"),EXACT(Asistencia!F197,"V")),1,0)</f>
        <v>0</v>
      </c>
      <c r="AJ188">
        <f>IF(OR(EXACT(Asistencia!G197,"A"),EXACT(Asistencia!G197,"R"),EXACT(Asistencia!G197,"DL"),EXACT(Asistencia!G197,"FL"),EXACT(Asistencia!G197,"FE"),EXACT(Asistencia!G197,"PCS"),EXACT(Asistencia!G197,"V")),1,0)</f>
        <v>0</v>
      </c>
      <c r="AK188">
        <f>IF(OR(EXACT(Asistencia!H197,"A"),EXACT(Asistencia!H197,"R"),EXACT(Asistencia!H197,"DL"),EXACT(Asistencia!H197,"FL"),EXACT(Asistencia!H197,"FE"),EXACT(Asistencia!H197,"PCS"),EXACT(Asistencia!H197,"V")),1,0)</f>
        <v>0</v>
      </c>
      <c r="AL188">
        <f>IF(OR(EXACT(Asistencia!I197,"A"),EXACT(Asistencia!I197,"R"),EXACT(Asistencia!I197,"DL"),EXACT(Asistencia!I197,"FL"),EXACT(Asistencia!I197,"FE"),EXACT(Asistencia!I197,"PCS"),EXACT(Asistencia!I197,"V")),1,0)</f>
        <v>0</v>
      </c>
      <c r="AM188">
        <f>IF(OR(EXACT(Asistencia!J197,"A"),EXACT(Asistencia!J197,"R"),EXACT(Asistencia!J197,"DL"),EXACT(Asistencia!J197,"FL"),EXACT(Asistencia!J197,"FE"),EXACT(Asistencia!J197,"PCS"),EXACT(Asistencia!J197,"V")),1,0)</f>
        <v>0</v>
      </c>
      <c r="AN188">
        <f>IF(OR(EXACT(Asistencia!K197,"A"),EXACT(Asistencia!K197,"R"),EXACT(Asistencia!K197,"DL"),EXACT(Asistencia!K197,"FL"),EXACT(Asistencia!K197,"FE"),EXACT(Asistencia!K197,"PCS"),EXACT(Asistencia!K197,"V")),1,0)</f>
        <v>0</v>
      </c>
      <c r="AO188">
        <f>IF(OR(EXACT(Asistencia!L197,"A"),EXACT(Asistencia!L197,"R"),EXACT(Asistencia!L197,"DL"),EXACT(Asistencia!L197,"FL"),EXACT(Asistencia!L197,"FE"),EXACT(Asistencia!L197,"PCS"),EXACT(Asistencia!L197,"V")),1,0)</f>
        <v>0</v>
      </c>
      <c r="AP188">
        <f t="shared" si="85"/>
        <v>0</v>
      </c>
      <c r="AQ188">
        <f>IF(EXACT(Asistencia!F197,"FL"),1,0)</f>
        <v>0</v>
      </c>
      <c r="AR188">
        <f>IF(EXACT(Asistencia!G197,"FL"),1,0)</f>
        <v>0</v>
      </c>
      <c r="AS188">
        <f>IF(EXACT(Asistencia!H197,"FL"),1,0)</f>
        <v>0</v>
      </c>
      <c r="AT188">
        <f>IF(EXACT(Asistencia!I197,"FL"),1,0)</f>
        <v>0</v>
      </c>
      <c r="AU188">
        <f>IF(EXACT(Asistencia!J197,"FL"),1,0)</f>
        <v>0</v>
      </c>
      <c r="AV188">
        <f>IF(EXACT(Asistencia!K197,"FL"),1,0)</f>
        <v>0</v>
      </c>
      <c r="AW188">
        <f>IF(EXACT(Asistencia!L197,"FL"),1,0)</f>
        <v>0</v>
      </c>
      <c r="AX188">
        <f t="shared" si="86"/>
        <v>0</v>
      </c>
      <c r="AY188">
        <f>IF(EXACT(Asistencia!F197,"DL"),1,0)</f>
        <v>0</v>
      </c>
      <c r="AZ188">
        <f>IF(EXACT(Asistencia!G197,"DL"),1,0)</f>
        <v>0</v>
      </c>
      <c r="BA188">
        <f>IF(EXACT(Asistencia!H197,"DL"),1,0)</f>
        <v>0</v>
      </c>
      <c r="BB188">
        <f>IF(EXACT(Asistencia!I197,"DL"),1,0)</f>
        <v>0</v>
      </c>
      <c r="BC188">
        <f>IF(EXACT(Asistencia!J197,"DL"),1,0)</f>
        <v>0</v>
      </c>
      <c r="BD188">
        <f>IF(EXACT(Asistencia!K197,"DL"),1,0)</f>
        <v>0</v>
      </c>
      <c r="BE188">
        <f>IF(EXACT(Asistencia!L197,"DL"),1,0)</f>
        <v>0</v>
      </c>
      <c r="BF188">
        <f t="shared" si="87"/>
        <v>0</v>
      </c>
      <c r="BG188">
        <f>IF(ISNUMBER(Asistencia!M197),Asistencia!M197,0)</f>
        <v>0</v>
      </c>
      <c r="BH188">
        <f>IF(ISNUMBER(Asistencia!N197),Asistencia!N197,0)</f>
        <v>0</v>
      </c>
      <c r="BI188">
        <f>IF(ISNUMBER(Asistencia!O197),Asistencia!O197,0)</f>
        <v>0</v>
      </c>
      <c r="BJ188">
        <f>IF(ISNUMBER(Asistencia!P197),Asistencia!P197,0)</f>
        <v>0</v>
      </c>
      <c r="BK188" t="str">
        <f>IF(Asistencia!F197="","",Asistencia!F197)</f>
        <v/>
      </c>
      <c r="BL188" t="str">
        <f>IF(Asistencia!G197="","",Asistencia!G197)</f>
        <v/>
      </c>
      <c r="BM188" t="str">
        <f>IF(Asistencia!H197="","",Asistencia!H197)</f>
        <v/>
      </c>
      <c r="BN188" t="str">
        <f>IF(Asistencia!I197="","",Asistencia!I197)</f>
        <v/>
      </c>
      <c r="BO188" t="str">
        <f>IF(Asistencia!J197="","",Asistencia!J197)</f>
        <v/>
      </c>
      <c r="BP188" t="str">
        <f>IF(Asistencia!K197="","",Asistencia!K197)</f>
        <v/>
      </c>
      <c r="BQ188" t="str">
        <f>IF(Asistencia!L197="","",Asistencia!L197)</f>
        <v/>
      </c>
    </row>
    <row r="189" spans="1:69" x14ac:dyDescent="0.25">
      <c r="A189" s="46"/>
      <c r="B189" s="47"/>
      <c r="C189" s="47"/>
      <c r="D189" s="47"/>
      <c r="E189" s="46"/>
      <c r="F189" s="45"/>
      <c r="G189" s="44"/>
      <c r="H189" s="44"/>
      <c r="I189" s="44"/>
      <c r="J189" s="44"/>
      <c r="K189" s="44"/>
      <c r="L189" s="44"/>
      <c r="M189" s="43"/>
      <c r="N189" s="41"/>
      <c r="O189" s="41"/>
      <c r="P189" s="41"/>
      <c r="Q189" s="41"/>
      <c r="R189" s="41"/>
      <c r="S189" s="41"/>
      <c r="T189" s="48"/>
      <c r="U189" s="41"/>
      <c r="V189" s="41"/>
      <c r="W189" s="42"/>
      <c r="AA189" t="str">
        <f t="shared" si="84"/>
        <v/>
      </c>
      <c r="AB189" t="str">
        <f>IF(Asistencia!A198="","",Asistencia!A198)</f>
        <v/>
      </c>
      <c r="AC189" t="str">
        <f>IF(Asistencia!A198="","",SUBSTITUTE(SUBSTITUTE(SUBSTITUTE(SUBSTITUTE(SUBSTITUTE(SUBSTITUTE(SUBSTITUTE(UPPER(TRIM(Asistencia!A198)),"Á","A"),"É","E"),"Í","I"),"Ó","O"),"Ú","U"),"Ñ","N"),"  "," "))</f>
        <v/>
      </c>
      <c r="AD189" t="str">
        <f>IF(Asistencia!E198="","",Asistencia!E198)</f>
        <v/>
      </c>
      <c r="AE189" t="str">
        <f>IF(Asistencia!D198="","",UPPER(TRIM(Asistencia!D198)))</f>
        <v/>
      </c>
      <c r="AF189" t="s">
        <v>194</v>
      </c>
      <c r="AG189">
        <f>IF(AND(AA189&lt;&gt;"",COUNTIF($AA$5:AA189,AA189)=1),1,0)</f>
        <v>0</v>
      </c>
      <c r="AH189" t="str">
        <f>IF(AG189=1,SUM($AG$5:AG189),"")</f>
        <v/>
      </c>
      <c r="AI189">
        <f>IF(OR(EXACT(Asistencia!F198,"A"),EXACT(Asistencia!F198,"R"),EXACT(Asistencia!F198,"DL"),EXACT(Asistencia!F198,"FL"),EXACT(Asistencia!F198,"FE"),EXACT(Asistencia!F198,"PCS"),EXACT(Asistencia!F198,"V")),1,0)</f>
        <v>0</v>
      </c>
      <c r="AJ189">
        <f>IF(OR(EXACT(Asistencia!G198,"A"),EXACT(Asistencia!G198,"R"),EXACT(Asistencia!G198,"DL"),EXACT(Asistencia!G198,"FL"),EXACT(Asistencia!G198,"FE"),EXACT(Asistencia!G198,"PCS"),EXACT(Asistencia!G198,"V")),1,0)</f>
        <v>0</v>
      </c>
      <c r="AK189">
        <f>IF(OR(EXACT(Asistencia!H198,"A"),EXACT(Asistencia!H198,"R"),EXACT(Asistencia!H198,"DL"),EXACT(Asistencia!H198,"FL"),EXACT(Asistencia!H198,"FE"),EXACT(Asistencia!H198,"PCS"),EXACT(Asistencia!H198,"V")),1,0)</f>
        <v>0</v>
      </c>
      <c r="AL189">
        <f>IF(OR(EXACT(Asistencia!I198,"A"),EXACT(Asistencia!I198,"R"),EXACT(Asistencia!I198,"DL"),EXACT(Asistencia!I198,"FL"),EXACT(Asistencia!I198,"FE"),EXACT(Asistencia!I198,"PCS"),EXACT(Asistencia!I198,"V")),1,0)</f>
        <v>0</v>
      </c>
      <c r="AM189">
        <f>IF(OR(EXACT(Asistencia!J198,"A"),EXACT(Asistencia!J198,"R"),EXACT(Asistencia!J198,"DL"),EXACT(Asistencia!J198,"FL"),EXACT(Asistencia!J198,"FE"),EXACT(Asistencia!J198,"PCS"),EXACT(Asistencia!J198,"V")),1,0)</f>
        <v>0</v>
      </c>
      <c r="AN189">
        <f>IF(OR(EXACT(Asistencia!K198,"A"),EXACT(Asistencia!K198,"R"),EXACT(Asistencia!K198,"DL"),EXACT(Asistencia!K198,"FL"),EXACT(Asistencia!K198,"FE"),EXACT(Asistencia!K198,"PCS"),EXACT(Asistencia!K198,"V")),1,0)</f>
        <v>0</v>
      </c>
      <c r="AO189">
        <f>IF(OR(EXACT(Asistencia!L198,"A"),EXACT(Asistencia!L198,"R"),EXACT(Asistencia!L198,"DL"),EXACT(Asistencia!L198,"FL"),EXACT(Asistencia!L198,"FE"),EXACT(Asistencia!L198,"PCS"),EXACT(Asistencia!L198,"V")),1,0)</f>
        <v>0</v>
      </c>
      <c r="AP189">
        <f t="shared" si="85"/>
        <v>0</v>
      </c>
      <c r="AQ189">
        <f>IF(EXACT(Asistencia!F198,"FL"),1,0)</f>
        <v>0</v>
      </c>
      <c r="AR189">
        <f>IF(EXACT(Asistencia!G198,"FL"),1,0)</f>
        <v>0</v>
      </c>
      <c r="AS189">
        <f>IF(EXACT(Asistencia!H198,"FL"),1,0)</f>
        <v>0</v>
      </c>
      <c r="AT189">
        <f>IF(EXACT(Asistencia!I198,"FL"),1,0)</f>
        <v>0</v>
      </c>
      <c r="AU189">
        <f>IF(EXACT(Asistencia!J198,"FL"),1,0)</f>
        <v>0</v>
      </c>
      <c r="AV189">
        <f>IF(EXACT(Asistencia!K198,"FL"),1,0)</f>
        <v>0</v>
      </c>
      <c r="AW189">
        <f>IF(EXACT(Asistencia!L198,"FL"),1,0)</f>
        <v>0</v>
      </c>
      <c r="AX189">
        <f t="shared" si="86"/>
        <v>0</v>
      </c>
      <c r="AY189">
        <f>IF(EXACT(Asistencia!F198,"DL"),1,0)</f>
        <v>0</v>
      </c>
      <c r="AZ189">
        <f>IF(EXACT(Asistencia!G198,"DL"),1,0)</f>
        <v>0</v>
      </c>
      <c r="BA189">
        <f>IF(EXACT(Asistencia!H198,"DL"),1,0)</f>
        <v>0</v>
      </c>
      <c r="BB189">
        <f>IF(EXACT(Asistencia!I198,"DL"),1,0)</f>
        <v>0</v>
      </c>
      <c r="BC189">
        <f>IF(EXACT(Asistencia!J198,"DL"),1,0)</f>
        <v>0</v>
      </c>
      <c r="BD189">
        <f>IF(EXACT(Asistencia!K198,"DL"),1,0)</f>
        <v>0</v>
      </c>
      <c r="BE189">
        <f>IF(EXACT(Asistencia!L198,"DL"),1,0)</f>
        <v>0</v>
      </c>
      <c r="BF189">
        <f t="shared" si="87"/>
        <v>0</v>
      </c>
      <c r="BG189">
        <f>IF(ISNUMBER(Asistencia!M198),Asistencia!M198,0)</f>
        <v>0</v>
      </c>
      <c r="BH189">
        <f>IF(ISNUMBER(Asistencia!N198),Asistencia!N198,0)</f>
        <v>0</v>
      </c>
      <c r="BI189">
        <f>IF(ISNUMBER(Asistencia!O198),Asistencia!O198,0)</f>
        <v>0</v>
      </c>
      <c r="BJ189">
        <f>IF(ISNUMBER(Asistencia!P198),Asistencia!P198,0)</f>
        <v>0</v>
      </c>
      <c r="BK189" t="str">
        <f>IF(Asistencia!F198="","",Asistencia!F198)</f>
        <v/>
      </c>
      <c r="BL189" t="str">
        <f>IF(Asistencia!G198="","",Asistencia!G198)</f>
        <v/>
      </c>
      <c r="BM189" t="str">
        <f>IF(Asistencia!H198="","",Asistencia!H198)</f>
        <v/>
      </c>
      <c r="BN189" t="str">
        <f>IF(Asistencia!I198="","",Asistencia!I198)</f>
        <v/>
      </c>
      <c r="BO189" t="str">
        <f>IF(Asistencia!J198="","",Asistencia!J198)</f>
        <v/>
      </c>
      <c r="BP189" t="str">
        <f>IF(Asistencia!K198="","",Asistencia!K198)</f>
        <v/>
      </c>
      <c r="BQ189" t="str">
        <f>IF(Asistencia!L198="","",Asistencia!L198)</f>
        <v/>
      </c>
    </row>
    <row r="190" spans="1:69" x14ac:dyDescent="0.25">
      <c r="A190" s="46"/>
      <c r="B190" s="47"/>
      <c r="C190" s="47"/>
      <c r="D190" s="47"/>
      <c r="E190" s="46"/>
      <c r="F190" s="45"/>
      <c r="G190" s="44"/>
      <c r="H190" s="44"/>
      <c r="I190" s="44"/>
      <c r="J190" s="44"/>
      <c r="K190" s="44"/>
      <c r="L190" s="44"/>
      <c r="M190" s="43"/>
      <c r="N190" s="41"/>
      <c r="O190" s="41"/>
      <c r="P190" s="41"/>
      <c r="Q190" s="41"/>
      <c r="R190" s="41"/>
      <c r="S190" s="41"/>
      <c r="T190" s="48"/>
      <c r="U190" s="41"/>
      <c r="V190" s="41"/>
      <c r="W190" s="42"/>
      <c r="AA190" t="str">
        <f t="shared" si="84"/>
        <v/>
      </c>
      <c r="AB190" t="str">
        <f>IF(Asistencia!A199="","",Asistencia!A199)</f>
        <v/>
      </c>
      <c r="AC190" t="str">
        <f>IF(Asistencia!A199="","",SUBSTITUTE(SUBSTITUTE(SUBSTITUTE(SUBSTITUTE(SUBSTITUTE(SUBSTITUTE(SUBSTITUTE(UPPER(TRIM(Asistencia!A199)),"Á","A"),"É","E"),"Í","I"),"Ó","O"),"Ú","U"),"Ñ","N"),"  "," "))</f>
        <v/>
      </c>
      <c r="AD190" t="str">
        <f>IF(Asistencia!E199="","",Asistencia!E199)</f>
        <v/>
      </c>
      <c r="AE190" t="str">
        <f>IF(Asistencia!D199="","",UPPER(TRIM(Asistencia!D199)))</f>
        <v/>
      </c>
      <c r="AF190" t="s">
        <v>194</v>
      </c>
      <c r="AG190">
        <f>IF(AND(AA190&lt;&gt;"",COUNTIF($AA$5:AA190,AA190)=1),1,0)</f>
        <v>0</v>
      </c>
      <c r="AH190" t="str">
        <f>IF(AG190=1,SUM($AG$5:AG190),"")</f>
        <v/>
      </c>
      <c r="AI190">
        <f>IF(OR(EXACT(Asistencia!F199,"A"),EXACT(Asistencia!F199,"R"),EXACT(Asistencia!F199,"DL"),EXACT(Asistencia!F199,"FL"),EXACT(Asistencia!F199,"FE"),EXACT(Asistencia!F199,"PCS"),EXACT(Asistencia!F199,"V")),1,0)</f>
        <v>0</v>
      </c>
      <c r="AJ190">
        <f>IF(OR(EXACT(Asistencia!G199,"A"),EXACT(Asistencia!G199,"R"),EXACT(Asistencia!G199,"DL"),EXACT(Asistencia!G199,"FL"),EXACT(Asistencia!G199,"FE"),EXACT(Asistencia!G199,"PCS"),EXACT(Asistencia!G199,"V")),1,0)</f>
        <v>0</v>
      </c>
      <c r="AK190">
        <f>IF(OR(EXACT(Asistencia!H199,"A"),EXACT(Asistencia!H199,"R"),EXACT(Asistencia!H199,"DL"),EXACT(Asistencia!H199,"FL"),EXACT(Asistencia!H199,"FE"),EXACT(Asistencia!H199,"PCS"),EXACT(Asistencia!H199,"V")),1,0)</f>
        <v>0</v>
      </c>
      <c r="AL190">
        <f>IF(OR(EXACT(Asistencia!I199,"A"),EXACT(Asistencia!I199,"R"),EXACT(Asistencia!I199,"DL"),EXACT(Asistencia!I199,"FL"),EXACT(Asistencia!I199,"FE"),EXACT(Asistencia!I199,"PCS"),EXACT(Asistencia!I199,"V")),1,0)</f>
        <v>0</v>
      </c>
      <c r="AM190">
        <f>IF(OR(EXACT(Asistencia!J199,"A"),EXACT(Asistencia!J199,"R"),EXACT(Asistencia!J199,"DL"),EXACT(Asistencia!J199,"FL"),EXACT(Asistencia!J199,"FE"),EXACT(Asistencia!J199,"PCS"),EXACT(Asistencia!J199,"V")),1,0)</f>
        <v>0</v>
      </c>
      <c r="AN190">
        <f>IF(OR(EXACT(Asistencia!K199,"A"),EXACT(Asistencia!K199,"R"),EXACT(Asistencia!K199,"DL"),EXACT(Asistencia!K199,"FL"),EXACT(Asistencia!K199,"FE"),EXACT(Asistencia!K199,"PCS"),EXACT(Asistencia!K199,"V")),1,0)</f>
        <v>0</v>
      </c>
      <c r="AO190">
        <f>IF(OR(EXACT(Asistencia!L199,"A"),EXACT(Asistencia!L199,"R"),EXACT(Asistencia!L199,"DL"),EXACT(Asistencia!L199,"FL"),EXACT(Asistencia!L199,"FE"),EXACT(Asistencia!L199,"PCS"),EXACT(Asistencia!L199,"V")),1,0)</f>
        <v>0</v>
      </c>
      <c r="AP190">
        <f t="shared" si="85"/>
        <v>0</v>
      </c>
      <c r="AQ190">
        <f>IF(EXACT(Asistencia!F199,"FL"),1,0)</f>
        <v>0</v>
      </c>
      <c r="AR190">
        <f>IF(EXACT(Asistencia!G199,"FL"),1,0)</f>
        <v>0</v>
      </c>
      <c r="AS190">
        <f>IF(EXACT(Asistencia!H199,"FL"),1,0)</f>
        <v>0</v>
      </c>
      <c r="AT190">
        <f>IF(EXACT(Asistencia!I199,"FL"),1,0)</f>
        <v>0</v>
      </c>
      <c r="AU190">
        <f>IF(EXACT(Asistencia!J199,"FL"),1,0)</f>
        <v>0</v>
      </c>
      <c r="AV190">
        <f>IF(EXACT(Asistencia!K199,"FL"),1,0)</f>
        <v>0</v>
      </c>
      <c r="AW190">
        <f>IF(EXACT(Asistencia!L199,"FL"),1,0)</f>
        <v>0</v>
      </c>
      <c r="AX190">
        <f t="shared" si="86"/>
        <v>0</v>
      </c>
      <c r="AY190">
        <f>IF(EXACT(Asistencia!F199,"DL"),1,0)</f>
        <v>0</v>
      </c>
      <c r="AZ190">
        <f>IF(EXACT(Asistencia!G199,"DL"),1,0)</f>
        <v>0</v>
      </c>
      <c r="BA190">
        <f>IF(EXACT(Asistencia!H199,"DL"),1,0)</f>
        <v>0</v>
      </c>
      <c r="BB190">
        <f>IF(EXACT(Asistencia!I199,"DL"),1,0)</f>
        <v>0</v>
      </c>
      <c r="BC190">
        <f>IF(EXACT(Asistencia!J199,"DL"),1,0)</f>
        <v>0</v>
      </c>
      <c r="BD190">
        <f>IF(EXACT(Asistencia!K199,"DL"),1,0)</f>
        <v>0</v>
      </c>
      <c r="BE190">
        <f>IF(EXACT(Asistencia!L199,"DL"),1,0)</f>
        <v>0</v>
      </c>
      <c r="BF190">
        <f t="shared" si="87"/>
        <v>0</v>
      </c>
      <c r="BG190">
        <f>IF(ISNUMBER(Asistencia!M199),Asistencia!M199,0)</f>
        <v>0</v>
      </c>
      <c r="BH190">
        <f>IF(ISNUMBER(Asistencia!N199),Asistencia!N199,0)</f>
        <v>0</v>
      </c>
      <c r="BI190">
        <f>IF(ISNUMBER(Asistencia!O199),Asistencia!O199,0)</f>
        <v>0</v>
      </c>
      <c r="BJ190">
        <f>IF(ISNUMBER(Asistencia!P199),Asistencia!P199,0)</f>
        <v>0</v>
      </c>
      <c r="BK190" t="str">
        <f>IF(Asistencia!F199="","",Asistencia!F199)</f>
        <v/>
      </c>
      <c r="BL190" t="str">
        <f>IF(Asistencia!G199="","",Asistencia!G199)</f>
        <v/>
      </c>
      <c r="BM190" t="str">
        <f>IF(Asistencia!H199="","",Asistencia!H199)</f>
        <v/>
      </c>
      <c r="BN190" t="str">
        <f>IF(Asistencia!I199="","",Asistencia!I199)</f>
        <v/>
      </c>
      <c r="BO190" t="str">
        <f>IF(Asistencia!J199="","",Asistencia!J199)</f>
        <v/>
      </c>
      <c r="BP190" t="str">
        <f>IF(Asistencia!K199="","",Asistencia!K199)</f>
        <v/>
      </c>
      <c r="BQ190" t="str">
        <f>IF(Asistencia!L199="","",Asistencia!L199)</f>
        <v/>
      </c>
    </row>
    <row r="191" spans="1:69" x14ac:dyDescent="0.25">
      <c r="A191" s="46"/>
      <c r="B191" s="47"/>
      <c r="C191" s="47"/>
      <c r="D191" s="47"/>
      <c r="E191" s="46"/>
      <c r="F191" s="45"/>
      <c r="G191" s="44"/>
      <c r="H191" s="44"/>
      <c r="I191" s="44"/>
      <c r="J191" s="44"/>
      <c r="K191" s="44"/>
      <c r="L191" s="44"/>
      <c r="M191" s="43"/>
      <c r="N191" s="41"/>
      <c r="O191" s="41"/>
      <c r="P191" s="41"/>
      <c r="Q191" s="41"/>
      <c r="R191" s="41"/>
      <c r="S191" s="41"/>
      <c r="T191" s="48"/>
      <c r="U191" s="41"/>
      <c r="V191" s="41"/>
      <c r="W191" s="42"/>
      <c r="AA191" t="str">
        <f t="shared" si="84"/>
        <v/>
      </c>
      <c r="AB191" t="str">
        <f>IF(Asistencia!A200="","",Asistencia!A200)</f>
        <v/>
      </c>
      <c r="AC191" t="str">
        <f>IF(Asistencia!A200="","",SUBSTITUTE(SUBSTITUTE(SUBSTITUTE(SUBSTITUTE(SUBSTITUTE(SUBSTITUTE(SUBSTITUTE(UPPER(TRIM(Asistencia!A200)),"Á","A"),"É","E"),"Í","I"),"Ó","O"),"Ú","U"),"Ñ","N"),"  "," "))</f>
        <v/>
      </c>
      <c r="AD191" t="str">
        <f>IF(Asistencia!E200="","",Asistencia!E200)</f>
        <v/>
      </c>
      <c r="AE191" t="str">
        <f>IF(Asistencia!D200="","",UPPER(TRIM(Asistencia!D200)))</f>
        <v/>
      </c>
      <c r="AF191" t="s">
        <v>194</v>
      </c>
      <c r="AG191">
        <f>IF(AND(AA191&lt;&gt;"",COUNTIF($AA$5:AA191,AA191)=1),1,0)</f>
        <v>0</v>
      </c>
      <c r="AH191" t="str">
        <f>IF(AG191=1,SUM($AG$5:AG191),"")</f>
        <v/>
      </c>
      <c r="AI191">
        <f>IF(OR(EXACT(Asistencia!F200,"A"),EXACT(Asistencia!F200,"R"),EXACT(Asistencia!F200,"DL"),EXACT(Asistencia!F200,"FL"),EXACT(Asistencia!F200,"FE"),EXACT(Asistencia!F200,"PCS"),EXACT(Asistencia!F200,"V")),1,0)</f>
        <v>0</v>
      </c>
      <c r="AJ191">
        <f>IF(OR(EXACT(Asistencia!G200,"A"),EXACT(Asistencia!G200,"R"),EXACT(Asistencia!G200,"DL"),EXACT(Asistencia!G200,"FL"),EXACT(Asistencia!G200,"FE"),EXACT(Asistencia!G200,"PCS"),EXACT(Asistencia!G200,"V")),1,0)</f>
        <v>0</v>
      </c>
      <c r="AK191">
        <f>IF(OR(EXACT(Asistencia!H200,"A"),EXACT(Asistencia!H200,"R"),EXACT(Asistencia!H200,"DL"),EXACT(Asistencia!H200,"FL"),EXACT(Asistencia!H200,"FE"),EXACT(Asistencia!H200,"PCS"),EXACT(Asistencia!H200,"V")),1,0)</f>
        <v>0</v>
      </c>
      <c r="AL191">
        <f>IF(OR(EXACT(Asistencia!I200,"A"),EXACT(Asistencia!I200,"R"),EXACT(Asistencia!I200,"DL"),EXACT(Asistencia!I200,"FL"),EXACT(Asistencia!I200,"FE"),EXACT(Asistencia!I200,"PCS"),EXACT(Asistencia!I200,"V")),1,0)</f>
        <v>0</v>
      </c>
      <c r="AM191">
        <f>IF(OR(EXACT(Asistencia!J200,"A"),EXACT(Asistencia!J200,"R"),EXACT(Asistencia!J200,"DL"),EXACT(Asistencia!J200,"FL"),EXACT(Asistencia!J200,"FE"),EXACT(Asistencia!J200,"PCS"),EXACT(Asistencia!J200,"V")),1,0)</f>
        <v>0</v>
      </c>
      <c r="AN191">
        <f>IF(OR(EXACT(Asistencia!K200,"A"),EXACT(Asistencia!K200,"R"),EXACT(Asistencia!K200,"DL"),EXACT(Asistencia!K200,"FL"),EXACT(Asistencia!K200,"FE"),EXACT(Asistencia!K200,"PCS"),EXACT(Asistencia!K200,"V")),1,0)</f>
        <v>0</v>
      </c>
      <c r="AO191">
        <f>IF(OR(EXACT(Asistencia!L200,"A"),EXACT(Asistencia!L200,"R"),EXACT(Asistencia!L200,"DL"),EXACT(Asistencia!L200,"FL"),EXACT(Asistencia!L200,"FE"),EXACT(Asistencia!L200,"PCS"),EXACT(Asistencia!L200,"V")),1,0)</f>
        <v>0</v>
      </c>
      <c r="AP191">
        <f t="shared" si="85"/>
        <v>0</v>
      </c>
      <c r="AQ191">
        <f>IF(EXACT(Asistencia!F200,"FL"),1,0)</f>
        <v>0</v>
      </c>
      <c r="AR191">
        <f>IF(EXACT(Asistencia!G200,"FL"),1,0)</f>
        <v>0</v>
      </c>
      <c r="AS191">
        <f>IF(EXACT(Asistencia!H200,"FL"),1,0)</f>
        <v>0</v>
      </c>
      <c r="AT191">
        <f>IF(EXACT(Asistencia!I200,"FL"),1,0)</f>
        <v>0</v>
      </c>
      <c r="AU191">
        <f>IF(EXACT(Asistencia!J200,"FL"),1,0)</f>
        <v>0</v>
      </c>
      <c r="AV191">
        <f>IF(EXACT(Asistencia!K200,"FL"),1,0)</f>
        <v>0</v>
      </c>
      <c r="AW191">
        <f>IF(EXACT(Asistencia!L200,"FL"),1,0)</f>
        <v>0</v>
      </c>
      <c r="AX191">
        <f t="shared" si="86"/>
        <v>0</v>
      </c>
      <c r="AY191">
        <f>IF(EXACT(Asistencia!F200,"DL"),1,0)</f>
        <v>0</v>
      </c>
      <c r="AZ191">
        <f>IF(EXACT(Asistencia!G200,"DL"),1,0)</f>
        <v>0</v>
      </c>
      <c r="BA191">
        <f>IF(EXACT(Asistencia!H200,"DL"),1,0)</f>
        <v>0</v>
      </c>
      <c r="BB191">
        <f>IF(EXACT(Asistencia!I200,"DL"),1,0)</f>
        <v>0</v>
      </c>
      <c r="BC191">
        <f>IF(EXACT(Asistencia!J200,"DL"),1,0)</f>
        <v>0</v>
      </c>
      <c r="BD191">
        <f>IF(EXACT(Asistencia!K200,"DL"),1,0)</f>
        <v>0</v>
      </c>
      <c r="BE191">
        <f>IF(EXACT(Asistencia!L200,"DL"),1,0)</f>
        <v>0</v>
      </c>
      <c r="BF191">
        <f t="shared" si="87"/>
        <v>0</v>
      </c>
      <c r="BG191">
        <f>IF(ISNUMBER(Asistencia!M200),Asistencia!M200,0)</f>
        <v>0</v>
      </c>
      <c r="BH191">
        <f>IF(ISNUMBER(Asistencia!N200),Asistencia!N200,0)</f>
        <v>0</v>
      </c>
      <c r="BI191">
        <f>IF(ISNUMBER(Asistencia!O200),Asistencia!O200,0)</f>
        <v>0</v>
      </c>
      <c r="BJ191">
        <f>IF(ISNUMBER(Asistencia!P200),Asistencia!P200,0)</f>
        <v>0</v>
      </c>
      <c r="BK191" t="str">
        <f>IF(Asistencia!F200="","",Asistencia!F200)</f>
        <v/>
      </c>
      <c r="BL191" t="str">
        <f>IF(Asistencia!G200="","",Asistencia!G200)</f>
        <v/>
      </c>
      <c r="BM191" t="str">
        <f>IF(Asistencia!H200="","",Asistencia!H200)</f>
        <v/>
      </c>
      <c r="BN191" t="str">
        <f>IF(Asistencia!I200="","",Asistencia!I200)</f>
        <v/>
      </c>
      <c r="BO191" t="str">
        <f>IF(Asistencia!J200="","",Asistencia!J200)</f>
        <v/>
      </c>
      <c r="BP191" t="str">
        <f>IF(Asistencia!K200="","",Asistencia!K200)</f>
        <v/>
      </c>
      <c r="BQ191" t="str">
        <f>IF(Asistencia!L200="","",Asistencia!L200)</f>
        <v/>
      </c>
    </row>
    <row r="192" spans="1:69" x14ac:dyDescent="0.25">
      <c r="A192" s="46"/>
      <c r="B192" s="47"/>
      <c r="C192" s="47"/>
      <c r="D192" s="47"/>
      <c r="E192" s="46"/>
      <c r="F192" s="45"/>
      <c r="G192" s="44"/>
      <c r="H192" s="44"/>
      <c r="I192" s="44"/>
      <c r="J192" s="44"/>
      <c r="K192" s="44"/>
      <c r="L192" s="44"/>
      <c r="M192" s="43"/>
      <c r="N192" s="41"/>
      <c r="O192" s="41"/>
      <c r="P192" s="41"/>
      <c r="Q192" s="41"/>
      <c r="R192" s="41"/>
      <c r="S192" s="41"/>
      <c r="T192" s="48"/>
      <c r="U192" s="41"/>
      <c r="V192" s="41"/>
      <c r="W192" s="42"/>
      <c r="AA192" t="str">
        <f t="shared" si="84"/>
        <v/>
      </c>
      <c r="AB192" t="str">
        <f>IF(Asistencia!A201="","",Asistencia!A201)</f>
        <v/>
      </c>
      <c r="AC192" t="str">
        <f>IF(Asistencia!A201="","",SUBSTITUTE(SUBSTITUTE(SUBSTITUTE(SUBSTITUTE(SUBSTITUTE(SUBSTITUTE(SUBSTITUTE(UPPER(TRIM(Asistencia!A201)),"Á","A"),"É","E"),"Í","I"),"Ó","O"),"Ú","U"),"Ñ","N"),"  "," "))</f>
        <v/>
      </c>
      <c r="AD192" t="str">
        <f>IF(Asistencia!E201="","",Asistencia!E201)</f>
        <v/>
      </c>
      <c r="AE192" t="str">
        <f>IF(Asistencia!D201="","",UPPER(TRIM(Asistencia!D201)))</f>
        <v/>
      </c>
      <c r="AF192" t="s">
        <v>194</v>
      </c>
      <c r="AG192">
        <f>IF(AND(AA192&lt;&gt;"",COUNTIF($AA$5:AA192,AA192)=1),1,0)</f>
        <v>0</v>
      </c>
      <c r="AH192" t="str">
        <f>IF(AG192=1,SUM($AG$5:AG192),"")</f>
        <v/>
      </c>
      <c r="AI192">
        <f>IF(OR(EXACT(Asistencia!F201,"A"),EXACT(Asistencia!F201,"R"),EXACT(Asistencia!F201,"DL"),EXACT(Asistencia!F201,"FL"),EXACT(Asistencia!F201,"FE"),EXACT(Asistencia!F201,"PCS"),EXACT(Asistencia!F201,"V")),1,0)</f>
        <v>0</v>
      </c>
      <c r="AJ192">
        <f>IF(OR(EXACT(Asistencia!G201,"A"),EXACT(Asistencia!G201,"R"),EXACT(Asistencia!G201,"DL"),EXACT(Asistencia!G201,"FL"),EXACT(Asistencia!G201,"FE"),EXACT(Asistencia!G201,"PCS"),EXACT(Asistencia!G201,"V")),1,0)</f>
        <v>0</v>
      </c>
      <c r="AK192">
        <f>IF(OR(EXACT(Asistencia!H201,"A"),EXACT(Asistencia!H201,"R"),EXACT(Asistencia!H201,"DL"),EXACT(Asistencia!H201,"FL"),EXACT(Asistencia!H201,"FE"),EXACT(Asistencia!H201,"PCS"),EXACT(Asistencia!H201,"V")),1,0)</f>
        <v>0</v>
      </c>
      <c r="AL192">
        <f>IF(OR(EXACT(Asistencia!I201,"A"),EXACT(Asistencia!I201,"R"),EXACT(Asistencia!I201,"DL"),EXACT(Asistencia!I201,"FL"),EXACT(Asistencia!I201,"FE"),EXACT(Asistencia!I201,"PCS"),EXACT(Asistencia!I201,"V")),1,0)</f>
        <v>0</v>
      </c>
      <c r="AM192">
        <f>IF(OR(EXACT(Asistencia!J201,"A"),EXACT(Asistencia!J201,"R"),EXACT(Asistencia!J201,"DL"),EXACT(Asistencia!J201,"FL"),EXACT(Asistencia!J201,"FE"),EXACT(Asistencia!J201,"PCS"),EXACT(Asistencia!J201,"V")),1,0)</f>
        <v>0</v>
      </c>
      <c r="AN192">
        <f>IF(OR(EXACT(Asistencia!K201,"A"),EXACT(Asistencia!K201,"R"),EXACT(Asistencia!K201,"DL"),EXACT(Asistencia!K201,"FL"),EXACT(Asistencia!K201,"FE"),EXACT(Asistencia!K201,"PCS"),EXACT(Asistencia!K201,"V")),1,0)</f>
        <v>0</v>
      </c>
      <c r="AO192">
        <f>IF(OR(EXACT(Asistencia!L201,"A"),EXACT(Asistencia!L201,"R"),EXACT(Asistencia!L201,"DL"),EXACT(Asistencia!L201,"FL"),EXACT(Asistencia!L201,"FE"),EXACT(Asistencia!L201,"PCS"),EXACT(Asistencia!L201,"V")),1,0)</f>
        <v>0</v>
      </c>
      <c r="AP192">
        <f t="shared" si="85"/>
        <v>0</v>
      </c>
      <c r="AQ192">
        <f>IF(EXACT(Asistencia!F201,"FL"),1,0)</f>
        <v>0</v>
      </c>
      <c r="AR192">
        <f>IF(EXACT(Asistencia!G201,"FL"),1,0)</f>
        <v>0</v>
      </c>
      <c r="AS192">
        <f>IF(EXACT(Asistencia!H201,"FL"),1,0)</f>
        <v>0</v>
      </c>
      <c r="AT192">
        <f>IF(EXACT(Asistencia!I201,"FL"),1,0)</f>
        <v>0</v>
      </c>
      <c r="AU192">
        <f>IF(EXACT(Asistencia!J201,"FL"),1,0)</f>
        <v>0</v>
      </c>
      <c r="AV192">
        <f>IF(EXACT(Asistencia!K201,"FL"),1,0)</f>
        <v>0</v>
      </c>
      <c r="AW192">
        <f>IF(EXACT(Asistencia!L201,"FL"),1,0)</f>
        <v>0</v>
      </c>
      <c r="AX192">
        <f t="shared" si="86"/>
        <v>0</v>
      </c>
      <c r="AY192">
        <f>IF(EXACT(Asistencia!F201,"DL"),1,0)</f>
        <v>0</v>
      </c>
      <c r="AZ192">
        <f>IF(EXACT(Asistencia!G201,"DL"),1,0)</f>
        <v>0</v>
      </c>
      <c r="BA192">
        <f>IF(EXACT(Asistencia!H201,"DL"),1,0)</f>
        <v>0</v>
      </c>
      <c r="BB192">
        <f>IF(EXACT(Asistencia!I201,"DL"),1,0)</f>
        <v>0</v>
      </c>
      <c r="BC192">
        <f>IF(EXACT(Asistencia!J201,"DL"),1,0)</f>
        <v>0</v>
      </c>
      <c r="BD192">
        <f>IF(EXACT(Asistencia!K201,"DL"),1,0)</f>
        <v>0</v>
      </c>
      <c r="BE192">
        <f>IF(EXACT(Asistencia!L201,"DL"),1,0)</f>
        <v>0</v>
      </c>
      <c r="BF192">
        <f t="shared" si="87"/>
        <v>0</v>
      </c>
      <c r="BG192">
        <f>IF(ISNUMBER(Asistencia!M201),Asistencia!M201,0)</f>
        <v>0</v>
      </c>
      <c r="BH192">
        <f>IF(ISNUMBER(Asistencia!N201),Asistencia!N201,0)</f>
        <v>0</v>
      </c>
      <c r="BI192">
        <f>IF(ISNUMBER(Asistencia!O201),Asistencia!O201,0)</f>
        <v>0</v>
      </c>
      <c r="BJ192">
        <f>IF(ISNUMBER(Asistencia!P201),Asistencia!P201,0)</f>
        <v>0</v>
      </c>
      <c r="BK192" t="str">
        <f>IF(Asistencia!F201="","",Asistencia!F201)</f>
        <v/>
      </c>
      <c r="BL192" t="str">
        <f>IF(Asistencia!G201="","",Asistencia!G201)</f>
        <v/>
      </c>
      <c r="BM192" t="str">
        <f>IF(Asistencia!H201="","",Asistencia!H201)</f>
        <v/>
      </c>
      <c r="BN192" t="str">
        <f>IF(Asistencia!I201="","",Asistencia!I201)</f>
        <v/>
      </c>
      <c r="BO192" t="str">
        <f>IF(Asistencia!J201="","",Asistencia!J201)</f>
        <v/>
      </c>
      <c r="BP192" t="str">
        <f>IF(Asistencia!K201="","",Asistencia!K201)</f>
        <v/>
      </c>
      <c r="BQ192" t="str">
        <f>IF(Asistencia!L201="","",Asistencia!L201)</f>
        <v/>
      </c>
    </row>
    <row r="193" spans="1:69" x14ac:dyDescent="0.25">
      <c r="A193" s="46"/>
      <c r="B193" s="47"/>
      <c r="C193" s="47"/>
      <c r="D193" s="47"/>
      <c r="E193" s="46"/>
      <c r="F193" s="45"/>
      <c r="G193" s="44"/>
      <c r="H193" s="44"/>
      <c r="I193" s="44"/>
      <c r="J193" s="44"/>
      <c r="K193" s="44"/>
      <c r="L193" s="44"/>
      <c r="M193" s="43"/>
      <c r="N193" s="41"/>
      <c r="O193" s="41"/>
      <c r="P193" s="41"/>
      <c r="Q193" s="41"/>
      <c r="R193" s="41"/>
      <c r="S193" s="41"/>
      <c r="T193" s="48"/>
      <c r="U193" s="41"/>
      <c r="V193" s="41"/>
      <c r="W193" s="42"/>
      <c r="AA193" t="str">
        <f t="shared" si="84"/>
        <v/>
      </c>
      <c r="AB193" t="str">
        <f>IF(Asistencia!A202="","",Asistencia!A202)</f>
        <v/>
      </c>
      <c r="AC193" t="str">
        <f>IF(Asistencia!A202="","",SUBSTITUTE(SUBSTITUTE(SUBSTITUTE(SUBSTITUTE(SUBSTITUTE(SUBSTITUTE(SUBSTITUTE(UPPER(TRIM(Asistencia!A202)),"Á","A"),"É","E"),"Í","I"),"Ó","O"),"Ú","U"),"Ñ","N"),"  "," "))</f>
        <v/>
      </c>
      <c r="AD193" t="str">
        <f>IF(Asistencia!E202="","",Asistencia!E202)</f>
        <v/>
      </c>
      <c r="AE193" t="str">
        <f>IF(Asistencia!D202="","",UPPER(TRIM(Asistencia!D202)))</f>
        <v/>
      </c>
      <c r="AF193" t="s">
        <v>194</v>
      </c>
      <c r="AG193">
        <f>IF(AND(AA193&lt;&gt;"",COUNTIF($AA$5:AA193,AA193)=1),1,0)</f>
        <v>0</v>
      </c>
      <c r="AH193" t="str">
        <f>IF(AG193=1,SUM($AG$5:AG193),"")</f>
        <v/>
      </c>
      <c r="AI193">
        <f>IF(OR(EXACT(Asistencia!F202,"A"),EXACT(Asistencia!F202,"R"),EXACT(Asistencia!F202,"DL"),EXACT(Asistencia!F202,"FL"),EXACT(Asistencia!F202,"FE"),EXACT(Asistencia!F202,"PCS"),EXACT(Asistencia!F202,"V")),1,0)</f>
        <v>0</v>
      </c>
      <c r="AJ193">
        <f>IF(OR(EXACT(Asistencia!G202,"A"),EXACT(Asistencia!G202,"R"),EXACT(Asistencia!G202,"DL"),EXACT(Asistencia!G202,"FL"),EXACT(Asistencia!G202,"FE"),EXACT(Asistencia!G202,"PCS"),EXACT(Asistencia!G202,"V")),1,0)</f>
        <v>0</v>
      </c>
      <c r="AK193">
        <f>IF(OR(EXACT(Asistencia!H202,"A"),EXACT(Asistencia!H202,"R"),EXACT(Asistencia!H202,"DL"),EXACT(Asistencia!H202,"FL"),EXACT(Asistencia!H202,"FE"),EXACT(Asistencia!H202,"PCS"),EXACT(Asistencia!H202,"V")),1,0)</f>
        <v>0</v>
      </c>
      <c r="AL193">
        <f>IF(OR(EXACT(Asistencia!I202,"A"),EXACT(Asistencia!I202,"R"),EXACT(Asistencia!I202,"DL"),EXACT(Asistencia!I202,"FL"),EXACT(Asistencia!I202,"FE"),EXACT(Asistencia!I202,"PCS"),EXACT(Asistencia!I202,"V")),1,0)</f>
        <v>0</v>
      </c>
      <c r="AM193">
        <f>IF(OR(EXACT(Asistencia!J202,"A"),EXACT(Asistencia!J202,"R"),EXACT(Asistencia!J202,"DL"),EXACT(Asistencia!J202,"FL"),EXACT(Asistencia!J202,"FE"),EXACT(Asistencia!J202,"PCS"),EXACT(Asistencia!J202,"V")),1,0)</f>
        <v>0</v>
      </c>
      <c r="AN193">
        <f>IF(OR(EXACT(Asistencia!K202,"A"),EXACT(Asistencia!K202,"R"),EXACT(Asistencia!K202,"DL"),EXACT(Asistencia!K202,"FL"),EXACT(Asistencia!K202,"FE"),EXACT(Asistencia!K202,"PCS"),EXACT(Asistencia!K202,"V")),1,0)</f>
        <v>0</v>
      </c>
      <c r="AO193">
        <f>IF(OR(EXACT(Asistencia!L202,"A"),EXACT(Asistencia!L202,"R"),EXACT(Asistencia!L202,"DL"),EXACT(Asistencia!L202,"FL"),EXACT(Asistencia!L202,"FE"),EXACT(Asistencia!L202,"PCS"),EXACT(Asistencia!L202,"V")),1,0)</f>
        <v>0</v>
      </c>
      <c r="AP193">
        <f t="shared" si="85"/>
        <v>0</v>
      </c>
      <c r="AQ193">
        <f>IF(EXACT(Asistencia!F202,"FL"),1,0)</f>
        <v>0</v>
      </c>
      <c r="AR193">
        <f>IF(EXACT(Asistencia!G202,"FL"),1,0)</f>
        <v>0</v>
      </c>
      <c r="AS193">
        <f>IF(EXACT(Asistencia!H202,"FL"),1,0)</f>
        <v>0</v>
      </c>
      <c r="AT193">
        <f>IF(EXACT(Asistencia!I202,"FL"),1,0)</f>
        <v>0</v>
      </c>
      <c r="AU193">
        <f>IF(EXACT(Asistencia!J202,"FL"),1,0)</f>
        <v>0</v>
      </c>
      <c r="AV193">
        <f>IF(EXACT(Asistencia!K202,"FL"),1,0)</f>
        <v>0</v>
      </c>
      <c r="AW193">
        <f>IF(EXACT(Asistencia!L202,"FL"),1,0)</f>
        <v>0</v>
      </c>
      <c r="AX193">
        <f t="shared" si="86"/>
        <v>0</v>
      </c>
      <c r="AY193">
        <f>IF(EXACT(Asistencia!F202,"DL"),1,0)</f>
        <v>0</v>
      </c>
      <c r="AZ193">
        <f>IF(EXACT(Asistencia!G202,"DL"),1,0)</f>
        <v>0</v>
      </c>
      <c r="BA193">
        <f>IF(EXACT(Asistencia!H202,"DL"),1,0)</f>
        <v>0</v>
      </c>
      <c r="BB193">
        <f>IF(EXACT(Asistencia!I202,"DL"),1,0)</f>
        <v>0</v>
      </c>
      <c r="BC193">
        <f>IF(EXACT(Asistencia!J202,"DL"),1,0)</f>
        <v>0</v>
      </c>
      <c r="BD193">
        <f>IF(EXACT(Asistencia!K202,"DL"),1,0)</f>
        <v>0</v>
      </c>
      <c r="BE193">
        <f>IF(EXACT(Asistencia!L202,"DL"),1,0)</f>
        <v>0</v>
      </c>
      <c r="BF193">
        <f t="shared" si="87"/>
        <v>0</v>
      </c>
      <c r="BG193">
        <f>IF(ISNUMBER(Asistencia!M202),Asistencia!M202,0)</f>
        <v>0</v>
      </c>
      <c r="BH193">
        <f>IF(ISNUMBER(Asistencia!N202),Asistencia!N202,0)</f>
        <v>0</v>
      </c>
      <c r="BI193">
        <f>IF(ISNUMBER(Asistencia!O202),Asistencia!O202,0)</f>
        <v>0</v>
      </c>
      <c r="BJ193">
        <f>IF(ISNUMBER(Asistencia!P202),Asistencia!P202,0)</f>
        <v>0</v>
      </c>
      <c r="BK193" t="str">
        <f>IF(Asistencia!F202="","",Asistencia!F202)</f>
        <v/>
      </c>
      <c r="BL193" t="str">
        <f>IF(Asistencia!G202="","",Asistencia!G202)</f>
        <v/>
      </c>
      <c r="BM193" t="str">
        <f>IF(Asistencia!H202="","",Asistencia!H202)</f>
        <v/>
      </c>
      <c r="BN193" t="str">
        <f>IF(Asistencia!I202="","",Asistencia!I202)</f>
        <v/>
      </c>
      <c r="BO193" t="str">
        <f>IF(Asistencia!J202="","",Asistencia!J202)</f>
        <v/>
      </c>
      <c r="BP193" t="str">
        <f>IF(Asistencia!K202="","",Asistencia!K202)</f>
        <v/>
      </c>
      <c r="BQ193" t="str">
        <f>IF(Asistencia!L202="","",Asistencia!L202)</f>
        <v/>
      </c>
    </row>
    <row r="194" spans="1:69" x14ac:dyDescent="0.25">
      <c r="A194" s="46"/>
      <c r="B194" s="47"/>
      <c r="C194" s="47"/>
      <c r="D194" s="47"/>
      <c r="E194" s="46"/>
      <c r="F194" s="45"/>
      <c r="G194" s="44"/>
      <c r="H194" s="44"/>
      <c r="I194" s="44"/>
      <c r="J194" s="44"/>
      <c r="K194" s="44"/>
      <c r="L194" s="44"/>
      <c r="M194" s="43"/>
      <c r="N194" s="41"/>
      <c r="O194" s="41"/>
      <c r="P194" s="41"/>
      <c r="Q194" s="41"/>
      <c r="R194" s="41"/>
      <c r="S194" s="41"/>
      <c r="T194" s="48"/>
      <c r="U194" s="41"/>
      <c r="V194" s="41"/>
      <c r="W194" s="42"/>
      <c r="AA194" t="str">
        <f t="shared" si="84"/>
        <v/>
      </c>
      <c r="AB194" t="str">
        <f>IF(Asistencia!A203="","",Asistencia!A203)</f>
        <v/>
      </c>
      <c r="AC194" t="str">
        <f>IF(Asistencia!A203="","",SUBSTITUTE(SUBSTITUTE(SUBSTITUTE(SUBSTITUTE(SUBSTITUTE(SUBSTITUTE(SUBSTITUTE(UPPER(TRIM(Asistencia!A203)),"Á","A"),"É","E"),"Í","I"),"Ó","O"),"Ú","U"),"Ñ","N"),"  "," "))</f>
        <v/>
      </c>
      <c r="AD194" t="str">
        <f>IF(Asistencia!E203="","",Asistencia!E203)</f>
        <v/>
      </c>
      <c r="AE194" t="str">
        <f>IF(Asistencia!D203="","",UPPER(TRIM(Asistencia!D203)))</f>
        <v/>
      </c>
      <c r="AF194" t="s">
        <v>194</v>
      </c>
      <c r="AG194">
        <f>IF(AND(AA194&lt;&gt;"",COUNTIF($AA$5:AA194,AA194)=1),1,0)</f>
        <v>0</v>
      </c>
      <c r="AH194" t="str">
        <f>IF(AG194=1,SUM($AG$5:AG194),"")</f>
        <v/>
      </c>
      <c r="AI194">
        <f>IF(OR(EXACT(Asistencia!F203,"A"),EXACT(Asistencia!F203,"R"),EXACT(Asistencia!F203,"DL"),EXACT(Asistencia!F203,"FL"),EXACT(Asistencia!F203,"FE"),EXACT(Asistencia!F203,"PCS"),EXACT(Asistencia!F203,"V")),1,0)</f>
        <v>0</v>
      </c>
      <c r="AJ194">
        <f>IF(OR(EXACT(Asistencia!G203,"A"),EXACT(Asistencia!G203,"R"),EXACT(Asistencia!G203,"DL"),EXACT(Asistencia!G203,"FL"),EXACT(Asistencia!G203,"FE"),EXACT(Asistencia!G203,"PCS"),EXACT(Asistencia!G203,"V")),1,0)</f>
        <v>0</v>
      </c>
      <c r="AK194">
        <f>IF(OR(EXACT(Asistencia!H203,"A"),EXACT(Asistencia!H203,"R"),EXACT(Asistencia!H203,"DL"),EXACT(Asistencia!H203,"FL"),EXACT(Asistencia!H203,"FE"),EXACT(Asistencia!H203,"PCS"),EXACT(Asistencia!H203,"V")),1,0)</f>
        <v>0</v>
      </c>
      <c r="AL194">
        <f>IF(OR(EXACT(Asistencia!I203,"A"),EXACT(Asistencia!I203,"R"),EXACT(Asistencia!I203,"DL"),EXACT(Asistencia!I203,"FL"),EXACT(Asistencia!I203,"FE"),EXACT(Asistencia!I203,"PCS"),EXACT(Asistencia!I203,"V")),1,0)</f>
        <v>0</v>
      </c>
      <c r="AM194">
        <f>IF(OR(EXACT(Asistencia!J203,"A"),EXACT(Asistencia!J203,"R"),EXACT(Asistencia!J203,"DL"),EXACT(Asistencia!J203,"FL"),EXACT(Asistencia!J203,"FE"),EXACT(Asistencia!J203,"PCS"),EXACT(Asistencia!J203,"V")),1,0)</f>
        <v>0</v>
      </c>
      <c r="AN194">
        <f>IF(OR(EXACT(Asistencia!K203,"A"),EXACT(Asistencia!K203,"R"),EXACT(Asistencia!K203,"DL"),EXACT(Asistencia!K203,"FL"),EXACT(Asistencia!K203,"FE"),EXACT(Asistencia!K203,"PCS"),EXACT(Asistencia!K203,"V")),1,0)</f>
        <v>0</v>
      </c>
      <c r="AO194">
        <f>IF(OR(EXACT(Asistencia!L203,"A"),EXACT(Asistencia!L203,"R"),EXACT(Asistencia!L203,"DL"),EXACT(Asistencia!L203,"FL"),EXACT(Asistencia!L203,"FE"),EXACT(Asistencia!L203,"PCS"),EXACT(Asistencia!L203,"V")),1,0)</f>
        <v>0</v>
      </c>
      <c r="AP194">
        <f t="shared" si="85"/>
        <v>0</v>
      </c>
      <c r="AQ194">
        <f>IF(EXACT(Asistencia!F203,"FL"),1,0)</f>
        <v>0</v>
      </c>
      <c r="AR194">
        <f>IF(EXACT(Asistencia!G203,"FL"),1,0)</f>
        <v>0</v>
      </c>
      <c r="AS194">
        <f>IF(EXACT(Asistencia!H203,"FL"),1,0)</f>
        <v>0</v>
      </c>
      <c r="AT194">
        <f>IF(EXACT(Asistencia!I203,"FL"),1,0)</f>
        <v>0</v>
      </c>
      <c r="AU194">
        <f>IF(EXACT(Asistencia!J203,"FL"),1,0)</f>
        <v>0</v>
      </c>
      <c r="AV194">
        <f>IF(EXACT(Asistencia!K203,"FL"),1,0)</f>
        <v>0</v>
      </c>
      <c r="AW194">
        <f>IF(EXACT(Asistencia!L203,"FL"),1,0)</f>
        <v>0</v>
      </c>
      <c r="AX194">
        <f t="shared" si="86"/>
        <v>0</v>
      </c>
      <c r="AY194">
        <f>IF(EXACT(Asistencia!F203,"DL"),1,0)</f>
        <v>0</v>
      </c>
      <c r="AZ194">
        <f>IF(EXACT(Asistencia!G203,"DL"),1,0)</f>
        <v>0</v>
      </c>
      <c r="BA194">
        <f>IF(EXACT(Asistencia!H203,"DL"),1,0)</f>
        <v>0</v>
      </c>
      <c r="BB194">
        <f>IF(EXACT(Asistencia!I203,"DL"),1,0)</f>
        <v>0</v>
      </c>
      <c r="BC194">
        <f>IF(EXACT(Asistencia!J203,"DL"),1,0)</f>
        <v>0</v>
      </c>
      <c r="BD194">
        <f>IF(EXACT(Asistencia!K203,"DL"),1,0)</f>
        <v>0</v>
      </c>
      <c r="BE194">
        <f>IF(EXACT(Asistencia!L203,"DL"),1,0)</f>
        <v>0</v>
      </c>
      <c r="BF194">
        <f t="shared" si="87"/>
        <v>0</v>
      </c>
      <c r="BG194">
        <f>IF(ISNUMBER(Asistencia!M203),Asistencia!M203,0)</f>
        <v>0</v>
      </c>
      <c r="BH194">
        <f>IF(ISNUMBER(Asistencia!N203),Asistencia!N203,0)</f>
        <v>0</v>
      </c>
      <c r="BI194">
        <f>IF(ISNUMBER(Asistencia!O203),Asistencia!O203,0)</f>
        <v>0</v>
      </c>
      <c r="BJ194">
        <f>IF(ISNUMBER(Asistencia!P203),Asistencia!P203,0)</f>
        <v>0</v>
      </c>
      <c r="BK194" t="str">
        <f>IF(Asistencia!F203="","",Asistencia!F203)</f>
        <v/>
      </c>
      <c r="BL194" t="str">
        <f>IF(Asistencia!G203="","",Asistencia!G203)</f>
        <v/>
      </c>
      <c r="BM194" t="str">
        <f>IF(Asistencia!H203="","",Asistencia!H203)</f>
        <v/>
      </c>
      <c r="BN194" t="str">
        <f>IF(Asistencia!I203="","",Asistencia!I203)</f>
        <v/>
      </c>
      <c r="BO194" t="str">
        <f>IF(Asistencia!J203="","",Asistencia!J203)</f>
        <v/>
      </c>
      <c r="BP194" t="str">
        <f>IF(Asistencia!K203="","",Asistencia!K203)</f>
        <v/>
      </c>
      <c r="BQ194" t="str">
        <f>IF(Asistencia!L203="","",Asistencia!L203)</f>
        <v/>
      </c>
    </row>
    <row r="195" spans="1:69" x14ac:dyDescent="0.25">
      <c r="A195" s="46"/>
      <c r="B195" s="47"/>
      <c r="C195" s="47"/>
      <c r="D195" s="47"/>
      <c r="E195" s="46"/>
      <c r="F195" s="45"/>
      <c r="G195" s="44"/>
      <c r="H195" s="44"/>
      <c r="I195" s="44"/>
      <c r="J195" s="44"/>
      <c r="K195" s="44"/>
      <c r="L195" s="44"/>
      <c r="M195" s="43"/>
      <c r="N195" s="41"/>
      <c r="O195" s="41"/>
      <c r="P195" s="41"/>
      <c r="Q195" s="41"/>
      <c r="R195" s="41"/>
      <c r="S195" s="41"/>
      <c r="T195" s="48"/>
      <c r="U195" s="41"/>
      <c r="V195" s="41"/>
      <c r="W195" s="42"/>
      <c r="AA195" t="str">
        <f t="shared" si="84"/>
        <v/>
      </c>
      <c r="AB195" t="str">
        <f>IF(Asistencia!A204="","",Asistencia!A204)</f>
        <v/>
      </c>
      <c r="AC195" t="str">
        <f>IF(Asistencia!A204="","",SUBSTITUTE(SUBSTITUTE(SUBSTITUTE(SUBSTITUTE(SUBSTITUTE(SUBSTITUTE(SUBSTITUTE(UPPER(TRIM(Asistencia!A204)),"Á","A"),"É","E"),"Í","I"),"Ó","O"),"Ú","U"),"Ñ","N"),"  "," "))</f>
        <v/>
      </c>
      <c r="AD195" t="str">
        <f>IF(Asistencia!E204="","",Asistencia!E204)</f>
        <v/>
      </c>
      <c r="AE195" t="str">
        <f>IF(Asistencia!D204="","",UPPER(TRIM(Asistencia!D204)))</f>
        <v/>
      </c>
      <c r="AF195" t="s">
        <v>194</v>
      </c>
      <c r="AG195">
        <f>IF(AND(AA195&lt;&gt;"",COUNTIF($AA$5:AA195,AA195)=1),1,0)</f>
        <v>0</v>
      </c>
      <c r="AH195" t="str">
        <f>IF(AG195=1,SUM($AG$5:AG195),"")</f>
        <v/>
      </c>
      <c r="AI195">
        <f>IF(OR(EXACT(Asistencia!F204,"A"),EXACT(Asistencia!F204,"R"),EXACT(Asistencia!F204,"DL"),EXACT(Asistencia!F204,"FL"),EXACT(Asistencia!F204,"FE"),EXACT(Asistencia!F204,"PCS"),EXACT(Asistencia!F204,"V")),1,0)</f>
        <v>0</v>
      </c>
      <c r="AJ195">
        <f>IF(OR(EXACT(Asistencia!G204,"A"),EXACT(Asistencia!G204,"R"),EXACT(Asistencia!G204,"DL"),EXACT(Asistencia!G204,"FL"),EXACT(Asistencia!G204,"FE"),EXACT(Asistencia!G204,"PCS"),EXACT(Asistencia!G204,"V")),1,0)</f>
        <v>0</v>
      </c>
      <c r="AK195">
        <f>IF(OR(EXACT(Asistencia!H204,"A"),EXACT(Asistencia!H204,"R"),EXACT(Asistencia!H204,"DL"),EXACT(Asistencia!H204,"FL"),EXACT(Asistencia!H204,"FE"),EXACT(Asistencia!H204,"PCS"),EXACT(Asistencia!H204,"V")),1,0)</f>
        <v>0</v>
      </c>
      <c r="AL195">
        <f>IF(OR(EXACT(Asistencia!I204,"A"),EXACT(Asistencia!I204,"R"),EXACT(Asistencia!I204,"DL"),EXACT(Asistencia!I204,"FL"),EXACT(Asistencia!I204,"FE"),EXACT(Asistencia!I204,"PCS"),EXACT(Asistencia!I204,"V")),1,0)</f>
        <v>0</v>
      </c>
      <c r="AM195">
        <f>IF(OR(EXACT(Asistencia!J204,"A"),EXACT(Asistencia!J204,"R"),EXACT(Asistencia!J204,"DL"),EXACT(Asistencia!J204,"FL"),EXACT(Asistencia!J204,"FE"),EXACT(Asistencia!J204,"PCS"),EXACT(Asistencia!J204,"V")),1,0)</f>
        <v>0</v>
      </c>
      <c r="AN195">
        <f>IF(OR(EXACT(Asistencia!K204,"A"),EXACT(Asistencia!K204,"R"),EXACT(Asistencia!K204,"DL"),EXACT(Asistencia!K204,"FL"),EXACT(Asistencia!K204,"FE"),EXACT(Asistencia!K204,"PCS"),EXACT(Asistencia!K204,"V")),1,0)</f>
        <v>0</v>
      </c>
      <c r="AO195">
        <f>IF(OR(EXACT(Asistencia!L204,"A"),EXACT(Asistencia!L204,"R"),EXACT(Asistencia!L204,"DL"),EXACT(Asistencia!L204,"FL"),EXACT(Asistencia!L204,"FE"),EXACT(Asistencia!L204,"PCS"),EXACT(Asistencia!L204,"V")),1,0)</f>
        <v>0</v>
      </c>
      <c r="AP195">
        <f t="shared" si="85"/>
        <v>0</v>
      </c>
      <c r="AQ195">
        <f>IF(EXACT(Asistencia!F204,"FL"),1,0)</f>
        <v>0</v>
      </c>
      <c r="AR195">
        <f>IF(EXACT(Asistencia!G204,"FL"),1,0)</f>
        <v>0</v>
      </c>
      <c r="AS195">
        <f>IF(EXACT(Asistencia!H204,"FL"),1,0)</f>
        <v>0</v>
      </c>
      <c r="AT195">
        <f>IF(EXACT(Asistencia!I204,"FL"),1,0)</f>
        <v>0</v>
      </c>
      <c r="AU195">
        <f>IF(EXACT(Asistencia!J204,"FL"),1,0)</f>
        <v>0</v>
      </c>
      <c r="AV195">
        <f>IF(EXACT(Asistencia!K204,"FL"),1,0)</f>
        <v>0</v>
      </c>
      <c r="AW195">
        <f>IF(EXACT(Asistencia!L204,"FL"),1,0)</f>
        <v>0</v>
      </c>
      <c r="AX195">
        <f t="shared" si="86"/>
        <v>0</v>
      </c>
      <c r="AY195">
        <f>IF(EXACT(Asistencia!F204,"DL"),1,0)</f>
        <v>0</v>
      </c>
      <c r="AZ195">
        <f>IF(EXACT(Asistencia!G204,"DL"),1,0)</f>
        <v>0</v>
      </c>
      <c r="BA195">
        <f>IF(EXACT(Asistencia!H204,"DL"),1,0)</f>
        <v>0</v>
      </c>
      <c r="BB195">
        <f>IF(EXACT(Asistencia!I204,"DL"),1,0)</f>
        <v>0</v>
      </c>
      <c r="BC195">
        <f>IF(EXACT(Asistencia!J204,"DL"),1,0)</f>
        <v>0</v>
      </c>
      <c r="BD195">
        <f>IF(EXACT(Asistencia!K204,"DL"),1,0)</f>
        <v>0</v>
      </c>
      <c r="BE195">
        <f>IF(EXACT(Asistencia!L204,"DL"),1,0)</f>
        <v>0</v>
      </c>
      <c r="BF195">
        <f t="shared" si="87"/>
        <v>0</v>
      </c>
      <c r="BG195">
        <f>IF(ISNUMBER(Asistencia!M204),Asistencia!M204,0)</f>
        <v>0</v>
      </c>
      <c r="BH195">
        <f>IF(ISNUMBER(Asistencia!N204),Asistencia!N204,0)</f>
        <v>0</v>
      </c>
      <c r="BI195">
        <f>IF(ISNUMBER(Asistencia!O204),Asistencia!O204,0)</f>
        <v>0</v>
      </c>
      <c r="BJ195">
        <f>IF(ISNUMBER(Asistencia!P204),Asistencia!P204,0)</f>
        <v>0</v>
      </c>
      <c r="BK195" t="str">
        <f>IF(Asistencia!F204="","",Asistencia!F204)</f>
        <v/>
      </c>
      <c r="BL195" t="str">
        <f>IF(Asistencia!G204="","",Asistencia!G204)</f>
        <v/>
      </c>
      <c r="BM195" t="str">
        <f>IF(Asistencia!H204="","",Asistencia!H204)</f>
        <v/>
      </c>
      <c r="BN195" t="str">
        <f>IF(Asistencia!I204="","",Asistencia!I204)</f>
        <v/>
      </c>
      <c r="BO195" t="str">
        <f>IF(Asistencia!J204="","",Asistencia!J204)</f>
        <v/>
      </c>
      <c r="BP195" t="str">
        <f>IF(Asistencia!K204="","",Asistencia!K204)</f>
        <v/>
      </c>
      <c r="BQ195" t="str">
        <f>IF(Asistencia!L204="","",Asistencia!L204)</f>
        <v/>
      </c>
    </row>
    <row r="196" spans="1:69" x14ac:dyDescent="0.25">
      <c r="A196" s="46"/>
      <c r="B196" s="47"/>
      <c r="C196" s="47"/>
      <c r="D196" s="47"/>
      <c r="E196" s="46"/>
      <c r="F196" s="45"/>
      <c r="G196" s="44"/>
      <c r="H196" s="44"/>
      <c r="I196" s="44"/>
      <c r="J196" s="44"/>
      <c r="K196" s="44"/>
      <c r="L196" s="44"/>
      <c r="M196" s="43"/>
      <c r="N196" s="41"/>
      <c r="O196" s="41"/>
      <c r="P196" s="41"/>
      <c r="Q196" s="41"/>
      <c r="R196" s="41"/>
      <c r="S196" s="41"/>
      <c r="T196" s="48"/>
      <c r="U196" s="41"/>
      <c r="V196" s="41"/>
      <c r="W196" s="42"/>
      <c r="AA196" t="str">
        <f t="shared" si="84"/>
        <v/>
      </c>
      <c r="AB196" t="str">
        <f>IF(Asistencia!A205="","",Asistencia!A205)</f>
        <v/>
      </c>
      <c r="AC196" t="str">
        <f>IF(Asistencia!A205="","",SUBSTITUTE(SUBSTITUTE(SUBSTITUTE(SUBSTITUTE(SUBSTITUTE(SUBSTITUTE(SUBSTITUTE(UPPER(TRIM(Asistencia!A205)),"Á","A"),"É","E"),"Í","I"),"Ó","O"),"Ú","U"),"Ñ","N"),"  "," "))</f>
        <v/>
      </c>
      <c r="AD196" t="str">
        <f>IF(Asistencia!E205="","",Asistencia!E205)</f>
        <v/>
      </c>
      <c r="AE196" t="str">
        <f>IF(Asistencia!D205="","",UPPER(TRIM(Asistencia!D205)))</f>
        <v/>
      </c>
      <c r="AF196" t="s">
        <v>194</v>
      </c>
      <c r="AG196">
        <f>IF(AND(AA196&lt;&gt;"",COUNTIF($AA$5:AA196,AA196)=1),1,0)</f>
        <v>0</v>
      </c>
      <c r="AH196" t="str">
        <f>IF(AG196=1,SUM($AG$5:AG196),"")</f>
        <v/>
      </c>
      <c r="AI196">
        <f>IF(OR(EXACT(Asistencia!F205,"A"),EXACT(Asistencia!F205,"R"),EXACT(Asistencia!F205,"DL"),EXACT(Asistencia!F205,"FL"),EXACT(Asistencia!F205,"FE"),EXACT(Asistencia!F205,"PCS"),EXACT(Asistencia!F205,"V")),1,0)</f>
        <v>0</v>
      </c>
      <c r="AJ196">
        <f>IF(OR(EXACT(Asistencia!G205,"A"),EXACT(Asistencia!G205,"R"),EXACT(Asistencia!G205,"DL"),EXACT(Asistencia!G205,"FL"),EXACT(Asistencia!G205,"FE"),EXACT(Asistencia!G205,"PCS"),EXACT(Asistencia!G205,"V")),1,0)</f>
        <v>0</v>
      </c>
      <c r="AK196">
        <f>IF(OR(EXACT(Asistencia!H205,"A"),EXACT(Asistencia!H205,"R"),EXACT(Asistencia!H205,"DL"),EXACT(Asistencia!H205,"FL"),EXACT(Asistencia!H205,"FE"),EXACT(Asistencia!H205,"PCS"),EXACT(Asistencia!H205,"V")),1,0)</f>
        <v>0</v>
      </c>
      <c r="AL196">
        <f>IF(OR(EXACT(Asistencia!I205,"A"),EXACT(Asistencia!I205,"R"),EXACT(Asistencia!I205,"DL"),EXACT(Asistencia!I205,"FL"),EXACT(Asistencia!I205,"FE"),EXACT(Asistencia!I205,"PCS"),EXACT(Asistencia!I205,"V")),1,0)</f>
        <v>0</v>
      </c>
      <c r="AM196">
        <f>IF(OR(EXACT(Asistencia!J205,"A"),EXACT(Asistencia!J205,"R"),EXACT(Asistencia!J205,"DL"),EXACT(Asistencia!J205,"FL"),EXACT(Asistencia!J205,"FE"),EXACT(Asistencia!J205,"PCS"),EXACT(Asistencia!J205,"V")),1,0)</f>
        <v>0</v>
      </c>
      <c r="AN196">
        <f>IF(OR(EXACT(Asistencia!K205,"A"),EXACT(Asistencia!K205,"R"),EXACT(Asistencia!K205,"DL"),EXACT(Asistencia!K205,"FL"),EXACT(Asistencia!K205,"FE"),EXACT(Asistencia!K205,"PCS"),EXACT(Asistencia!K205,"V")),1,0)</f>
        <v>0</v>
      </c>
      <c r="AO196">
        <f>IF(OR(EXACT(Asistencia!L205,"A"),EXACT(Asistencia!L205,"R"),EXACT(Asistencia!L205,"DL"),EXACT(Asistencia!L205,"FL"),EXACT(Asistencia!L205,"FE"),EXACT(Asistencia!L205,"PCS"),EXACT(Asistencia!L205,"V")),1,0)</f>
        <v>0</v>
      </c>
      <c r="AP196">
        <f t="shared" si="85"/>
        <v>0</v>
      </c>
      <c r="AQ196">
        <f>IF(EXACT(Asistencia!F205,"FL"),1,0)</f>
        <v>0</v>
      </c>
      <c r="AR196">
        <f>IF(EXACT(Asistencia!G205,"FL"),1,0)</f>
        <v>0</v>
      </c>
      <c r="AS196">
        <f>IF(EXACT(Asistencia!H205,"FL"),1,0)</f>
        <v>0</v>
      </c>
      <c r="AT196">
        <f>IF(EXACT(Asistencia!I205,"FL"),1,0)</f>
        <v>0</v>
      </c>
      <c r="AU196">
        <f>IF(EXACT(Asistencia!J205,"FL"),1,0)</f>
        <v>0</v>
      </c>
      <c r="AV196">
        <f>IF(EXACT(Asistencia!K205,"FL"),1,0)</f>
        <v>0</v>
      </c>
      <c r="AW196">
        <f>IF(EXACT(Asistencia!L205,"FL"),1,0)</f>
        <v>0</v>
      </c>
      <c r="AX196">
        <f t="shared" si="86"/>
        <v>0</v>
      </c>
      <c r="AY196">
        <f>IF(EXACT(Asistencia!F205,"DL"),1,0)</f>
        <v>0</v>
      </c>
      <c r="AZ196">
        <f>IF(EXACT(Asistencia!G205,"DL"),1,0)</f>
        <v>0</v>
      </c>
      <c r="BA196">
        <f>IF(EXACT(Asistencia!H205,"DL"),1,0)</f>
        <v>0</v>
      </c>
      <c r="BB196">
        <f>IF(EXACT(Asistencia!I205,"DL"),1,0)</f>
        <v>0</v>
      </c>
      <c r="BC196">
        <f>IF(EXACT(Asistencia!J205,"DL"),1,0)</f>
        <v>0</v>
      </c>
      <c r="BD196">
        <f>IF(EXACT(Asistencia!K205,"DL"),1,0)</f>
        <v>0</v>
      </c>
      <c r="BE196">
        <f>IF(EXACT(Asistencia!L205,"DL"),1,0)</f>
        <v>0</v>
      </c>
      <c r="BF196">
        <f t="shared" si="87"/>
        <v>0</v>
      </c>
      <c r="BG196">
        <f>IF(ISNUMBER(Asistencia!M205),Asistencia!M205,0)</f>
        <v>0</v>
      </c>
      <c r="BH196">
        <f>IF(ISNUMBER(Asistencia!N205),Asistencia!N205,0)</f>
        <v>0</v>
      </c>
      <c r="BI196">
        <f>IF(ISNUMBER(Asistencia!O205),Asistencia!O205,0)</f>
        <v>0</v>
      </c>
      <c r="BJ196">
        <f>IF(ISNUMBER(Asistencia!P205),Asistencia!P205,0)</f>
        <v>0</v>
      </c>
      <c r="BK196" t="str">
        <f>IF(Asistencia!F205="","",Asistencia!F205)</f>
        <v/>
      </c>
      <c r="BL196" t="str">
        <f>IF(Asistencia!G205="","",Asistencia!G205)</f>
        <v/>
      </c>
      <c r="BM196" t="str">
        <f>IF(Asistencia!H205="","",Asistencia!H205)</f>
        <v/>
      </c>
      <c r="BN196" t="str">
        <f>IF(Asistencia!I205="","",Asistencia!I205)</f>
        <v/>
      </c>
      <c r="BO196" t="str">
        <f>IF(Asistencia!J205="","",Asistencia!J205)</f>
        <v/>
      </c>
      <c r="BP196" t="str">
        <f>IF(Asistencia!K205="","",Asistencia!K205)</f>
        <v/>
      </c>
      <c r="BQ196" t="str">
        <f>IF(Asistencia!L205="","",Asistencia!L205)</f>
        <v/>
      </c>
    </row>
    <row r="197" spans="1:69" x14ac:dyDescent="0.25">
      <c r="A197" s="46"/>
      <c r="B197" s="47"/>
      <c r="C197" s="47"/>
      <c r="D197" s="47"/>
      <c r="E197" s="46"/>
      <c r="F197" s="45"/>
      <c r="G197" s="44"/>
      <c r="H197" s="44"/>
      <c r="I197" s="44"/>
      <c r="J197" s="44"/>
      <c r="K197" s="44"/>
      <c r="L197" s="44"/>
      <c r="M197" s="43"/>
      <c r="N197" s="41"/>
      <c r="O197" s="41"/>
      <c r="P197" s="41"/>
      <c r="Q197" s="41"/>
      <c r="R197" s="41"/>
      <c r="S197" s="41"/>
      <c r="T197" s="48"/>
      <c r="U197" s="41"/>
      <c r="V197" s="41"/>
      <c r="W197" s="42"/>
      <c r="AA197" t="str">
        <f t="shared" ref="AA197:AA260" si="88">IF(AC197="","","M:"&amp;AC197)</f>
        <v/>
      </c>
      <c r="AB197" t="str">
        <f>IF(Asistencia!A206="","",Asistencia!A206)</f>
        <v/>
      </c>
      <c r="AC197" t="str">
        <f>IF(Asistencia!A206="","",SUBSTITUTE(SUBSTITUTE(SUBSTITUTE(SUBSTITUTE(SUBSTITUTE(SUBSTITUTE(SUBSTITUTE(UPPER(TRIM(Asistencia!A206)),"Á","A"),"É","E"),"Í","I"),"Ó","O"),"Ú","U"),"Ñ","N"),"  "," "))</f>
        <v/>
      </c>
      <c r="AD197" t="str">
        <f>IF(Asistencia!E206="","",Asistencia!E206)</f>
        <v/>
      </c>
      <c r="AE197" t="str">
        <f>IF(Asistencia!D206="","",UPPER(TRIM(Asistencia!D206)))</f>
        <v/>
      </c>
      <c r="AF197" t="s">
        <v>194</v>
      </c>
      <c r="AG197">
        <f>IF(AND(AA197&lt;&gt;"",COUNTIF($AA$5:AA197,AA197)=1),1,0)</f>
        <v>0</v>
      </c>
      <c r="AH197" t="str">
        <f>IF(AG197=1,SUM($AG$5:AG197),"")</f>
        <v/>
      </c>
      <c r="AI197">
        <f>IF(OR(EXACT(Asistencia!F206,"A"),EXACT(Asistencia!F206,"R"),EXACT(Asistencia!F206,"DL"),EXACT(Asistencia!F206,"FL"),EXACT(Asistencia!F206,"FE"),EXACT(Asistencia!F206,"PCS"),EXACT(Asistencia!F206,"V")),1,0)</f>
        <v>0</v>
      </c>
      <c r="AJ197">
        <f>IF(OR(EXACT(Asistencia!G206,"A"),EXACT(Asistencia!G206,"R"),EXACT(Asistencia!G206,"DL"),EXACT(Asistencia!G206,"FL"),EXACT(Asistencia!G206,"FE"),EXACT(Asistencia!G206,"PCS"),EXACT(Asistencia!G206,"V")),1,0)</f>
        <v>0</v>
      </c>
      <c r="AK197">
        <f>IF(OR(EXACT(Asistencia!H206,"A"),EXACT(Asistencia!H206,"R"),EXACT(Asistencia!H206,"DL"),EXACT(Asistencia!H206,"FL"),EXACT(Asistencia!H206,"FE"),EXACT(Asistencia!H206,"PCS"),EXACT(Asistencia!H206,"V")),1,0)</f>
        <v>0</v>
      </c>
      <c r="AL197">
        <f>IF(OR(EXACT(Asistencia!I206,"A"),EXACT(Asistencia!I206,"R"),EXACT(Asistencia!I206,"DL"),EXACT(Asistencia!I206,"FL"),EXACT(Asistencia!I206,"FE"),EXACT(Asistencia!I206,"PCS"),EXACT(Asistencia!I206,"V")),1,0)</f>
        <v>0</v>
      </c>
      <c r="AM197">
        <f>IF(OR(EXACT(Asistencia!J206,"A"),EXACT(Asistencia!J206,"R"),EXACT(Asistencia!J206,"DL"),EXACT(Asistencia!J206,"FL"),EXACT(Asistencia!J206,"FE"),EXACT(Asistencia!J206,"PCS"),EXACT(Asistencia!J206,"V")),1,0)</f>
        <v>0</v>
      </c>
      <c r="AN197">
        <f>IF(OR(EXACT(Asistencia!K206,"A"),EXACT(Asistencia!K206,"R"),EXACT(Asistencia!K206,"DL"),EXACT(Asistencia!K206,"FL"),EXACT(Asistencia!K206,"FE"),EXACT(Asistencia!K206,"PCS"),EXACT(Asistencia!K206,"V")),1,0)</f>
        <v>0</v>
      </c>
      <c r="AO197">
        <f>IF(OR(EXACT(Asistencia!L206,"A"),EXACT(Asistencia!L206,"R"),EXACT(Asistencia!L206,"DL"),EXACT(Asistencia!L206,"FL"),EXACT(Asistencia!L206,"FE"),EXACT(Asistencia!L206,"PCS"),EXACT(Asistencia!L206,"V")),1,0)</f>
        <v>0</v>
      </c>
      <c r="AP197">
        <f t="shared" ref="AP197:AP260" si="89">SUM(AI197:AO197)</f>
        <v>0</v>
      </c>
      <c r="AQ197">
        <f>IF(EXACT(Asistencia!F206,"FL"),1,0)</f>
        <v>0</v>
      </c>
      <c r="AR197">
        <f>IF(EXACT(Asistencia!G206,"FL"),1,0)</f>
        <v>0</v>
      </c>
      <c r="AS197">
        <f>IF(EXACT(Asistencia!H206,"FL"),1,0)</f>
        <v>0</v>
      </c>
      <c r="AT197">
        <f>IF(EXACT(Asistencia!I206,"FL"),1,0)</f>
        <v>0</v>
      </c>
      <c r="AU197">
        <f>IF(EXACT(Asistencia!J206,"FL"),1,0)</f>
        <v>0</v>
      </c>
      <c r="AV197">
        <f>IF(EXACT(Asistencia!K206,"FL"),1,0)</f>
        <v>0</v>
      </c>
      <c r="AW197">
        <f>IF(EXACT(Asistencia!L206,"FL"),1,0)</f>
        <v>0</v>
      </c>
      <c r="AX197">
        <f t="shared" ref="AX197:AX260" si="90">SUM(AQ197:AW197)</f>
        <v>0</v>
      </c>
      <c r="AY197">
        <f>IF(EXACT(Asistencia!F206,"DL"),1,0)</f>
        <v>0</v>
      </c>
      <c r="AZ197">
        <f>IF(EXACT(Asistencia!G206,"DL"),1,0)</f>
        <v>0</v>
      </c>
      <c r="BA197">
        <f>IF(EXACT(Asistencia!H206,"DL"),1,0)</f>
        <v>0</v>
      </c>
      <c r="BB197">
        <f>IF(EXACT(Asistencia!I206,"DL"),1,0)</f>
        <v>0</v>
      </c>
      <c r="BC197">
        <f>IF(EXACT(Asistencia!J206,"DL"),1,0)</f>
        <v>0</v>
      </c>
      <c r="BD197">
        <f>IF(EXACT(Asistencia!K206,"DL"),1,0)</f>
        <v>0</v>
      </c>
      <c r="BE197">
        <f>IF(EXACT(Asistencia!L206,"DL"),1,0)</f>
        <v>0</v>
      </c>
      <c r="BF197">
        <f t="shared" ref="BF197:BF260" si="91">SUM(AY197:BE197)</f>
        <v>0</v>
      </c>
      <c r="BG197">
        <f>IF(ISNUMBER(Asistencia!M206),Asistencia!M206,0)</f>
        <v>0</v>
      </c>
      <c r="BH197">
        <f>IF(ISNUMBER(Asistencia!N206),Asistencia!N206,0)</f>
        <v>0</v>
      </c>
      <c r="BI197">
        <f>IF(ISNUMBER(Asistencia!O206),Asistencia!O206,0)</f>
        <v>0</v>
      </c>
      <c r="BJ197">
        <f>IF(ISNUMBER(Asistencia!P206),Asistencia!P206,0)</f>
        <v>0</v>
      </c>
      <c r="BK197" t="str">
        <f>IF(Asistencia!F206="","",Asistencia!F206)</f>
        <v/>
      </c>
      <c r="BL197" t="str">
        <f>IF(Asistencia!G206="","",Asistencia!G206)</f>
        <v/>
      </c>
      <c r="BM197" t="str">
        <f>IF(Asistencia!H206="","",Asistencia!H206)</f>
        <v/>
      </c>
      <c r="BN197" t="str">
        <f>IF(Asistencia!I206="","",Asistencia!I206)</f>
        <v/>
      </c>
      <c r="BO197" t="str">
        <f>IF(Asistencia!J206="","",Asistencia!J206)</f>
        <v/>
      </c>
      <c r="BP197" t="str">
        <f>IF(Asistencia!K206="","",Asistencia!K206)</f>
        <v/>
      </c>
      <c r="BQ197" t="str">
        <f>IF(Asistencia!L206="","",Asistencia!L206)</f>
        <v/>
      </c>
    </row>
    <row r="198" spans="1:69" x14ac:dyDescent="0.25">
      <c r="A198" s="46"/>
      <c r="B198" s="47"/>
      <c r="C198" s="47"/>
      <c r="D198" s="47"/>
      <c r="E198" s="46"/>
      <c r="F198" s="45"/>
      <c r="G198" s="44"/>
      <c r="H198" s="44"/>
      <c r="I198" s="44"/>
      <c r="J198" s="44"/>
      <c r="K198" s="44"/>
      <c r="L198" s="44"/>
      <c r="M198" s="43"/>
      <c r="N198" s="41"/>
      <c r="O198" s="41"/>
      <c r="P198" s="41"/>
      <c r="Q198" s="41"/>
      <c r="R198" s="41"/>
      <c r="S198" s="41"/>
      <c r="T198" s="48"/>
      <c r="U198" s="41"/>
      <c r="V198" s="41"/>
      <c r="W198" s="42"/>
      <c r="AA198" t="str">
        <f t="shared" si="88"/>
        <v/>
      </c>
      <c r="AB198" t="str">
        <f>IF(Asistencia!A207="","",Asistencia!A207)</f>
        <v/>
      </c>
      <c r="AC198" t="str">
        <f>IF(Asistencia!A207="","",SUBSTITUTE(SUBSTITUTE(SUBSTITUTE(SUBSTITUTE(SUBSTITUTE(SUBSTITUTE(SUBSTITUTE(UPPER(TRIM(Asistencia!A207)),"Á","A"),"É","E"),"Í","I"),"Ó","O"),"Ú","U"),"Ñ","N"),"  "," "))</f>
        <v/>
      </c>
      <c r="AD198" t="str">
        <f>IF(Asistencia!E207="","",Asistencia!E207)</f>
        <v/>
      </c>
      <c r="AE198" t="str">
        <f>IF(Asistencia!D207="","",UPPER(TRIM(Asistencia!D207)))</f>
        <v/>
      </c>
      <c r="AF198" t="s">
        <v>194</v>
      </c>
      <c r="AG198">
        <f>IF(AND(AA198&lt;&gt;"",COUNTIF($AA$5:AA198,AA198)=1),1,0)</f>
        <v>0</v>
      </c>
      <c r="AH198" t="str">
        <f>IF(AG198=1,SUM($AG$5:AG198),"")</f>
        <v/>
      </c>
      <c r="AI198">
        <f>IF(OR(EXACT(Asistencia!F207,"A"),EXACT(Asistencia!F207,"R"),EXACT(Asistencia!F207,"DL"),EXACT(Asistencia!F207,"FL"),EXACT(Asistencia!F207,"FE"),EXACT(Asistencia!F207,"PCS"),EXACT(Asistencia!F207,"V")),1,0)</f>
        <v>0</v>
      </c>
      <c r="AJ198">
        <f>IF(OR(EXACT(Asistencia!G207,"A"),EXACT(Asistencia!G207,"R"),EXACT(Asistencia!G207,"DL"),EXACT(Asistencia!G207,"FL"),EXACT(Asistencia!G207,"FE"),EXACT(Asistencia!G207,"PCS"),EXACT(Asistencia!G207,"V")),1,0)</f>
        <v>0</v>
      </c>
      <c r="AK198">
        <f>IF(OR(EXACT(Asistencia!H207,"A"),EXACT(Asistencia!H207,"R"),EXACT(Asistencia!H207,"DL"),EXACT(Asistencia!H207,"FL"),EXACT(Asistencia!H207,"FE"),EXACT(Asistencia!H207,"PCS"),EXACT(Asistencia!H207,"V")),1,0)</f>
        <v>0</v>
      </c>
      <c r="AL198">
        <f>IF(OR(EXACT(Asistencia!I207,"A"),EXACT(Asistencia!I207,"R"),EXACT(Asistencia!I207,"DL"),EXACT(Asistencia!I207,"FL"),EXACT(Asistencia!I207,"FE"),EXACT(Asistencia!I207,"PCS"),EXACT(Asistencia!I207,"V")),1,0)</f>
        <v>0</v>
      </c>
      <c r="AM198">
        <f>IF(OR(EXACT(Asistencia!J207,"A"),EXACT(Asistencia!J207,"R"),EXACT(Asistencia!J207,"DL"),EXACT(Asistencia!J207,"FL"),EXACT(Asistencia!J207,"FE"),EXACT(Asistencia!J207,"PCS"),EXACT(Asistencia!J207,"V")),1,0)</f>
        <v>0</v>
      </c>
      <c r="AN198">
        <f>IF(OR(EXACT(Asistencia!K207,"A"),EXACT(Asistencia!K207,"R"),EXACT(Asistencia!K207,"DL"),EXACT(Asistencia!K207,"FL"),EXACT(Asistencia!K207,"FE"),EXACT(Asistencia!K207,"PCS"),EXACT(Asistencia!K207,"V")),1,0)</f>
        <v>0</v>
      </c>
      <c r="AO198">
        <f>IF(OR(EXACT(Asistencia!L207,"A"),EXACT(Asistencia!L207,"R"),EXACT(Asistencia!L207,"DL"),EXACT(Asistencia!L207,"FL"),EXACT(Asistencia!L207,"FE"),EXACT(Asistencia!L207,"PCS"),EXACT(Asistencia!L207,"V")),1,0)</f>
        <v>0</v>
      </c>
      <c r="AP198">
        <f t="shared" si="89"/>
        <v>0</v>
      </c>
      <c r="AQ198">
        <f>IF(EXACT(Asistencia!F207,"FL"),1,0)</f>
        <v>0</v>
      </c>
      <c r="AR198">
        <f>IF(EXACT(Asistencia!G207,"FL"),1,0)</f>
        <v>0</v>
      </c>
      <c r="AS198">
        <f>IF(EXACT(Asistencia!H207,"FL"),1,0)</f>
        <v>0</v>
      </c>
      <c r="AT198">
        <f>IF(EXACT(Asistencia!I207,"FL"),1,0)</f>
        <v>0</v>
      </c>
      <c r="AU198">
        <f>IF(EXACT(Asistencia!J207,"FL"),1,0)</f>
        <v>0</v>
      </c>
      <c r="AV198">
        <f>IF(EXACT(Asistencia!K207,"FL"),1,0)</f>
        <v>0</v>
      </c>
      <c r="AW198">
        <f>IF(EXACT(Asistencia!L207,"FL"),1,0)</f>
        <v>0</v>
      </c>
      <c r="AX198">
        <f t="shared" si="90"/>
        <v>0</v>
      </c>
      <c r="AY198">
        <f>IF(EXACT(Asistencia!F207,"DL"),1,0)</f>
        <v>0</v>
      </c>
      <c r="AZ198">
        <f>IF(EXACT(Asistencia!G207,"DL"),1,0)</f>
        <v>0</v>
      </c>
      <c r="BA198">
        <f>IF(EXACT(Asistencia!H207,"DL"),1,0)</f>
        <v>0</v>
      </c>
      <c r="BB198">
        <f>IF(EXACT(Asistencia!I207,"DL"),1,0)</f>
        <v>0</v>
      </c>
      <c r="BC198">
        <f>IF(EXACT(Asistencia!J207,"DL"),1,0)</f>
        <v>0</v>
      </c>
      <c r="BD198">
        <f>IF(EXACT(Asistencia!K207,"DL"),1,0)</f>
        <v>0</v>
      </c>
      <c r="BE198">
        <f>IF(EXACT(Asistencia!L207,"DL"),1,0)</f>
        <v>0</v>
      </c>
      <c r="BF198">
        <f t="shared" si="91"/>
        <v>0</v>
      </c>
      <c r="BG198">
        <f>IF(ISNUMBER(Asistencia!M207),Asistencia!M207,0)</f>
        <v>0</v>
      </c>
      <c r="BH198">
        <f>IF(ISNUMBER(Asistencia!N207),Asistencia!N207,0)</f>
        <v>0</v>
      </c>
      <c r="BI198">
        <f>IF(ISNUMBER(Asistencia!O207),Asistencia!O207,0)</f>
        <v>0</v>
      </c>
      <c r="BJ198">
        <f>IF(ISNUMBER(Asistencia!P207),Asistencia!P207,0)</f>
        <v>0</v>
      </c>
      <c r="BK198" t="str">
        <f>IF(Asistencia!F207="","",Asistencia!F207)</f>
        <v/>
      </c>
      <c r="BL198" t="str">
        <f>IF(Asistencia!G207="","",Asistencia!G207)</f>
        <v/>
      </c>
      <c r="BM198" t="str">
        <f>IF(Asistencia!H207="","",Asistencia!H207)</f>
        <v/>
      </c>
      <c r="BN198" t="str">
        <f>IF(Asistencia!I207="","",Asistencia!I207)</f>
        <v/>
      </c>
      <c r="BO198" t="str">
        <f>IF(Asistencia!J207="","",Asistencia!J207)</f>
        <v/>
      </c>
      <c r="BP198" t="str">
        <f>IF(Asistencia!K207="","",Asistencia!K207)</f>
        <v/>
      </c>
      <c r="BQ198" t="str">
        <f>IF(Asistencia!L207="","",Asistencia!L207)</f>
        <v/>
      </c>
    </row>
    <row r="199" spans="1:69" x14ac:dyDescent="0.25">
      <c r="A199" s="46"/>
      <c r="B199" s="47"/>
      <c r="C199" s="47"/>
      <c r="D199" s="47"/>
      <c r="E199" s="46"/>
      <c r="F199" s="45"/>
      <c r="G199" s="44"/>
      <c r="H199" s="44"/>
      <c r="I199" s="44"/>
      <c r="J199" s="44"/>
      <c r="K199" s="44"/>
      <c r="L199" s="44"/>
      <c r="M199" s="43"/>
      <c r="N199" s="41"/>
      <c r="O199" s="41"/>
      <c r="P199" s="41"/>
      <c r="Q199" s="41"/>
      <c r="R199" s="41"/>
      <c r="S199" s="41"/>
      <c r="T199" s="48"/>
      <c r="U199" s="41"/>
      <c r="V199" s="41"/>
      <c r="W199" s="42"/>
      <c r="AA199" t="str">
        <f t="shared" si="88"/>
        <v/>
      </c>
      <c r="AB199" t="str">
        <f>IF(Asistencia!A208="","",Asistencia!A208)</f>
        <v/>
      </c>
      <c r="AC199" t="str">
        <f>IF(Asistencia!A208="","",SUBSTITUTE(SUBSTITUTE(SUBSTITUTE(SUBSTITUTE(SUBSTITUTE(SUBSTITUTE(SUBSTITUTE(UPPER(TRIM(Asistencia!A208)),"Á","A"),"É","E"),"Í","I"),"Ó","O"),"Ú","U"),"Ñ","N"),"  "," "))</f>
        <v/>
      </c>
      <c r="AD199" t="str">
        <f>IF(Asistencia!E208="","",Asistencia!E208)</f>
        <v/>
      </c>
      <c r="AE199" t="str">
        <f>IF(Asistencia!D208="","",UPPER(TRIM(Asistencia!D208)))</f>
        <v/>
      </c>
      <c r="AF199" t="s">
        <v>194</v>
      </c>
      <c r="AG199">
        <f>IF(AND(AA199&lt;&gt;"",COUNTIF($AA$5:AA199,AA199)=1),1,0)</f>
        <v>0</v>
      </c>
      <c r="AH199" t="str">
        <f>IF(AG199=1,SUM($AG$5:AG199),"")</f>
        <v/>
      </c>
      <c r="AI199">
        <f>IF(OR(EXACT(Asistencia!F208,"A"),EXACT(Asistencia!F208,"R"),EXACT(Asistencia!F208,"DL"),EXACT(Asistencia!F208,"FL"),EXACT(Asistencia!F208,"FE"),EXACT(Asistencia!F208,"PCS"),EXACT(Asistencia!F208,"V")),1,0)</f>
        <v>0</v>
      </c>
      <c r="AJ199">
        <f>IF(OR(EXACT(Asistencia!G208,"A"),EXACT(Asistencia!G208,"R"),EXACT(Asistencia!G208,"DL"),EXACT(Asistencia!G208,"FL"),EXACT(Asistencia!G208,"FE"),EXACT(Asistencia!G208,"PCS"),EXACT(Asistencia!G208,"V")),1,0)</f>
        <v>0</v>
      </c>
      <c r="AK199">
        <f>IF(OR(EXACT(Asistencia!H208,"A"),EXACT(Asistencia!H208,"R"),EXACT(Asistencia!H208,"DL"),EXACT(Asistencia!H208,"FL"),EXACT(Asistencia!H208,"FE"),EXACT(Asistencia!H208,"PCS"),EXACT(Asistencia!H208,"V")),1,0)</f>
        <v>0</v>
      </c>
      <c r="AL199">
        <f>IF(OR(EXACT(Asistencia!I208,"A"),EXACT(Asistencia!I208,"R"),EXACT(Asistencia!I208,"DL"),EXACT(Asistencia!I208,"FL"),EXACT(Asistencia!I208,"FE"),EXACT(Asistencia!I208,"PCS"),EXACT(Asistencia!I208,"V")),1,0)</f>
        <v>0</v>
      </c>
      <c r="AM199">
        <f>IF(OR(EXACT(Asistencia!J208,"A"),EXACT(Asistencia!J208,"R"),EXACT(Asistencia!J208,"DL"),EXACT(Asistencia!J208,"FL"),EXACT(Asistencia!J208,"FE"),EXACT(Asistencia!J208,"PCS"),EXACT(Asistencia!J208,"V")),1,0)</f>
        <v>0</v>
      </c>
      <c r="AN199">
        <f>IF(OR(EXACT(Asistencia!K208,"A"),EXACT(Asistencia!K208,"R"),EXACT(Asistencia!K208,"DL"),EXACT(Asistencia!K208,"FL"),EXACT(Asistencia!K208,"FE"),EXACT(Asistencia!K208,"PCS"),EXACT(Asistencia!K208,"V")),1,0)</f>
        <v>0</v>
      </c>
      <c r="AO199">
        <f>IF(OR(EXACT(Asistencia!L208,"A"),EXACT(Asistencia!L208,"R"),EXACT(Asistencia!L208,"DL"),EXACT(Asistencia!L208,"FL"),EXACT(Asistencia!L208,"FE"),EXACT(Asistencia!L208,"PCS"),EXACT(Asistencia!L208,"V")),1,0)</f>
        <v>0</v>
      </c>
      <c r="AP199">
        <f t="shared" si="89"/>
        <v>0</v>
      </c>
      <c r="AQ199">
        <f>IF(EXACT(Asistencia!F208,"FL"),1,0)</f>
        <v>0</v>
      </c>
      <c r="AR199">
        <f>IF(EXACT(Asistencia!G208,"FL"),1,0)</f>
        <v>0</v>
      </c>
      <c r="AS199">
        <f>IF(EXACT(Asistencia!H208,"FL"),1,0)</f>
        <v>0</v>
      </c>
      <c r="AT199">
        <f>IF(EXACT(Asistencia!I208,"FL"),1,0)</f>
        <v>0</v>
      </c>
      <c r="AU199">
        <f>IF(EXACT(Asistencia!J208,"FL"),1,0)</f>
        <v>0</v>
      </c>
      <c r="AV199">
        <f>IF(EXACT(Asistencia!K208,"FL"),1,0)</f>
        <v>0</v>
      </c>
      <c r="AW199">
        <f>IF(EXACT(Asistencia!L208,"FL"),1,0)</f>
        <v>0</v>
      </c>
      <c r="AX199">
        <f t="shared" si="90"/>
        <v>0</v>
      </c>
      <c r="AY199">
        <f>IF(EXACT(Asistencia!F208,"DL"),1,0)</f>
        <v>0</v>
      </c>
      <c r="AZ199">
        <f>IF(EXACT(Asistencia!G208,"DL"),1,0)</f>
        <v>0</v>
      </c>
      <c r="BA199">
        <f>IF(EXACT(Asistencia!H208,"DL"),1,0)</f>
        <v>0</v>
      </c>
      <c r="BB199">
        <f>IF(EXACT(Asistencia!I208,"DL"),1,0)</f>
        <v>0</v>
      </c>
      <c r="BC199">
        <f>IF(EXACT(Asistencia!J208,"DL"),1,0)</f>
        <v>0</v>
      </c>
      <c r="BD199">
        <f>IF(EXACT(Asistencia!K208,"DL"),1,0)</f>
        <v>0</v>
      </c>
      <c r="BE199">
        <f>IF(EXACT(Asistencia!L208,"DL"),1,0)</f>
        <v>0</v>
      </c>
      <c r="BF199">
        <f t="shared" si="91"/>
        <v>0</v>
      </c>
      <c r="BG199">
        <f>IF(ISNUMBER(Asistencia!M208),Asistencia!M208,0)</f>
        <v>0</v>
      </c>
      <c r="BH199">
        <f>IF(ISNUMBER(Asistencia!N208),Asistencia!N208,0)</f>
        <v>0</v>
      </c>
      <c r="BI199">
        <f>IF(ISNUMBER(Asistencia!O208),Asistencia!O208,0)</f>
        <v>0</v>
      </c>
      <c r="BJ199">
        <f>IF(ISNUMBER(Asistencia!P208),Asistencia!P208,0)</f>
        <v>0</v>
      </c>
      <c r="BK199" t="str">
        <f>IF(Asistencia!F208="","",Asistencia!F208)</f>
        <v/>
      </c>
      <c r="BL199" t="str">
        <f>IF(Asistencia!G208="","",Asistencia!G208)</f>
        <v/>
      </c>
      <c r="BM199" t="str">
        <f>IF(Asistencia!H208="","",Asistencia!H208)</f>
        <v/>
      </c>
      <c r="BN199" t="str">
        <f>IF(Asistencia!I208="","",Asistencia!I208)</f>
        <v/>
      </c>
      <c r="BO199" t="str">
        <f>IF(Asistencia!J208="","",Asistencia!J208)</f>
        <v/>
      </c>
      <c r="BP199" t="str">
        <f>IF(Asistencia!K208="","",Asistencia!K208)</f>
        <v/>
      </c>
      <c r="BQ199" t="str">
        <f>IF(Asistencia!L208="","",Asistencia!L208)</f>
        <v/>
      </c>
    </row>
    <row r="200" spans="1:69" x14ac:dyDescent="0.25">
      <c r="A200" s="46"/>
      <c r="B200" s="47"/>
      <c r="C200" s="47"/>
      <c r="D200" s="47"/>
      <c r="E200" s="46"/>
      <c r="F200" s="45"/>
      <c r="G200" s="44"/>
      <c r="H200" s="44"/>
      <c r="I200" s="44"/>
      <c r="J200" s="44"/>
      <c r="K200" s="44"/>
      <c r="L200" s="44"/>
      <c r="M200" s="43"/>
      <c r="N200" s="41"/>
      <c r="O200" s="41"/>
      <c r="P200" s="41"/>
      <c r="Q200" s="41"/>
      <c r="R200" s="41"/>
      <c r="S200" s="41"/>
      <c r="T200" s="48"/>
      <c r="U200" s="41"/>
      <c r="V200" s="41"/>
      <c r="W200" s="42"/>
      <c r="AA200" t="str">
        <f t="shared" si="88"/>
        <v/>
      </c>
      <c r="AB200" t="str">
        <f>IF(Asistencia!A209="","",Asistencia!A209)</f>
        <v/>
      </c>
      <c r="AC200" t="str">
        <f>IF(Asistencia!A209="","",SUBSTITUTE(SUBSTITUTE(SUBSTITUTE(SUBSTITUTE(SUBSTITUTE(SUBSTITUTE(SUBSTITUTE(UPPER(TRIM(Asistencia!A209)),"Á","A"),"É","E"),"Í","I"),"Ó","O"),"Ú","U"),"Ñ","N"),"  "," "))</f>
        <v/>
      </c>
      <c r="AD200" t="str">
        <f>IF(Asistencia!E209="","",Asistencia!E209)</f>
        <v/>
      </c>
      <c r="AE200" t="str">
        <f>IF(Asistencia!D209="","",UPPER(TRIM(Asistencia!D209)))</f>
        <v/>
      </c>
      <c r="AF200" t="s">
        <v>194</v>
      </c>
      <c r="AG200">
        <f>IF(AND(AA200&lt;&gt;"",COUNTIF($AA$5:AA200,AA200)=1),1,0)</f>
        <v>0</v>
      </c>
      <c r="AH200" t="str">
        <f>IF(AG200=1,SUM($AG$5:AG200),"")</f>
        <v/>
      </c>
      <c r="AI200">
        <f>IF(OR(EXACT(Asistencia!F209,"A"),EXACT(Asistencia!F209,"R"),EXACT(Asistencia!F209,"DL"),EXACT(Asistencia!F209,"FL"),EXACT(Asistencia!F209,"FE"),EXACT(Asistencia!F209,"PCS"),EXACT(Asistencia!F209,"V")),1,0)</f>
        <v>0</v>
      </c>
      <c r="AJ200">
        <f>IF(OR(EXACT(Asistencia!G209,"A"),EXACT(Asistencia!G209,"R"),EXACT(Asistencia!G209,"DL"),EXACT(Asistencia!G209,"FL"),EXACT(Asistencia!G209,"FE"),EXACT(Asistencia!G209,"PCS"),EXACT(Asistencia!G209,"V")),1,0)</f>
        <v>0</v>
      </c>
      <c r="AK200">
        <f>IF(OR(EXACT(Asistencia!H209,"A"),EXACT(Asistencia!H209,"R"),EXACT(Asistencia!H209,"DL"),EXACT(Asistencia!H209,"FL"),EXACT(Asistencia!H209,"FE"),EXACT(Asistencia!H209,"PCS"),EXACT(Asistencia!H209,"V")),1,0)</f>
        <v>0</v>
      </c>
      <c r="AL200">
        <f>IF(OR(EXACT(Asistencia!I209,"A"),EXACT(Asistencia!I209,"R"),EXACT(Asistencia!I209,"DL"),EXACT(Asistencia!I209,"FL"),EXACT(Asistencia!I209,"FE"),EXACT(Asistencia!I209,"PCS"),EXACT(Asistencia!I209,"V")),1,0)</f>
        <v>0</v>
      </c>
      <c r="AM200">
        <f>IF(OR(EXACT(Asistencia!J209,"A"),EXACT(Asistencia!J209,"R"),EXACT(Asistencia!J209,"DL"),EXACT(Asistencia!J209,"FL"),EXACT(Asistencia!J209,"FE"),EXACT(Asistencia!J209,"PCS"),EXACT(Asistencia!J209,"V")),1,0)</f>
        <v>0</v>
      </c>
      <c r="AN200">
        <f>IF(OR(EXACT(Asistencia!K209,"A"),EXACT(Asistencia!K209,"R"),EXACT(Asistencia!K209,"DL"),EXACT(Asistencia!K209,"FL"),EXACT(Asistencia!K209,"FE"),EXACT(Asistencia!K209,"PCS"),EXACT(Asistencia!K209,"V")),1,0)</f>
        <v>0</v>
      </c>
      <c r="AO200">
        <f>IF(OR(EXACT(Asistencia!L209,"A"),EXACT(Asistencia!L209,"R"),EXACT(Asistencia!L209,"DL"),EXACT(Asistencia!L209,"FL"),EXACT(Asistencia!L209,"FE"),EXACT(Asistencia!L209,"PCS"),EXACT(Asistencia!L209,"V")),1,0)</f>
        <v>0</v>
      </c>
      <c r="AP200">
        <f t="shared" si="89"/>
        <v>0</v>
      </c>
      <c r="AQ200">
        <f>IF(EXACT(Asistencia!F209,"FL"),1,0)</f>
        <v>0</v>
      </c>
      <c r="AR200">
        <f>IF(EXACT(Asistencia!G209,"FL"),1,0)</f>
        <v>0</v>
      </c>
      <c r="AS200">
        <f>IF(EXACT(Asistencia!H209,"FL"),1,0)</f>
        <v>0</v>
      </c>
      <c r="AT200">
        <f>IF(EXACT(Asistencia!I209,"FL"),1,0)</f>
        <v>0</v>
      </c>
      <c r="AU200">
        <f>IF(EXACT(Asistencia!J209,"FL"),1,0)</f>
        <v>0</v>
      </c>
      <c r="AV200">
        <f>IF(EXACT(Asistencia!K209,"FL"),1,0)</f>
        <v>0</v>
      </c>
      <c r="AW200">
        <f>IF(EXACT(Asistencia!L209,"FL"),1,0)</f>
        <v>0</v>
      </c>
      <c r="AX200">
        <f t="shared" si="90"/>
        <v>0</v>
      </c>
      <c r="AY200">
        <f>IF(EXACT(Asistencia!F209,"DL"),1,0)</f>
        <v>0</v>
      </c>
      <c r="AZ200">
        <f>IF(EXACT(Asistencia!G209,"DL"),1,0)</f>
        <v>0</v>
      </c>
      <c r="BA200">
        <f>IF(EXACT(Asistencia!H209,"DL"),1,0)</f>
        <v>0</v>
      </c>
      <c r="BB200">
        <f>IF(EXACT(Asistencia!I209,"DL"),1,0)</f>
        <v>0</v>
      </c>
      <c r="BC200">
        <f>IF(EXACT(Asistencia!J209,"DL"),1,0)</f>
        <v>0</v>
      </c>
      <c r="BD200">
        <f>IF(EXACT(Asistencia!K209,"DL"),1,0)</f>
        <v>0</v>
      </c>
      <c r="BE200">
        <f>IF(EXACT(Asistencia!L209,"DL"),1,0)</f>
        <v>0</v>
      </c>
      <c r="BF200">
        <f t="shared" si="91"/>
        <v>0</v>
      </c>
      <c r="BG200">
        <f>IF(ISNUMBER(Asistencia!M209),Asistencia!M209,0)</f>
        <v>0</v>
      </c>
      <c r="BH200">
        <f>IF(ISNUMBER(Asistencia!N209),Asistencia!N209,0)</f>
        <v>0</v>
      </c>
      <c r="BI200">
        <f>IF(ISNUMBER(Asistencia!O209),Asistencia!O209,0)</f>
        <v>0</v>
      </c>
      <c r="BJ200">
        <f>IF(ISNUMBER(Asistencia!P209),Asistencia!P209,0)</f>
        <v>0</v>
      </c>
      <c r="BK200" t="str">
        <f>IF(Asistencia!F209="","",Asistencia!F209)</f>
        <v/>
      </c>
      <c r="BL200" t="str">
        <f>IF(Asistencia!G209="","",Asistencia!G209)</f>
        <v/>
      </c>
      <c r="BM200" t="str">
        <f>IF(Asistencia!H209="","",Asistencia!H209)</f>
        <v/>
      </c>
      <c r="BN200" t="str">
        <f>IF(Asistencia!I209="","",Asistencia!I209)</f>
        <v/>
      </c>
      <c r="BO200" t="str">
        <f>IF(Asistencia!J209="","",Asistencia!J209)</f>
        <v/>
      </c>
      <c r="BP200" t="str">
        <f>IF(Asistencia!K209="","",Asistencia!K209)</f>
        <v/>
      </c>
      <c r="BQ200" t="str">
        <f>IF(Asistencia!L209="","",Asistencia!L209)</f>
        <v/>
      </c>
    </row>
    <row r="201" spans="1:69" x14ac:dyDescent="0.25">
      <c r="A201" s="46"/>
      <c r="B201" s="47"/>
      <c r="C201" s="47"/>
      <c r="D201" s="47"/>
      <c r="E201" s="46"/>
      <c r="F201" s="45"/>
      <c r="G201" s="44"/>
      <c r="H201" s="44"/>
      <c r="I201" s="44"/>
      <c r="J201" s="44"/>
      <c r="K201" s="44"/>
      <c r="L201" s="44"/>
      <c r="M201" s="43"/>
      <c r="N201" s="41"/>
      <c r="O201" s="41"/>
      <c r="P201" s="41"/>
      <c r="Q201" s="41"/>
      <c r="R201" s="41"/>
      <c r="S201" s="41"/>
      <c r="T201" s="48"/>
      <c r="U201" s="41"/>
      <c r="V201" s="41"/>
      <c r="W201" s="42"/>
      <c r="AA201" t="str">
        <f t="shared" si="88"/>
        <v/>
      </c>
      <c r="AB201" t="str">
        <f>IF(Asistencia!A210="","",Asistencia!A210)</f>
        <v/>
      </c>
      <c r="AC201" t="str">
        <f>IF(Asistencia!A210="","",SUBSTITUTE(SUBSTITUTE(SUBSTITUTE(SUBSTITUTE(SUBSTITUTE(SUBSTITUTE(SUBSTITUTE(UPPER(TRIM(Asistencia!A210)),"Á","A"),"É","E"),"Í","I"),"Ó","O"),"Ú","U"),"Ñ","N"),"  "," "))</f>
        <v/>
      </c>
      <c r="AD201" t="str">
        <f>IF(Asistencia!E210="","",Asistencia!E210)</f>
        <v/>
      </c>
      <c r="AE201" t="str">
        <f>IF(Asistencia!D210="","",UPPER(TRIM(Asistencia!D210)))</f>
        <v/>
      </c>
      <c r="AF201" t="s">
        <v>194</v>
      </c>
      <c r="AG201">
        <f>IF(AND(AA201&lt;&gt;"",COUNTIF($AA$5:AA201,AA201)=1),1,0)</f>
        <v>0</v>
      </c>
      <c r="AH201" t="str">
        <f>IF(AG201=1,SUM($AG$5:AG201),"")</f>
        <v/>
      </c>
      <c r="AI201">
        <f>IF(OR(EXACT(Asistencia!F210,"A"),EXACT(Asistencia!F210,"R"),EXACT(Asistencia!F210,"DL"),EXACT(Asistencia!F210,"FL"),EXACT(Asistencia!F210,"FE"),EXACT(Asistencia!F210,"PCS"),EXACT(Asistencia!F210,"V")),1,0)</f>
        <v>0</v>
      </c>
      <c r="AJ201">
        <f>IF(OR(EXACT(Asistencia!G210,"A"),EXACT(Asistencia!G210,"R"),EXACT(Asistencia!G210,"DL"),EXACT(Asistencia!G210,"FL"),EXACT(Asistencia!G210,"FE"),EXACT(Asistencia!G210,"PCS"),EXACT(Asistencia!G210,"V")),1,0)</f>
        <v>0</v>
      </c>
      <c r="AK201">
        <f>IF(OR(EXACT(Asistencia!H210,"A"),EXACT(Asistencia!H210,"R"),EXACT(Asistencia!H210,"DL"),EXACT(Asistencia!H210,"FL"),EXACT(Asistencia!H210,"FE"),EXACT(Asistencia!H210,"PCS"),EXACT(Asistencia!H210,"V")),1,0)</f>
        <v>0</v>
      </c>
      <c r="AL201">
        <f>IF(OR(EXACT(Asistencia!I210,"A"),EXACT(Asistencia!I210,"R"),EXACT(Asistencia!I210,"DL"),EXACT(Asistencia!I210,"FL"),EXACT(Asistencia!I210,"FE"),EXACT(Asistencia!I210,"PCS"),EXACT(Asistencia!I210,"V")),1,0)</f>
        <v>0</v>
      </c>
      <c r="AM201">
        <f>IF(OR(EXACT(Asistencia!J210,"A"),EXACT(Asistencia!J210,"R"),EXACT(Asistencia!J210,"DL"),EXACT(Asistencia!J210,"FL"),EXACT(Asistencia!J210,"FE"),EXACT(Asistencia!J210,"PCS"),EXACT(Asistencia!J210,"V")),1,0)</f>
        <v>0</v>
      </c>
      <c r="AN201">
        <f>IF(OR(EXACT(Asistencia!K210,"A"),EXACT(Asistencia!K210,"R"),EXACT(Asistencia!K210,"DL"),EXACT(Asistencia!K210,"FL"),EXACT(Asistencia!K210,"FE"),EXACT(Asistencia!K210,"PCS"),EXACT(Asistencia!K210,"V")),1,0)</f>
        <v>0</v>
      </c>
      <c r="AO201">
        <f>IF(OR(EXACT(Asistencia!L210,"A"),EXACT(Asistencia!L210,"R"),EXACT(Asistencia!L210,"DL"),EXACT(Asistencia!L210,"FL"),EXACT(Asistencia!L210,"FE"),EXACT(Asistencia!L210,"PCS"),EXACT(Asistencia!L210,"V")),1,0)</f>
        <v>0</v>
      </c>
      <c r="AP201">
        <f t="shared" si="89"/>
        <v>0</v>
      </c>
      <c r="AQ201">
        <f>IF(EXACT(Asistencia!F210,"FL"),1,0)</f>
        <v>0</v>
      </c>
      <c r="AR201">
        <f>IF(EXACT(Asistencia!G210,"FL"),1,0)</f>
        <v>0</v>
      </c>
      <c r="AS201">
        <f>IF(EXACT(Asistencia!H210,"FL"),1,0)</f>
        <v>0</v>
      </c>
      <c r="AT201">
        <f>IF(EXACT(Asistencia!I210,"FL"),1,0)</f>
        <v>0</v>
      </c>
      <c r="AU201">
        <f>IF(EXACT(Asistencia!J210,"FL"),1,0)</f>
        <v>0</v>
      </c>
      <c r="AV201">
        <f>IF(EXACT(Asistencia!K210,"FL"),1,0)</f>
        <v>0</v>
      </c>
      <c r="AW201">
        <f>IF(EXACT(Asistencia!L210,"FL"),1,0)</f>
        <v>0</v>
      </c>
      <c r="AX201">
        <f t="shared" si="90"/>
        <v>0</v>
      </c>
      <c r="AY201">
        <f>IF(EXACT(Asistencia!F210,"DL"),1,0)</f>
        <v>0</v>
      </c>
      <c r="AZ201">
        <f>IF(EXACT(Asistencia!G210,"DL"),1,0)</f>
        <v>0</v>
      </c>
      <c r="BA201">
        <f>IF(EXACT(Asistencia!H210,"DL"),1,0)</f>
        <v>0</v>
      </c>
      <c r="BB201">
        <f>IF(EXACT(Asistencia!I210,"DL"),1,0)</f>
        <v>0</v>
      </c>
      <c r="BC201">
        <f>IF(EXACT(Asistencia!J210,"DL"),1,0)</f>
        <v>0</v>
      </c>
      <c r="BD201">
        <f>IF(EXACT(Asistencia!K210,"DL"),1,0)</f>
        <v>0</v>
      </c>
      <c r="BE201">
        <f>IF(EXACT(Asistencia!L210,"DL"),1,0)</f>
        <v>0</v>
      </c>
      <c r="BF201">
        <f t="shared" si="91"/>
        <v>0</v>
      </c>
      <c r="BG201">
        <f>IF(ISNUMBER(Asistencia!M210),Asistencia!M210,0)</f>
        <v>0</v>
      </c>
      <c r="BH201">
        <f>IF(ISNUMBER(Asistencia!N210),Asistencia!N210,0)</f>
        <v>0</v>
      </c>
      <c r="BI201">
        <f>IF(ISNUMBER(Asistencia!O210),Asistencia!O210,0)</f>
        <v>0</v>
      </c>
      <c r="BJ201">
        <f>IF(ISNUMBER(Asistencia!P210),Asistencia!P210,0)</f>
        <v>0</v>
      </c>
      <c r="BK201" t="str">
        <f>IF(Asistencia!F210="","",Asistencia!F210)</f>
        <v/>
      </c>
      <c r="BL201" t="str">
        <f>IF(Asistencia!G210="","",Asistencia!G210)</f>
        <v/>
      </c>
      <c r="BM201" t="str">
        <f>IF(Asistencia!H210="","",Asistencia!H210)</f>
        <v/>
      </c>
      <c r="BN201" t="str">
        <f>IF(Asistencia!I210="","",Asistencia!I210)</f>
        <v/>
      </c>
      <c r="BO201" t="str">
        <f>IF(Asistencia!J210="","",Asistencia!J210)</f>
        <v/>
      </c>
      <c r="BP201" t="str">
        <f>IF(Asistencia!K210="","",Asistencia!K210)</f>
        <v/>
      </c>
      <c r="BQ201" t="str">
        <f>IF(Asistencia!L210="","",Asistencia!L210)</f>
        <v/>
      </c>
    </row>
    <row r="202" spans="1:69" x14ac:dyDescent="0.25">
      <c r="A202" s="46"/>
      <c r="B202" s="47"/>
      <c r="C202" s="47"/>
      <c r="D202" s="47"/>
      <c r="E202" s="46"/>
      <c r="F202" s="45"/>
      <c r="G202" s="44"/>
      <c r="H202" s="44"/>
      <c r="I202" s="44"/>
      <c r="J202" s="44"/>
      <c r="K202" s="44"/>
      <c r="L202" s="44"/>
      <c r="M202" s="43"/>
      <c r="N202" s="41"/>
      <c r="O202" s="41"/>
      <c r="P202" s="41"/>
      <c r="Q202" s="41"/>
      <c r="R202" s="41"/>
      <c r="S202" s="41"/>
      <c r="T202" s="48"/>
      <c r="U202" s="41"/>
      <c r="V202" s="41"/>
      <c r="W202" s="42"/>
      <c r="AA202" t="str">
        <f t="shared" si="88"/>
        <v/>
      </c>
      <c r="AB202" t="str">
        <f>IF(Asistencia!A211="","",Asistencia!A211)</f>
        <v/>
      </c>
      <c r="AC202" t="str">
        <f>IF(Asistencia!A211="","",SUBSTITUTE(SUBSTITUTE(SUBSTITUTE(SUBSTITUTE(SUBSTITUTE(SUBSTITUTE(SUBSTITUTE(UPPER(TRIM(Asistencia!A211)),"Á","A"),"É","E"),"Í","I"),"Ó","O"),"Ú","U"),"Ñ","N"),"  "," "))</f>
        <v/>
      </c>
      <c r="AD202" t="str">
        <f>IF(Asistencia!E211="","",Asistencia!E211)</f>
        <v/>
      </c>
      <c r="AE202" t="str">
        <f>IF(Asistencia!D211="","",UPPER(TRIM(Asistencia!D211)))</f>
        <v/>
      </c>
      <c r="AF202" t="s">
        <v>194</v>
      </c>
      <c r="AG202">
        <f>IF(AND(AA202&lt;&gt;"",COUNTIF($AA$5:AA202,AA202)=1),1,0)</f>
        <v>0</v>
      </c>
      <c r="AH202" t="str">
        <f>IF(AG202=1,SUM($AG$5:AG202),"")</f>
        <v/>
      </c>
      <c r="AI202">
        <f>IF(OR(EXACT(Asistencia!F211,"A"),EXACT(Asistencia!F211,"R"),EXACT(Asistencia!F211,"DL"),EXACT(Asistencia!F211,"FL"),EXACT(Asistencia!F211,"FE"),EXACT(Asistencia!F211,"PCS"),EXACT(Asistencia!F211,"V")),1,0)</f>
        <v>0</v>
      </c>
      <c r="AJ202">
        <f>IF(OR(EXACT(Asistencia!G211,"A"),EXACT(Asistencia!G211,"R"),EXACT(Asistencia!G211,"DL"),EXACT(Asistencia!G211,"FL"),EXACT(Asistencia!G211,"FE"),EXACT(Asistencia!G211,"PCS"),EXACT(Asistencia!G211,"V")),1,0)</f>
        <v>0</v>
      </c>
      <c r="AK202">
        <f>IF(OR(EXACT(Asistencia!H211,"A"),EXACT(Asistencia!H211,"R"),EXACT(Asistencia!H211,"DL"),EXACT(Asistencia!H211,"FL"),EXACT(Asistencia!H211,"FE"),EXACT(Asistencia!H211,"PCS"),EXACT(Asistencia!H211,"V")),1,0)</f>
        <v>0</v>
      </c>
      <c r="AL202">
        <f>IF(OR(EXACT(Asistencia!I211,"A"),EXACT(Asistencia!I211,"R"),EXACT(Asistencia!I211,"DL"),EXACT(Asistencia!I211,"FL"),EXACT(Asistencia!I211,"FE"),EXACT(Asistencia!I211,"PCS"),EXACT(Asistencia!I211,"V")),1,0)</f>
        <v>0</v>
      </c>
      <c r="AM202">
        <f>IF(OR(EXACT(Asistencia!J211,"A"),EXACT(Asistencia!J211,"R"),EXACT(Asistencia!J211,"DL"),EXACT(Asistencia!J211,"FL"),EXACT(Asistencia!J211,"FE"),EXACT(Asistencia!J211,"PCS"),EXACT(Asistencia!J211,"V")),1,0)</f>
        <v>0</v>
      </c>
      <c r="AN202">
        <f>IF(OR(EXACT(Asistencia!K211,"A"),EXACT(Asistencia!K211,"R"),EXACT(Asistencia!K211,"DL"),EXACT(Asistencia!K211,"FL"),EXACT(Asistencia!K211,"FE"),EXACT(Asistencia!K211,"PCS"),EXACT(Asistencia!K211,"V")),1,0)</f>
        <v>0</v>
      </c>
      <c r="AO202">
        <f>IF(OR(EXACT(Asistencia!L211,"A"),EXACT(Asistencia!L211,"R"),EXACT(Asistencia!L211,"DL"),EXACT(Asistencia!L211,"FL"),EXACT(Asistencia!L211,"FE"),EXACT(Asistencia!L211,"PCS"),EXACT(Asistencia!L211,"V")),1,0)</f>
        <v>0</v>
      </c>
      <c r="AP202">
        <f t="shared" si="89"/>
        <v>0</v>
      </c>
      <c r="AQ202">
        <f>IF(EXACT(Asistencia!F211,"FL"),1,0)</f>
        <v>0</v>
      </c>
      <c r="AR202">
        <f>IF(EXACT(Asistencia!G211,"FL"),1,0)</f>
        <v>0</v>
      </c>
      <c r="AS202">
        <f>IF(EXACT(Asistencia!H211,"FL"),1,0)</f>
        <v>0</v>
      </c>
      <c r="AT202">
        <f>IF(EXACT(Asistencia!I211,"FL"),1,0)</f>
        <v>0</v>
      </c>
      <c r="AU202">
        <f>IF(EXACT(Asistencia!J211,"FL"),1,0)</f>
        <v>0</v>
      </c>
      <c r="AV202">
        <f>IF(EXACT(Asistencia!K211,"FL"),1,0)</f>
        <v>0</v>
      </c>
      <c r="AW202">
        <f>IF(EXACT(Asistencia!L211,"FL"),1,0)</f>
        <v>0</v>
      </c>
      <c r="AX202">
        <f t="shared" si="90"/>
        <v>0</v>
      </c>
      <c r="AY202">
        <f>IF(EXACT(Asistencia!F211,"DL"),1,0)</f>
        <v>0</v>
      </c>
      <c r="AZ202">
        <f>IF(EXACT(Asistencia!G211,"DL"),1,0)</f>
        <v>0</v>
      </c>
      <c r="BA202">
        <f>IF(EXACT(Asistencia!H211,"DL"),1,0)</f>
        <v>0</v>
      </c>
      <c r="BB202">
        <f>IF(EXACT(Asistencia!I211,"DL"),1,0)</f>
        <v>0</v>
      </c>
      <c r="BC202">
        <f>IF(EXACT(Asistencia!J211,"DL"),1,0)</f>
        <v>0</v>
      </c>
      <c r="BD202">
        <f>IF(EXACT(Asistencia!K211,"DL"),1,0)</f>
        <v>0</v>
      </c>
      <c r="BE202">
        <f>IF(EXACT(Asistencia!L211,"DL"),1,0)</f>
        <v>0</v>
      </c>
      <c r="BF202">
        <f t="shared" si="91"/>
        <v>0</v>
      </c>
      <c r="BG202">
        <f>IF(ISNUMBER(Asistencia!M211),Asistencia!M211,0)</f>
        <v>0</v>
      </c>
      <c r="BH202">
        <f>IF(ISNUMBER(Asistencia!N211),Asistencia!N211,0)</f>
        <v>0</v>
      </c>
      <c r="BI202">
        <f>IF(ISNUMBER(Asistencia!O211),Asistencia!O211,0)</f>
        <v>0</v>
      </c>
      <c r="BJ202">
        <f>IF(ISNUMBER(Asistencia!P211),Asistencia!P211,0)</f>
        <v>0</v>
      </c>
      <c r="BK202" t="str">
        <f>IF(Asistencia!F211="","",Asistencia!F211)</f>
        <v/>
      </c>
      <c r="BL202" t="str">
        <f>IF(Asistencia!G211="","",Asistencia!G211)</f>
        <v/>
      </c>
      <c r="BM202" t="str">
        <f>IF(Asistencia!H211="","",Asistencia!H211)</f>
        <v/>
      </c>
      <c r="BN202" t="str">
        <f>IF(Asistencia!I211="","",Asistencia!I211)</f>
        <v/>
      </c>
      <c r="BO202" t="str">
        <f>IF(Asistencia!J211="","",Asistencia!J211)</f>
        <v/>
      </c>
      <c r="BP202" t="str">
        <f>IF(Asistencia!K211="","",Asistencia!K211)</f>
        <v/>
      </c>
      <c r="BQ202" t="str">
        <f>IF(Asistencia!L211="","",Asistencia!L211)</f>
        <v/>
      </c>
    </row>
    <row r="203" spans="1:69" x14ac:dyDescent="0.25">
      <c r="A203" s="46"/>
      <c r="B203" s="47"/>
      <c r="C203" s="47"/>
      <c r="D203" s="47"/>
      <c r="E203" s="46"/>
      <c r="F203" s="45"/>
      <c r="G203" s="44"/>
      <c r="H203" s="44"/>
      <c r="I203" s="44"/>
      <c r="J203" s="44"/>
      <c r="K203" s="44"/>
      <c r="L203" s="44"/>
      <c r="M203" s="43"/>
      <c r="N203" s="41"/>
      <c r="O203" s="41"/>
      <c r="P203" s="41"/>
      <c r="Q203" s="41"/>
      <c r="R203" s="41"/>
      <c r="S203" s="41"/>
      <c r="T203" s="48"/>
      <c r="U203" s="41"/>
      <c r="V203" s="41"/>
      <c r="W203" s="42"/>
      <c r="AA203" t="str">
        <f t="shared" si="88"/>
        <v/>
      </c>
      <c r="AB203" t="str">
        <f>IF(Asistencia!A212="","",Asistencia!A212)</f>
        <v/>
      </c>
      <c r="AC203" t="str">
        <f>IF(Asistencia!A212="","",SUBSTITUTE(SUBSTITUTE(SUBSTITUTE(SUBSTITUTE(SUBSTITUTE(SUBSTITUTE(SUBSTITUTE(UPPER(TRIM(Asistencia!A212)),"Á","A"),"É","E"),"Í","I"),"Ó","O"),"Ú","U"),"Ñ","N"),"  "," "))</f>
        <v/>
      </c>
      <c r="AD203" t="str">
        <f>IF(Asistencia!E212="","",Asistencia!E212)</f>
        <v/>
      </c>
      <c r="AE203" t="str">
        <f>IF(Asistencia!D212="","",UPPER(TRIM(Asistencia!D212)))</f>
        <v/>
      </c>
      <c r="AF203" t="s">
        <v>194</v>
      </c>
      <c r="AG203">
        <f>IF(AND(AA203&lt;&gt;"",COUNTIF($AA$5:AA203,AA203)=1),1,0)</f>
        <v>0</v>
      </c>
      <c r="AH203" t="str">
        <f>IF(AG203=1,SUM($AG$5:AG203),"")</f>
        <v/>
      </c>
      <c r="AI203">
        <f>IF(OR(EXACT(Asistencia!F212,"A"),EXACT(Asistencia!F212,"R"),EXACT(Asistencia!F212,"DL"),EXACT(Asistencia!F212,"FL"),EXACT(Asistencia!F212,"FE"),EXACT(Asistencia!F212,"PCS"),EXACT(Asistencia!F212,"V")),1,0)</f>
        <v>0</v>
      </c>
      <c r="AJ203">
        <f>IF(OR(EXACT(Asistencia!G212,"A"),EXACT(Asistencia!G212,"R"),EXACT(Asistencia!G212,"DL"),EXACT(Asistencia!G212,"FL"),EXACT(Asistencia!G212,"FE"),EXACT(Asistencia!G212,"PCS"),EXACT(Asistencia!G212,"V")),1,0)</f>
        <v>0</v>
      </c>
      <c r="AK203">
        <f>IF(OR(EXACT(Asistencia!H212,"A"),EXACT(Asistencia!H212,"R"),EXACT(Asistencia!H212,"DL"),EXACT(Asistencia!H212,"FL"),EXACT(Asistencia!H212,"FE"),EXACT(Asistencia!H212,"PCS"),EXACT(Asistencia!H212,"V")),1,0)</f>
        <v>0</v>
      </c>
      <c r="AL203">
        <f>IF(OR(EXACT(Asistencia!I212,"A"),EXACT(Asistencia!I212,"R"),EXACT(Asistencia!I212,"DL"),EXACT(Asistencia!I212,"FL"),EXACT(Asistencia!I212,"FE"),EXACT(Asistencia!I212,"PCS"),EXACT(Asistencia!I212,"V")),1,0)</f>
        <v>0</v>
      </c>
      <c r="AM203">
        <f>IF(OR(EXACT(Asistencia!J212,"A"),EXACT(Asistencia!J212,"R"),EXACT(Asistencia!J212,"DL"),EXACT(Asistencia!J212,"FL"),EXACT(Asistencia!J212,"FE"),EXACT(Asistencia!J212,"PCS"),EXACT(Asistencia!J212,"V")),1,0)</f>
        <v>0</v>
      </c>
      <c r="AN203">
        <f>IF(OR(EXACT(Asistencia!K212,"A"),EXACT(Asistencia!K212,"R"),EXACT(Asistencia!K212,"DL"),EXACT(Asistencia!K212,"FL"),EXACT(Asistencia!K212,"FE"),EXACT(Asistencia!K212,"PCS"),EXACT(Asistencia!K212,"V")),1,0)</f>
        <v>0</v>
      </c>
      <c r="AO203">
        <f>IF(OR(EXACT(Asistencia!L212,"A"),EXACT(Asistencia!L212,"R"),EXACT(Asistencia!L212,"DL"),EXACT(Asistencia!L212,"FL"),EXACT(Asistencia!L212,"FE"),EXACT(Asistencia!L212,"PCS"),EXACT(Asistencia!L212,"V")),1,0)</f>
        <v>0</v>
      </c>
      <c r="AP203">
        <f t="shared" si="89"/>
        <v>0</v>
      </c>
      <c r="AQ203">
        <f>IF(EXACT(Asistencia!F212,"FL"),1,0)</f>
        <v>0</v>
      </c>
      <c r="AR203">
        <f>IF(EXACT(Asistencia!G212,"FL"),1,0)</f>
        <v>0</v>
      </c>
      <c r="AS203">
        <f>IF(EXACT(Asistencia!H212,"FL"),1,0)</f>
        <v>0</v>
      </c>
      <c r="AT203">
        <f>IF(EXACT(Asistencia!I212,"FL"),1,0)</f>
        <v>0</v>
      </c>
      <c r="AU203">
        <f>IF(EXACT(Asistencia!J212,"FL"),1,0)</f>
        <v>0</v>
      </c>
      <c r="AV203">
        <f>IF(EXACT(Asistencia!K212,"FL"),1,0)</f>
        <v>0</v>
      </c>
      <c r="AW203">
        <f>IF(EXACT(Asistencia!L212,"FL"),1,0)</f>
        <v>0</v>
      </c>
      <c r="AX203">
        <f t="shared" si="90"/>
        <v>0</v>
      </c>
      <c r="AY203">
        <f>IF(EXACT(Asistencia!F212,"DL"),1,0)</f>
        <v>0</v>
      </c>
      <c r="AZ203">
        <f>IF(EXACT(Asistencia!G212,"DL"),1,0)</f>
        <v>0</v>
      </c>
      <c r="BA203">
        <f>IF(EXACT(Asistencia!H212,"DL"),1,0)</f>
        <v>0</v>
      </c>
      <c r="BB203">
        <f>IF(EXACT(Asistencia!I212,"DL"),1,0)</f>
        <v>0</v>
      </c>
      <c r="BC203">
        <f>IF(EXACT(Asistencia!J212,"DL"),1,0)</f>
        <v>0</v>
      </c>
      <c r="BD203">
        <f>IF(EXACT(Asistencia!K212,"DL"),1,0)</f>
        <v>0</v>
      </c>
      <c r="BE203">
        <f>IF(EXACT(Asistencia!L212,"DL"),1,0)</f>
        <v>0</v>
      </c>
      <c r="BF203">
        <f t="shared" si="91"/>
        <v>0</v>
      </c>
      <c r="BG203">
        <f>IF(ISNUMBER(Asistencia!M212),Asistencia!M212,0)</f>
        <v>0</v>
      </c>
      <c r="BH203">
        <f>IF(ISNUMBER(Asistencia!N212),Asistencia!N212,0)</f>
        <v>0</v>
      </c>
      <c r="BI203">
        <f>IF(ISNUMBER(Asistencia!O212),Asistencia!O212,0)</f>
        <v>0</v>
      </c>
      <c r="BJ203">
        <f>IF(ISNUMBER(Asistencia!P212),Asistencia!P212,0)</f>
        <v>0</v>
      </c>
      <c r="BK203" t="str">
        <f>IF(Asistencia!F212="","",Asistencia!F212)</f>
        <v/>
      </c>
      <c r="BL203" t="str">
        <f>IF(Asistencia!G212="","",Asistencia!G212)</f>
        <v/>
      </c>
      <c r="BM203" t="str">
        <f>IF(Asistencia!H212="","",Asistencia!H212)</f>
        <v/>
      </c>
      <c r="BN203" t="str">
        <f>IF(Asistencia!I212="","",Asistencia!I212)</f>
        <v/>
      </c>
      <c r="BO203" t="str">
        <f>IF(Asistencia!J212="","",Asistencia!J212)</f>
        <v/>
      </c>
      <c r="BP203" t="str">
        <f>IF(Asistencia!K212="","",Asistencia!K212)</f>
        <v/>
      </c>
      <c r="BQ203" t="str">
        <f>IF(Asistencia!L212="","",Asistencia!L212)</f>
        <v/>
      </c>
    </row>
    <row r="204" spans="1:69" x14ac:dyDescent="0.25">
      <c r="A204" s="46"/>
      <c r="B204" s="47"/>
      <c r="C204" s="47"/>
      <c r="D204" s="47"/>
      <c r="E204" s="46"/>
      <c r="F204" s="45"/>
      <c r="G204" s="44"/>
      <c r="H204" s="44"/>
      <c r="I204" s="44"/>
      <c r="J204" s="44"/>
      <c r="K204" s="44"/>
      <c r="L204" s="44"/>
      <c r="M204" s="43"/>
      <c r="N204" s="41"/>
      <c r="O204" s="41"/>
      <c r="P204" s="41"/>
      <c r="Q204" s="41"/>
      <c r="R204" s="41"/>
      <c r="S204" s="41"/>
      <c r="T204" s="48"/>
      <c r="U204" s="41"/>
      <c r="V204" s="41"/>
      <c r="W204" s="42"/>
      <c r="AA204" t="str">
        <f t="shared" si="88"/>
        <v/>
      </c>
      <c r="AB204" t="str">
        <f>IF(Asistencia!A213="","",Asistencia!A213)</f>
        <v/>
      </c>
      <c r="AC204" t="str">
        <f>IF(Asistencia!A213="","",SUBSTITUTE(SUBSTITUTE(SUBSTITUTE(SUBSTITUTE(SUBSTITUTE(SUBSTITUTE(SUBSTITUTE(UPPER(TRIM(Asistencia!A213)),"Á","A"),"É","E"),"Í","I"),"Ó","O"),"Ú","U"),"Ñ","N"),"  "," "))</f>
        <v/>
      </c>
      <c r="AD204" t="str">
        <f>IF(Asistencia!E213="","",Asistencia!E213)</f>
        <v/>
      </c>
      <c r="AE204" t="str">
        <f>IF(Asistencia!D213="","",UPPER(TRIM(Asistencia!D213)))</f>
        <v/>
      </c>
      <c r="AF204" t="s">
        <v>194</v>
      </c>
      <c r="AG204">
        <f>IF(AND(AA204&lt;&gt;"",COUNTIF($AA$5:AA204,AA204)=1),1,0)</f>
        <v>0</v>
      </c>
      <c r="AH204" t="str">
        <f>IF(AG204=1,SUM($AG$5:AG204),"")</f>
        <v/>
      </c>
      <c r="AI204">
        <f>IF(OR(EXACT(Asistencia!F213,"A"),EXACT(Asistencia!F213,"R"),EXACT(Asistencia!F213,"DL"),EXACT(Asistencia!F213,"FL"),EXACT(Asistencia!F213,"FE"),EXACT(Asistencia!F213,"PCS"),EXACT(Asistencia!F213,"V")),1,0)</f>
        <v>0</v>
      </c>
      <c r="AJ204">
        <f>IF(OR(EXACT(Asistencia!G213,"A"),EXACT(Asistencia!G213,"R"),EXACT(Asistencia!G213,"DL"),EXACT(Asistencia!G213,"FL"),EXACT(Asistencia!G213,"FE"),EXACT(Asistencia!G213,"PCS"),EXACT(Asistencia!G213,"V")),1,0)</f>
        <v>0</v>
      </c>
      <c r="AK204">
        <f>IF(OR(EXACT(Asistencia!H213,"A"),EXACT(Asistencia!H213,"R"),EXACT(Asistencia!H213,"DL"),EXACT(Asistencia!H213,"FL"),EXACT(Asistencia!H213,"FE"),EXACT(Asistencia!H213,"PCS"),EXACT(Asistencia!H213,"V")),1,0)</f>
        <v>0</v>
      </c>
      <c r="AL204">
        <f>IF(OR(EXACT(Asistencia!I213,"A"),EXACT(Asistencia!I213,"R"),EXACT(Asistencia!I213,"DL"),EXACT(Asistencia!I213,"FL"),EXACT(Asistencia!I213,"FE"),EXACT(Asistencia!I213,"PCS"),EXACT(Asistencia!I213,"V")),1,0)</f>
        <v>0</v>
      </c>
      <c r="AM204">
        <f>IF(OR(EXACT(Asistencia!J213,"A"),EXACT(Asistencia!J213,"R"),EXACT(Asistencia!J213,"DL"),EXACT(Asistencia!J213,"FL"),EXACT(Asistencia!J213,"FE"),EXACT(Asistencia!J213,"PCS"),EXACT(Asistencia!J213,"V")),1,0)</f>
        <v>0</v>
      </c>
      <c r="AN204">
        <f>IF(OR(EXACT(Asistencia!K213,"A"),EXACT(Asistencia!K213,"R"),EXACT(Asistencia!K213,"DL"),EXACT(Asistencia!K213,"FL"),EXACT(Asistencia!K213,"FE"),EXACT(Asistencia!K213,"PCS"),EXACT(Asistencia!K213,"V")),1,0)</f>
        <v>0</v>
      </c>
      <c r="AO204">
        <f>IF(OR(EXACT(Asistencia!L213,"A"),EXACT(Asistencia!L213,"R"),EXACT(Asistencia!L213,"DL"),EXACT(Asistencia!L213,"FL"),EXACT(Asistencia!L213,"FE"),EXACT(Asistencia!L213,"PCS"),EXACT(Asistencia!L213,"V")),1,0)</f>
        <v>0</v>
      </c>
      <c r="AP204">
        <f t="shared" si="89"/>
        <v>0</v>
      </c>
      <c r="AQ204">
        <f>IF(EXACT(Asistencia!F213,"FL"),1,0)</f>
        <v>0</v>
      </c>
      <c r="AR204">
        <f>IF(EXACT(Asistencia!G213,"FL"),1,0)</f>
        <v>0</v>
      </c>
      <c r="AS204">
        <f>IF(EXACT(Asistencia!H213,"FL"),1,0)</f>
        <v>0</v>
      </c>
      <c r="AT204">
        <f>IF(EXACT(Asistencia!I213,"FL"),1,0)</f>
        <v>0</v>
      </c>
      <c r="AU204">
        <f>IF(EXACT(Asistencia!J213,"FL"),1,0)</f>
        <v>0</v>
      </c>
      <c r="AV204">
        <f>IF(EXACT(Asistencia!K213,"FL"),1,0)</f>
        <v>0</v>
      </c>
      <c r="AW204">
        <f>IF(EXACT(Asistencia!L213,"FL"),1,0)</f>
        <v>0</v>
      </c>
      <c r="AX204">
        <f t="shared" si="90"/>
        <v>0</v>
      </c>
      <c r="AY204">
        <f>IF(EXACT(Asistencia!F213,"DL"),1,0)</f>
        <v>0</v>
      </c>
      <c r="AZ204">
        <f>IF(EXACT(Asistencia!G213,"DL"),1,0)</f>
        <v>0</v>
      </c>
      <c r="BA204">
        <f>IF(EXACT(Asistencia!H213,"DL"),1,0)</f>
        <v>0</v>
      </c>
      <c r="BB204">
        <f>IF(EXACT(Asistencia!I213,"DL"),1,0)</f>
        <v>0</v>
      </c>
      <c r="BC204">
        <f>IF(EXACT(Asistencia!J213,"DL"),1,0)</f>
        <v>0</v>
      </c>
      <c r="BD204">
        <f>IF(EXACT(Asistencia!K213,"DL"),1,0)</f>
        <v>0</v>
      </c>
      <c r="BE204">
        <f>IF(EXACT(Asistencia!L213,"DL"),1,0)</f>
        <v>0</v>
      </c>
      <c r="BF204">
        <f t="shared" si="91"/>
        <v>0</v>
      </c>
      <c r="BG204">
        <f>IF(ISNUMBER(Asistencia!M213),Asistencia!M213,0)</f>
        <v>0</v>
      </c>
      <c r="BH204">
        <f>IF(ISNUMBER(Asistencia!N213),Asistencia!N213,0)</f>
        <v>0</v>
      </c>
      <c r="BI204">
        <f>IF(ISNUMBER(Asistencia!O213),Asistencia!O213,0)</f>
        <v>0</v>
      </c>
      <c r="BJ204">
        <f>IF(ISNUMBER(Asistencia!P213),Asistencia!P213,0)</f>
        <v>0</v>
      </c>
      <c r="BK204" t="str">
        <f>IF(Asistencia!F213="","",Asistencia!F213)</f>
        <v/>
      </c>
      <c r="BL204" t="str">
        <f>IF(Asistencia!G213="","",Asistencia!G213)</f>
        <v/>
      </c>
      <c r="BM204" t="str">
        <f>IF(Asistencia!H213="","",Asistencia!H213)</f>
        <v/>
      </c>
      <c r="BN204" t="str">
        <f>IF(Asistencia!I213="","",Asistencia!I213)</f>
        <v/>
      </c>
      <c r="BO204" t="str">
        <f>IF(Asistencia!J213="","",Asistencia!J213)</f>
        <v/>
      </c>
      <c r="BP204" t="str">
        <f>IF(Asistencia!K213="","",Asistencia!K213)</f>
        <v/>
      </c>
      <c r="BQ204" t="str">
        <f>IF(Asistencia!L213="","",Asistencia!L213)</f>
        <v/>
      </c>
    </row>
    <row r="205" spans="1:69" x14ac:dyDescent="0.25">
      <c r="A205" s="46"/>
      <c r="B205" s="47"/>
      <c r="C205" s="47"/>
      <c r="D205" s="47"/>
      <c r="E205" s="46"/>
      <c r="F205" s="45"/>
      <c r="G205" s="44"/>
      <c r="H205" s="44"/>
      <c r="I205" s="44"/>
      <c r="J205" s="44"/>
      <c r="K205" s="44"/>
      <c r="L205" s="44"/>
      <c r="M205" s="43"/>
      <c r="N205" s="41"/>
      <c r="O205" s="41"/>
      <c r="P205" s="41"/>
      <c r="Q205" s="41"/>
      <c r="R205" s="41"/>
      <c r="S205" s="41"/>
      <c r="T205" s="48"/>
      <c r="U205" s="41"/>
      <c r="V205" s="41"/>
      <c r="W205" s="42"/>
      <c r="AA205" t="str">
        <f t="shared" si="88"/>
        <v/>
      </c>
      <c r="AB205" t="str">
        <f>IF(Asistencia!A216="","",Asistencia!A216)</f>
        <v/>
      </c>
      <c r="AC205" t="str">
        <f>IF(Asistencia!A216="","",SUBSTITUTE(SUBSTITUTE(SUBSTITUTE(SUBSTITUTE(SUBSTITUTE(SUBSTITUTE(SUBSTITUTE(UPPER(TRIM(Asistencia!A216)),"Á","A"),"É","E"),"Í","I"),"Ó","O"),"Ú","U"),"Ñ","N"),"  "," "))</f>
        <v/>
      </c>
      <c r="AD205" t="str">
        <f>IF(Asistencia!E216="","",Asistencia!E216)</f>
        <v/>
      </c>
      <c r="AE205" t="str">
        <f>IF(Asistencia!D216="","",UPPER(TRIM(Asistencia!D216)))</f>
        <v/>
      </c>
      <c r="AF205" t="s">
        <v>196</v>
      </c>
      <c r="AG205">
        <f>IF(AND(AA205&lt;&gt;"",COUNTIF($AA$5:AA205,AA205)=1),1,0)</f>
        <v>0</v>
      </c>
      <c r="AH205" t="str">
        <f>IF(AG205=1,SUM($AG$5:AG205),"")</f>
        <v/>
      </c>
      <c r="AI205">
        <f>IF(OR(EXACT(Asistencia!F216,"A"),EXACT(Asistencia!F216,"R"),EXACT(Asistencia!F216,"DL"),EXACT(Asistencia!F216,"FL"),EXACT(Asistencia!F216,"FE"),EXACT(Asistencia!F216,"PCS"),EXACT(Asistencia!F216,"V")),1,0)</f>
        <v>0</v>
      </c>
      <c r="AJ205">
        <f>IF(OR(EXACT(Asistencia!G216,"A"),EXACT(Asistencia!G216,"R"),EXACT(Asistencia!G216,"DL"),EXACT(Asistencia!G216,"FL"),EXACT(Asistencia!G216,"FE"),EXACT(Asistencia!G216,"PCS"),EXACT(Asistencia!G216,"V")),1,0)</f>
        <v>0</v>
      </c>
      <c r="AK205">
        <f>IF(OR(EXACT(Asistencia!H216,"A"),EXACT(Asistencia!H216,"R"),EXACT(Asistencia!H216,"DL"),EXACT(Asistencia!H216,"FL"),EXACT(Asistencia!H216,"FE"),EXACT(Asistencia!H216,"PCS"),EXACT(Asistencia!H216,"V")),1,0)</f>
        <v>0</v>
      </c>
      <c r="AL205">
        <f>IF(OR(EXACT(Asistencia!I216,"A"),EXACT(Asistencia!I216,"R"),EXACT(Asistencia!I216,"DL"),EXACT(Asistencia!I216,"FL"),EXACT(Asistencia!I216,"FE"),EXACT(Asistencia!I216,"PCS"),EXACT(Asistencia!I216,"V")),1,0)</f>
        <v>0</v>
      </c>
      <c r="AM205">
        <f>IF(OR(EXACT(Asistencia!J216,"A"),EXACT(Asistencia!J216,"R"),EXACT(Asistencia!J216,"DL"),EXACT(Asistencia!J216,"FL"),EXACT(Asistencia!J216,"FE"),EXACT(Asistencia!J216,"PCS"),EXACT(Asistencia!J216,"V")),1,0)</f>
        <v>0</v>
      </c>
      <c r="AN205">
        <f>IF(OR(EXACT(Asistencia!K216,"A"),EXACT(Asistencia!K216,"R"),EXACT(Asistencia!K216,"DL"),EXACT(Asistencia!K216,"FL"),EXACT(Asistencia!K216,"FE"),EXACT(Asistencia!K216,"PCS"),EXACT(Asistencia!K216,"V")),1,0)</f>
        <v>0</v>
      </c>
      <c r="AO205">
        <f>IF(OR(EXACT(Asistencia!L216,"A"),EXACT(Asistencia!L216,"R"),EXACT(Asistencia!L216,"DL"),EXACT(Asistencia!L216,"FL"),EXACT(Asistencia!L216,"FE"),EXACT(Asistencia!L216,"PCS"),EXACT(Asistencia!L216,"V")),1,0)</f>
        <v>0</v>
      </c>
      <c r="AP205">
        <f t="shared" si="89"/>
        <v>0</v>
      </c>
      <c r="AQ205">
        <f>IF(EXACT(Asistencia!F216,"FL"),1,0)</f>
        <v>0</v>
      </c>
      <c r="AR205">
        <f>IF(EXACT(Asistencia!G216,"FL"),1,0)</f>
        <v>0</v>
      </c>
      <c r="AS205">
        <f>IF(EXACT(Asistencia!H216,"FL"),1,0)</f>
        <v>0</v>
      </c>
      <c r="AT205">
        <f>IF(EXACT(Asistencia!I216,"FL"),1,0)</f>
        <v>0</v>
      </c>
      <c r="AU205">
        <f>IF(EXACT(Asistencia!J216,"FL"),1,0)</f>
        <v>0</v>
      </c>
      <c r="AV205">
        <f>IF(EXACT(Asistencia!K216,"FL"),1,0)</f>
        <v>0</v>
      </c>
      <c r="AW205">
        <f>IF(EXACT(Asistencia!L216,"FL"),1,0)</f>
        <v>0</v>
      </c>
      <c r="AX205">
        <f t="shared" si="90"/>
        <v>0</v>
      </c>
      <c r="AY205">
        <f>IF(EXACT(Asistencia!F216,"DL"),1,0)</f>
        <v>0</v>
      </c>
      <c r="AZ205">
        <f>IF(EXACT(Asistencia!G216,"DL"),1,0)</f>
        <v>0</v>
      </c>
      <c r="BA205">
        <f>IF(EXACT(Asistencia!H216,"DL"),1,0)</f>
        <v>0</v>
      </c>
      <c r="BB205">
        <f>IF(EXACT(Asistencia!I216,"DL"),1,0)</f>
        <v>0</v>
      </c>
      <c r="BC205">
        <f>IF(EXACT(Asistencia!J216,"DL"),1,0)</f>
        <v>0</v>
      </c>
      <c r="BD205">
        <f>IF(EXACT(Asistencia!K216,"DL"),1,0)</f>
        <v>0</v>
      </c>
      <c r="BE205">
        <f>IF(EXACT(Asistencia!L216,"DL"),1,0)</f>
        <v>0</v>
      </c>
      <c r="BF205">
        <f t="shared" si="91"/>
        <v>0</v>
      </c>
      <c r="BG205">
        <f>IF(ISNUMBER(Asistencia!M216),Asistencia!M216,0)</f>
        <v>0</v>
      </c>
      <c r="BH205">
        <f>IF(ISNUMBER(Asistencia!N216),Asistencia!N216,0)</f>
        <v>0</v>
      </c>
      <c r="BI205">
        <f>IF(ISNUMBER(Asistencia!O216),Asistencia!O216,0)</f>
        <v>0</v>
      </c>
      <c r="BJ205">
        <f>IF(ISNUMBER(Asistencia!P216),Asistencia!P216,0)</f>
        <v>0</v>
      </c>
      <c r="BK205" t="str">
        <f>IF(Asistencia!F216="","",Asistencia!F216)</f>
        <v/>
      </c>
      <c r="BL205" t="str">
        <f>IF(Asistencia!G216="","",Asistencia!G216)</f>
        <v/>
      </c>
      <c r="BM205" t="str">
        <f>IF(Asistencia!H216="","",Asistencia!H216)</f>
        <v/>
      </c>
      <c r="BN205" t="str">
        <f>IF(Asistencia!I216="","",Asistencia!I216)</f>
        <v/>
      </c>
      <c r="BO205" t="str">
        <f>IF(Asistencia!J216="","",Asistencia!J216)</f>
        <v/>
      </c>
      <c r="BP205" t="str">
        <f>IF(Asistencia!K216="","",Asistencia!K216)</f>
        <v/>
      </c>
      <c r="BQ205" t="str">
        <f>IF(Asistencia!L216="","",Asistencia!L216)</f>
        <v/>
      </c>
    </row>
    <row r="206" spans="1:69" x14ac:dyDescent="0.25">
      <c r="A206" s="46"/>
      <c r="B206" s="47"/>
      <c r="C206" s="47"/>
      <c r="D206" s="47"/>
      <c r="E206" s="46"/>
      <c r="F206" s="45"/>
      <c r="G206" s="44"/>
      <c r="H206" s="44"/>
      <c r="I206" s="44"/>
      <c r="J206" s="44"/>
      <c r="K206" s="44"/>
      <c r="L206" s="44"/>
      <c r="M206" s="43"/>
      <c r="N206" s="41"/>
      <c r="O206" s="41"/>
      <c r="P206" s="41"/>
      <c r="Q206" s="41"/>
      <c r="R206" s="41"/>
      <c r="S206" s="41"/>
      <c r="T206" s="48"/>
      <c r="U206" s="41"/>
      <c r="V206" s="41"/>
      <c r="W206" s="42"/>
      <c r="AA206" t="str">
        <f t="shared" si="88"/>
        <v/>
      </c>
      <c r="AB206" t="str">
        <f>IF(Asistencia!A217="","",Asistencia!A217)</f>
        <v/>
      </c>
      <c r="AC206" t="str">
        <f>IF(Asistencia!A217="","",SUBSTITUTE(SUBSTITUTE(SUBSTITUTE(SUBSTITUTE(SUBSTITUTE(SUBSTITUTE(SUBSTITUTE(UPPER(TRIM(Asistencia!A217)),"Á","A"),"É","E"),"Í","I"),"Ó","O"),"Ú","U"),"Ñ","N"),"  "," "))</f>
        <v/>
      </c>
      <c r="AD206" t="str">
        <f>IF(Asistencia!E217="","",Asistencia!E217)</f>
        <v/>
      </c>
      <c r="AE206" t="str">
        <f>IF(Asistencia!D217="","",UPPER(TRIM(Asistencia!D217)))</f>
        <v/>
      </c>
      <c r="AF206" t="s">
        <v>196</v>
      </c>
      <c r="AG206">
        <f>IF(AND(AA206&lt;&gt;"",COUNTIF($AA$5:AA206,AA206)=1),1,0)</f>
        <v>0</v>
      </c>
      <c r="AH206" t="str">
        <f>IF(AG206=1,SUM($AG$5:AG206),"")</f>
        <v/>
      </c>
      <c r="AI206">
        <f>IF(OR(EXACT(Asistencia!F217,"A"),EXACT(Asistencia!F217,"R"),EXACT(Asistencia!F217,"DL"),EXACT(Asistencia!F217,"FL"),EXACT(Asistencia!F217,"FE"),EXACT(Asistencia!F217,"PCS"),EXACT(Asistencia!F217,"V")),1,0)</f>
        <v>0</v>
      </c>
      <c r="AJ206">
        <f>IF(OR(EXACT(Asistencia!G217,"A"),EXACT(Asistencia!G217,"R"),EXACT(Asistencia!G217,"DL"),EXACT(Asistencia!G217,"FL"),EXACT(Asistencia!G217,"FE"),EXACT(Asistencia!G217,"PCS"),EXACT(Asistencia!G217,"V")),1,0)</f>
        <v>0</v>
      </c>
      <c r="AK206">
        <f>IF(OR(EXACT(Asistencia!H217,"A"),EXACT(Asistencia!H217,"R"),EXACT(Asistencia!H217,"DL"),EXACT(Asistencia!H217,"FL"),EXACT(Asistencia!H217,"FE"),EXACT(Asistencia!H217,"PCS"),EXACT(Asistencia!H217,"V")),1,0)</f>
        <v>0</v>
      </c>
      <c r="AL206">
        <f>IF(OR(EXACT(Asistencia!I217,"A"),EXACT(Asistencia!I217,"R"),EXACT(Asistencia!I217,"DL"),EXACT(Asistencia!I217,"FL"),EXACT(Asistencia!I217,"FE"),EXACT(Asistencia!I217,"PCS"),EXACT(Asistencia!I217,"V")),1,0)</f>
        <v>0</v>
      </c>
      <c r="AM206">
        <f>IF(OR(EXACT(Asistencia!J217,"A"),EXACT(Asistencia!J217,"R"),EXACT(Asistencia!J217,"DL"),EXACT(Asistencia!J217,"FL"),EXACT(Asistencia!J217,"FE"),EXACT(Asistencia!J217,"PCS"),EXACT(Asistencia!J217,"V")),1,0)</f>
        <v>0</v>
      </c>
      <c r="AN206">
        <f>IF(OR(EXACT(Asistencia!K217,"A"),EXACT(Asistencia!K217,"R"),EXACT(Asistencia!K217,"DL"),EXACT(Asistencia!K217,"FL"),EXACT(Asistencia!K217,"FE"),EXACT(Asistencia!K217,"PCS"),EXACT(Asistencia!K217,"V")),1,0)</f>
        <v>0</v>
      </c>
      <c r="AO206">
        <f>IF(OR(EXACT(Asistencia!L217,"A"),EXACT(Asistencia!L217,"R"),EXACT(Asistencia!L217,"DL"),EXACT(Asistencia!L217,"FL"),EXACT(Asistencia!L217,"FE"),EXACT(Asistencia!L217,"PCS"),EXACT(Asistencia!L217,"V")),1,0)</f>
        <v>0</v>
      </c>
      <c r="AP206">
        <f t="shared" si="89"/>
        <v>0</v>
      </c>
      <c r="AQ206">
        <f>IF(EXACT(Asistencia!F217,"FL"),1,0)</f>
        <v>0</v>
      </c>
      <c r="AR206">
        <f>IF(EXACT(Asistencia!G217,"FL"),1,0)</f>
        <v>0</v>
      </c>
      <c r="AS206">
        <f>IF(EXACT(Asistencia!H217,"FL"),1,0)</f>
        <v>0</v>
      </c>
      <c r="AT206">
        <f>IF(EXACT(Asistencia!I217,"FL"),1,0)</f>
        <v>0</v>
      </c>
      <c r="AU206">
        <f>IF(EXACT(Asistencia!J217,"FL"),1,0)</f>
        <v>0</v>
      </c>
      <c r="AV206">
        <f>IF(EXACT(Asistencia!K217,"FL"),1,0)</f>
        <v>0</v>
      </c>
      <c r="AW206">
        <f>IF(EXACT(Asistencia!L217,"FL"),1,0)</f>
        <v>0</v>
      </c>
      <c r="AX206">
        <f t="shared" si="90"/>
        <v>0</v>
      </c>
      <c r="AY206">
        <f>IF(EXACT(Asistencia!F217,"DL"),1,0)</f>
        <v>0</v>
      </c>
      <c r="AZ206">
        <f>IF(EXACT(Asistencia!G217,"DL"),1,0)</f>
        <v>0</v>
      </c>
      <c r="BA206">
        <f>IF(EXACT(Asistencia!H217,"DL"),1,0)</f>
        <v>0</v>
      </c>
      <c r="BB206">
        <f>IF(EXACT(Asistencia!I217,"DL"),1,0)</f>
        <v>0</v>
      </c>
      <c r="BC206">
        <f>IF(EXACT(Asistencia!J217,"DL"),1,0)</f>
        <v>0</v>
      </c>
      <c r="BD206">
        <f>IF(EXACT(Asistencia!K217,"DL"),1,0)</f>
        <v>0</v>
      </c>
      <c r="BE206">
        <f>IF(EXACT(Asistencia!L217,"DL"),1,0)</f>
        <v>0</v>
      </c>
      <c r="BF206">
        <f t="shared" si="91"/>
        <v>0</v>
      </c>
      <c r="BG206">
        <f>IF(ISNUMBER(Asistencia!M217),Asistencia!M217,0)</f>
        <v>0</v>
      </c>
      <c r="BH206">
        <f>IF(ISNUMBER(Asistencia!N217),Asistencia!N217,0)</f>
        <v>0</v>
      </c>
      <c r="BI206">
        <f>IF(ISNUMBER(Asistencia!O217),Asistencia!O217,0)</f>
        <v>0</v>
      </c>
      <c r="BJ206">
        <f>IF(ISNUMBER(Asistencia!P217),Asistencia!P217,0)</f>
        <v>0</v>
      </c>
      <c r="BK206" t="str">
        <f>IF(Asistencia!F217="","",Asistencia!F217)</f>
        <v/>
      </c>
      <c r="BL206" t="str">
        <f>IF(Asistencia!G217="","",Asistencia!G217)</f>
        <v/>
      </c>
      <c r="BM206" t="str">
        <f>IF(Asistencia!H217="","",Asistencia!H217)</f>
        <v/>
      </c>
      <c r="BN206" t="str">
        <f>IF(Asistencia!I217="","",Asistencia!I217)</f>
        <v/>
      </c>
      <c r="BO206" t="str">
        <f>IF(Asistencia!J217="","",Asistencia!J217)</f>
        <v/>
      </c>
      <c r="BP206" t="str">
        <f>IF(Asistencia!K217="","",Asistencia!K217)</f>
        <v/>
      </c>
      <c r="BQ206" t="str">
        <f>IF(Asistencia!L217="","",Asistencia!L217)</f>
        <v/>
      </c>
    </row>
    <row r="207" spans="1:69" x14ac:dyDescent="0.25">
      <c r="A207" s="46"/>
      <c r="B207" s="47"/>
      <c r="C207" s="47"/>
      <c r="D207" s="47"/>
      <c r="E207" s="46"/>
      <c r="F207" s="45"/>
      <c r="G207" s="44"/>
      <c r="H207" s="44"/>
      <c r="I207" s="44"/>
      <c r="J207" s="44"/>
      <c r="K207" s="44"/>
      <c r="L207" s="44"/>
      <c r="M207" s="43"/>
      <c r="N207" s="41"/>
      <c r="O207" s="41"/>
      <c r="P207" s="41"/>
      <c r="Q207" s="41"/>
      <c r="R207" s="41"/>
      <c r="S207" s="41"/>
      <c r="T207" s="48"/>
      <c r="U207" s="41"/>
      <c r="V207" s="41"/>
      <c r="W207" s="42"/>
      <c r="AA207" t="str">
        <f t="shared" si="88"/>
        <v/>
      </c>
      <c r="AB207" t="str">
        <f>IF(Asistencia!A218="","",Asistencia!A218)</f>
        <v/>
      </c>
      <c r="AC207" t="str">
        <f>IF(Asistencia!A218="","",SUBSTITUTE(SUBSTITUTE(SUBSTITUTE(SUBSTITUTE(SUBSTITUTE(SUBSTITUTE(SUBSTITUTE(UPPER(TRIM(Asistencia!A218)),"Á","A"),"É","E"),"Í","I"),"Ó","O"),"Ú","U"),"Ñ","N"),"  "," "))</f>
        <v/>
      </c>
      <c r="AD207" t="str">
        <f>IF(Asistencia!E218="","",Asistencia!E218)</f>
        <v/>
      </c>
      <c r="AE207" t="str">
        <f>IF(Asistencia!D218="","",UPPER(TRIM(Asistencia!D218)))</f>
        <v/>
      </c>
      <c r="AF207" t="s">
        <v>196</v>
      </c>
      <c r="AG207">
        <f>IF(AND(AA207&lt;&gt;"",COUNTIF($AA$5:AA207,AA207)=1),1,0)</f>
        <v>0</v>
      </c>
      <c r="AH207" t="str">
        <f>IF(AG207=1,SUM($AG$5:AG207),"")</f>
        <v/>
      </c>
      <c r="AI207">
        <f>IF(OR(EXACT(Asistencia!F218,"A"),EXACT(Asistencia!F218,"R"),EXACT(Asistencia!F218,"DL"),EXACT(Asistencia!F218,"FL"),EXACT(Asistencia!F218,"FE"),EXACT(Asistencia!F218,"PCS"),EXACT(Asistencia!F218,"V")),1,0)</f>
        <v>0</v>
      </c>
      <c r="AJ207">
        <f>IF(OR(EXACT(Asistencia!G218,"A"),EXACT(Asistencia!G218,"R"),EXACT(Asistencia!G218,"DL"),EXACT(Asistencia!G218,"FL"),EXACT(Asistencia!G218,"FE"),EXACT(Asistencia!G218,"PCS"),EXACT(Asistencia!G218,"V")),1,0)</f>
        <v>0</v>
      </c>
      <c r="AK207">
        <f>IF(OR(EXACT(Asistencia!H218,"A"),EXACT(Asistencia!H218,"R"),EXACT(Asistencia!H218,"DL"),EXACT(Asistencia!H218,"FL"),EXACT(Asistencia!H218,"FE"),EXACT(Asistencia!H218,"PCS"),EXACT(Asistencia!H218,"V")),1,0)</f>
        <v>0</v>
      </c>
      <c r="AL207">
        <f>IF(OR(EXACT(Asistencia!I218,"A"),EXACT(Asistencia!I218,"R"),EXACT(Asistencia!I218,"DL"),EXACT(Asistencia!I218,"FL"),EXACT(Asistencia!I218,"FE"),EXACT(Asistencia!I218,"PCS"),EXACT(Asistencia!I218,"V")),1,0)</f>
        <v>0</v>
      </c>
      <c r="AM207">
        <f>IF(OR(EXACT(Asistencia!J218,"A"),EXACT(Asistencia!J218,"R"),EXACT(Asistencia!J218,"DL"),EXACT(Asistencia!J218,"FL"),EXACT(Asistencia!J218,"FE"),EXACT(Asistencia!J218,"PCS"),EXACT(Asistencia!J218,"V")),1,0)</f>
        <v>0</v>
      </c>
      <c r="AN207">
        <f>IF(OR(EXACT(Asistencia!K218,"A"),EXACT(Asistencia!K218,"R"),EXACT(Asistencia!K218,"DL"),EXACT(Asistencia!K218,"FL"),EXACT(Asistencia!K218,"FE"),EXACT(Asistencia!K218,"PCS"),EXACT(Asistencia!K218,"V")),1,0)</f>
        <v>0</v>
      </c>
      <c r="AO207">
        <f>IF(OR(EXACT(Asistencia!L218,"A"),EXACT(Asistencia!L218,"R"),EXACT(Asistencia!L218,"DL"),EXACT(Asistencia!L218,"FL"),EXACT(Asistencia!L218,"FE"),EXACT(Asistencia!L218,"PCS"),EXACT(Asistencia!L218,"V")),1,0)</f>
        <v>0</v>
      </c>
      <c r="AP207">
        <f t="shared" si="89"/>
        <v>0</v>
      </c>
      <c r="AQ207">
        <f>IF(EXACT(Asistencia!F218,"FL"),1,0)</f>
        <v>0</v>
      </c>
      <c r="AR207">
        <f>IF(EXACT(Asistencia!G218,"FL"),1,0)</f>
        <v>0</v>
      </c>
      <c r="AS207">
        <f>IF(EXACT(Asistencia!H218,"FL"),1,0)</f>
        <v>0</v>
      </c>
      <c r="AT207">
        <f>IF(EXACT(Asistencia!I218,"FL"),1,0)</f>
        <v>0</v>
      </c>
      <c r="AU207">
        <f>IF(EXACT(Asistencia!J218,"FL"),1,0)</f>
        <v>0</v>
      </c>
      <c r="AV207">
        <f>IF(EXACT(Asistencia!K218,"FL"),1,0)</f>
        <v>0</v>
      </c>
      <c r="AW207">
        <f>IF(EXACT(Asistencia!L218,"FL"),1,0)</f>
        <v>0</v>
      </c>
      <c r="AX207">
        <f t="shared" si="90"/>
        <v>0</v>
      </c>
      <c r="AY207">
        <f>IF(EXACT(Asistencia!F218,"DL"),1,0)</f>
        <v>0</v>
      </c>
      <c r="AZ207">
        <f>IF(EXACT(Asistencia!G218,"DL"),1,0)</f>
        <v>0</v>
      </c>
      <c r="BA207">
        <f>IF(EXACT(Asistencia!H218,"DL"),1,0)</f>
        <v>0</v>
      </c>
      <c r="BB207">
        <f>IF(EXACT(Asistencia!I218,"DL"),1,0)</f>
        <v>0</v>
      </c>
      <c r="BC207">
        <f>IF(EXACT(Asistencia!J218,"DL"),1,0)</f>
        <v>0</v>
      </c>
      <c r="BD207">
        <f>IF(EXACT(Asistencia!K218,"DL"),1,0)</f>
        <v>0</v>
      </c>
      <c r="BE207">
        <f>IF(EXACT(Asistencia!L218,"DL"),1,0)</f>
        <v>0</v>
      </c>
      <c r="BF207">
        <f t="shared" si="91"/>
        <v>0</v>
      </c>
      <c r="BG207">
        <f>IF(ISNUMBER(Asistencia!M218),Asistencia!M218,0)</f>
        <v>0</v>
      </c>
      <c r="BH207">
        <f>IF(ISNUMBER(Asistencia!N218),Asistencia!N218,0)</f>
        <v>0</v>
      </c>
      <c r="BI207">
        <f>IF(ISNUMBER(Asistencia!O218),Asistencia!O218,0)</f>
        <v>0</v>
      </c>
      <c r="BJ207">
        <f>IF(ISNUMBER(Asistencia!P218),Asistencia!P218,0)</f>
        <v>0</v>
      </c>
      <c r="BK207" t="str">
        <f>IF(Asistencia!F218="","",Asistencia!F218)</f>
        <v/>
      </c>
      <c r="BL207" t="str">
        <f>IF(Asistencia!G218="","",Asistencia!G218)</f>
        <v/>
      </c>
      <c r="BM207" t="str">
        <f>IF(Asistencia!H218="","",Asistencia!H218)</f>
        <v/>
      </c>
      <c r="BN207" t="str">
        <f>IF(Asistencia!I218="","",Asistencia!I218)</f>
        <v/>
      </c>
      <c r="BO207" t="str">
        <f>IF(Asistencia!J218="","",Asistencia!J218)</f>
        <v/>
      </c>
      <c r="BP207" t="str">
        <f>IF(Asistencia!K218="","",Asistencia!K218)</f>
        <v/>
      </c>
      <c r="BQ207" t="str">
        <f>IF(Asistencia!L218="","",Asistencia!L218)</f>
        <v/>
      </c>
    </row>
    <row r="208" spans="1:69" x14ac:dyDescent="0.25">
      <c r="A208" s="46"/>
      <c r="B208" s="47"/>
      <c r="C208" s="47"/>
      <c r="D208" s="47"/>
      <c r="E208" s="46"/>
      <c r="F208" s="45"/>
      <c r="G208" s="44"/>
      <c r="H208" s="44"/>
      <c r="I208" s="44"/>
      <c r="J208" s="44"/>
      <c r="K208" s="44"/>
      <c r="L208" s="44"/>
      <c r="M208" s="43"/>
      <c r="N208" s="41"/>
      <c r="O208" s="41"/>
      <c r="P208" s="41"/>
      <c r="Q208" s="41"/>
      <c r="R208" s="41"/>
      <c r="S208" s="41"/>
      <c r="T208" s="48"/>
      <c r="U208" s="41"/>
      <c r="V208" s="41"/>
      <c r="W208" s="42"/>
      <c r="AA208" t="str">
        <f t="shared" si="88"/>
        <v/>
      </c>
      <c r="AB208" t="str">
        <f>IF(Asistencia!A219="","",Asistencia!A219)</f>
        <v/>
      </c>
      <c r="AC208" t="str">
        <f>IF(Asistencia!A219="","",SUBSTITUTE(SUBSTITUTE(SUBSTITUTE(SUBSTITUTE(SUBSTITUTE(SUBSTITUTE(SUBSTITUTE(UPPER(TRIM(Asistencia!A219)),"Á","A"),"É","E"),"Í","I"),"Ó","O"),"Ú","U"),"Ñ","N"),"  "," "))</f>
        <v/>
      </c>
      <c r="AD208" t="str">
        <f>IF(Asistencia!E219="","",Asistencia!E219)</f>
        <v/>
      </c>
      <c r="AE208" t="str">
        <f>IF(Asistencia!D219="","",UPPER(TRIM(Asistencia!D219)))</f>
        <v/>
      </c>
      <c r="AF208" t="s">
        <v>196</v>
      </c>
      <c r="AG208">
        <f>IF(AND(AA208&lt;&gt;"",COUNTIF($AA$5:AA208,AA208)=1),1,0)</f>
        <v>0</v>
      </c>
      <c r="AH208" t="str">
        <f>IF(AG208=1,SUM($AG$5:AG208),"")</f>
        <v/>
      </c>
      <c r="AI208">
        <f>IF(OR(EXACT(Asistencia!F219,"A"),EXACT(Asistencia!F219,"R"),EXACT(Asistencia!F219,"DL"),EXACT(Asistencia!F219,"FL"),EXACT(Asistencia!F219,"FE"),EXACT(Asistencia!F219,"PCS"),EXACT(Asistencia!F219,"V")),1,0)</f>
        <v>0</v>
      </c>
      <c r="AJ208">
        <f>IF(OR(EXACT(Asistencia!G219,"A"),EXACT(Asistencia!G219,"R"),EXACT(Asistencia!G219,"DL"),EXACT(Asistencia!G219,"FL"),EXACT(Asistencia!G219,"FE"),EXACT(Asistencia!G219,"PCS"),EXACT(Asistencia!G219,"V")),1,0)</f>
        <v>0</v>
      </c>
      <c r="AK208">
        <f>IF(OR(EXACT(Asistencia!H219,"A"),EXACT(Asistencia!H219,"R"),EXACT(Asistencia!H219,"DL"),EXACT(Asistencia!H219,"FL"),EXACT(Asistencia!H219,"FE"),EXACT(Asistencia!H219,"PCS"),EXACT(Asistencia!H219,"V")),1,0)</f>
        <v>0</v>
      </c>
      <c r="AL208">
        <f>IF(OR(EXACT(Asistencia!I219,"A"),EXACT(Asistencia!I219,"R"),EXACT(Asistencia!I219,"DL"),EXACT(Asistencia!I219,"FL"),EXACT(Asistencia!I219,"FE"),EXACT(Asistencia!I219,"PCS"),EXACT(Asistencia!I219,"V")),1,0)</f>
        <v>0</v>
      </c>
      <c r="AM208">
        <f>IF(OR(EXACT(Asistencia!J219,"A"),EXACT(Asistencia!J219,"R"),EXACT(Asistencia!J219,"DL"),EXACT(Asistencia!J219,"FL"),EXACT(Asistencia!J219,"FE"),EXACT(Asistencia!J219,"PCS"),EXACT(Asistencia!J219,"V")),1,0)</f>
        <v>0</v>
      </c>
      <c r="AN208">
        <f>IF(OR(EXACT(Asistencia!K219,"A"),EXACT(Asistencia!K219,"R"),EXACT(Asistencia!K219,"DL"),EXACT(Asistencia!K219,"FL"),EXACT(Asistencia!K219,"FE"),EXACT(Asistencia!K219,"PCS"),EXACT(Asistencia!K219,"V")),1,0)</f>
        <v>0</v>
      </c>
      <c r="AO208">
        <f>IF(OR(EXACT(Asistencia!L219,"A"),EXACT(Asistencia!L219,"R"),EXACT(Asistencia!L219,"DL"),EXACT(Asistencia!L219,"FL"),EXACT(Asistencia!L219,"FE"),EXACT(Asistencia!L219,"PCS"),EXACT(Asistencia!L219,"V")),1,0)</f>
        <v>0</v>
      </c>
      <c r="AP208">
        <f t="shared" si="89"/>
        <v>0</v>
      </c>
      <c r="AQ208">
        <f>IF(EXACT(Asistencia!F219,"FL"),1,0)</f>
        <v>0</v>
      </c>
      <c r="AR208">
        <f>IF(EXACT(Asistencia!G219,"FL"),1,0)</f>
        <v>0</v>
      </c>
      <c r="AS208">
        <f>IF(EXACT(Asistencia!H219,"FL"),1,0)</f>
        <v>0</v>
      </c>
      <c r="AT208">
        <f>IF(EXACT(Asistencia!I219,"FL"),1,0)</f>
        <v>0</v>
      </c>
      <c r="AU208">
        <f>IF(EXACT(Asistencia!J219,"FL"),1,0)</f>
        <v>0</v>
      </c>
      <c r="AV208">
        <f>IF(EXACT(Asistencia!K219,"FL"),1,0)</f>
        <v>0</v>
      </c>
      <c r="AW208">
        <f>IF(EXACT(Asistencia!L219,"FL"),1,0)</f>
        <v>0</v>
      </c>
      <c r="AX208">
        <f t="shared" si="90"/>
        <v>0</v>
      </c>
      <c r="AY208">
        <f>IF(EXACT(Asistencia!F219,"DL"),1,0)</f>
        <v>0</v>
      </c>
      <c r="AZ208">
        <f>IF(EXACT(Asistencia!G219,"DL"),1,0)</f>
        <v>0</v>
      </c>
      <c r="BA208">
        <f>IF(EXACT(Asistencia!H219,"DL"),1,0)</f>
        <v>0</v>
      </c>
      <c r="BB208">
        <f>IF(EXACT(Asistencia!I219,"DL"),1,0)</f>
        <v>0</v>
      </c>
      <c r="BC208">
        <f>IF(EXACT(Asistencia!J219,"DL"),1,0)</f>
        <v>0</v>
      </c>
      <c r="BD208">
        <f>IF(EXACT(Asistencia!K219,"DL"),1,0)</f>
        <v>0</v>
      </c>
      <c r="BE208">
        <f>IF(EXACT(Asistencia!L219,"DL"),1,0)</f>
        <v>0</v>
      </c>
      <c r="BF208">
        <f t="shared" si="91"/>
        <v>0</v>
      </c>
      <c r="BG208">
        <f>IF(ISNUMBER(Asistencia!M219),Asistencia!M219,0)</f>
        <v>0</v>
      </c>
      <c r="BH208">
        <f>IF(ISNUMBER(Asistencia!N219),Asistencia!N219,0)</f>
        <v>0</v>
      </c>
      <c r="BI208">
        <f>IF(ISNUMBER(Asistencia!O219),Asistencia!O219,0)</f>
        <v>0</v>
      </c>
      <c r="BJ208">
        <f>IF(ISNUMBER(Asistencia!P219),Asistencia!P219,0)</f>
        <v>0</v>
      </c>
      <c r="BK208" t="str">
        <f>IF(Asistencia!F219="","",Asistencia!F219)</f>
        <v/>
      </c>
      <c r="BL208" t="str">
        <f>IF(Asistencia!G219="","",Asistencia!G219)</f>
        <v/>
      </c>
      <c r="BM208" t="str">
        <f>IF(Asistencia!H219="","",Asistencia!H219)</f>
        <v/>
      </c>
      <c r="BN208" t="str">
        <f>IF(Asistencia!I219="","",Asistencia!I219)</f>
        <v/>
      </c>
      <c r="BO208" t="str">
        <f>IF(Asistencia!J219="","",Asistencia!J219)</f>
        <v/>
      </c>
      <c r="BP208" t="str">
        <f>IF(Asistencia!K219="","",Asistencia!K219)</f>
        <v/>
      </c>
      <c r="BQ208" t="str">
        <f>IF(Asistencia!L219="","",Asistencia!L219)</f>
        <v/>
      </c>
    </row>
    <row r="209" spans="1:69" x14ac:dyDescent="0.25">
      <c r="A209" s="46"/>
      <c r="B209" s="47"/>
      <c r="C209" s="47"/>
      <c r="D209" s="47"/>
      <c r="E209" s="46"/>
      <c r="F209" s="45"/>
      <c r="G209" s="44"/>
      <c r="H209" s="44"/>
      <c r="I209" s="44"/>
      <c r="J209" s="44"/>
      <c r="K209" s="44"/>
      <c r="L209" s="44"/>
      <c r="M209" s="43"/>
      <c r="N209" s="41"/>
      <c r="O209" s="41"/>
      <c r="P209" s="41"/>
      <c r="Q209" s="41"/>
      <c r="R209" s="41"/>
      <c r="S209" s="41"/>
      <c r="T209" s="48"/>
      <c r="U209" s="41"/>
      <c r="V209" s="41"/>
      <c r="W209" s="42"/>
      <c r="AA209" t="str">
        <f t="shared" si="88"/>
        <v/>
      </c>
      <c r="AB209" t="str">
        <f>IF(Asistencia!A220="","",Asistencia!A220)</f>
        <v/>
      </c>
      <c r="AC209" t="str">
        <f>IF(Asistencia!A220="","",SUBSTITUTE(SUBSTITUTE(SUBSTITUTE(SUBSTITUTE(SUBSTITUTE(SUBSTITUTE(SUBSTITUTE(UPPER(TRIM(Asistencia!A220)),"Á","A"),"É","E"),"Í","I"),"Ó","O"),"Ú","U"),"Ñ","N"),"  "," "))</f>
        <v/>
      </c>
      <c r="AD209" t="str">
        <f>IF(Asistencia!E220="","",Asistencia!E220)</f>
        <v/>
      </c>
      <c r="AE209" t="str">
        <f>IF(Asistencia!D220="","",UPPER(TRIM(Asistencia!D220)))</f>
        <v/>
      </c>
      <c r="AF209" t="s">
        <v>196</v>
      </c>
      <c r="AG209">
        <f>IF(AND(AA209&lt;&gt;"",COUNTIF($AA$5:AA209,AA209)=1),1,0)</f>
        <v>0</v>
      </c>
      <c r="AH209" t="str">
        <f>IF(AG209=1,SUM($AG$5:AG209),"")</f>
        <v/>
      </c>
      <c r="AI209">
        <f>IF(OR(EXACT(Asistencia!F220,"A"),EXACT(Asistencia!F220,"R"),EXACT(Asistencia!F220,"DL"),EXACT(Asistencia!F220,"FL"),EXACT(Asistencia!F220,"FE"),EXACT(Asistencia!F220,"PCS"),EXACT(Asistencia!F220,"V")),1,0)</f>
        <v>0</v>
      </c>
      <c r="AJ209">
        <f>IF(OR(EXACT(Asistencia!G220,"A"),EXACT(Asistencia!G220,"R"),EXACT(Asistencia!G220,"DL"),EXACT(Asistencia!G220,"FL"),EXACT(Asistencia!G220,"FE"),EXACT(Asistencia!G220,"PCS"),EXACT(Asistencia!G220,"V")),1,0)</f>
        <v>0</v>
      </c>
      <c r="AK209">
        <f>IF(OR(EXACT(Asistencia!H220,"A"),EXACT(Asistencia!H220,"R"),EXACT(Asistencia!H220,"DL"),EXACT(Asistencia!H220,"FL"),EXACT(Asistencia!H220,"FE"),EXACT(Asistencia!H220,"PCS"),EXACT(Asistencia!H220,"V")),1,0)</f>
        <v>0</v>
      </c>
      <c r="AL209">
        <f>IF(OR(EXACT(Asistencia!I220,"A"),EXACT(Asistencia!I220,"R"),EXACT(Asistencia!I220,"DL"),EXACT(Asistencia!I220,"FL"),EXACT(Asistencia!I220,"FE"),EXACT(Asistencia!I220,"PCS"),EXACT(Asistencia!I220,"V")),1,0)</f>
        <v>0</v>
      </c>
      <c r="AM209">
        <f>IF(OR(EXACT(Asistencia!J220,"A"),EXACT(Asistencia!J220,"R"),EXACT(Asistencia!J220,"DL"),EXACT(Asistencia!J220,"FL"),EXACT(Asistencia!J220,"FE"),EXACT(Asistencia!J220,"PCS"),EXACT(Asistencia!J220,"V")),1,0)</f>
        <v>0</v>
      </c>
      <c r="AN209">
        <f>IF(OR(EXACT(Asistencia!K220,"A"),EXACT(Asistencia!K220,"R"),EXACT(Asistencia!K220,"DL"),EXACT(Asistencia!K220,"FL"),EXACT(Asistencia!K220,"FE"),EXACT(Asistencia!K220,"PCS"),EXACT(Asistencia!K220,"V")),1,0)</f>
        <v>0</v>
      </c>
      <c r="AO209">
        <f>IF(OR(EXACT(Asistencia!L220,"A"),EXACT(Asistencia!L220,"R"),EXACT(Asistencia!L220,"DL"),EXACT(Asistencia!L220,"FL"),EXACT(Asistencia!L220,"FE"),EXACT(Asistencia!L220,"PCS"),EXACT(Asistencia!L220,"V")),1,0)</f>
        <v>0</v>
      </c>
      <c r="AP209">
        <f t="shared" si="89"/>
        <v>0</v>
      </c>
      <c r="AQ209">
        <f>IF(EXACT(Asistencia!F220,"FL"),1,0)</f>
        <v>0</v>
      </c>
      <c r="AR209">
        <f>IF(EXACT(Asistencia!G220,"FL"),1,0)</f>
        <v>0</v>
      </c>
      <c r="AS209">
        <f>IF(EXACT(Asistencia!H220,"FL"),1,0)</f>
        <v>0</v>
      </c>
      <c r="AT209">
        <f>IF(EXACT(Asistencia!I220,"FL"),1,0)</f>
        <v>0</v>
      </c>
      <c r="AU209">
        <f>IF(EXACT(Asistencia!J220,"FL"),1,0)</f>
        <v>0</v>
      </c>
      <c r="AV209">
        <f>IF(EXACT(Asistencia!K220,"FL"),1,0)</f>
        <v>0</v>
      </c>
      <c r="AW209">
        <f>IF(EXACT(Asistencia!L220,"FL"),1,0)</f>
        <v>0</v>
      </c>
      <c r="AX209">
        <f t="shared" si="90"/>
        <v>0</v>
      </c>
      <c r="AY209">
        <f>IF(EXACT(Asistencia!F220,"DL"),1,0)</f>
        <v>0</v>
      </c>
      <c r="AZ209">
        <f>IF(EXACT(Asistencia!G220,"DL"),1,0)</f>
        <v>0</v>
      </c>
      <c r="BA209">
        <f>IF(EXACT(Asistencia!H220,"DL"),1,0)</f>
        <v>0</v>
      </c>
      <c r="BB209">
        <f>IF(EXACT(Asistencia!I220,"DL"),1,0)</f>
        <v>0</v>
      </c>
      <c r="BC209">
        <f>IF(EXACT(Asistencia!J220,"DL"),1,0)</f>
        <v>0</v>
      </c>
      <c r="BD209">
        <f>IF(EXACT(Asistencia!K220,"DL"),1,0)</f>
        <v>0</v>
      </c>
      <c r="BE209">
        <f>IF(EXACT(Asistencia!L220,"DL"),1,0)</f>
        <v>0</v>
      </c>
      <c r="BF209">
        <f t="shared" si="91"/>
        <v>0</v>
      </c>
      <c r="BG209">
        <f>IF(ISNUMBER(Asistencia!M220),Asistencia!M220,0)</f>
        <v>0</v>
      </c>
      <c r="BH209">
        <f>IF(ISNUMBER(Asistencia!N220),Asistencia!N220,0)</f>
        <v>0</v>
      </c>
      <c r="BI209">
        <f>IF(ISNUMBER(Asistencia!O220),Asistencia!O220,0)</f>
        <v>0</v>
      </c>
      <c r="BJ209">
        <f>IF(ISNUMBER(Asistencia!P220),Asistencia!P220,0)</f>
        <v>0</v>
      </c>
      <c r="BK209" t="str">
        <f>IF(Asistencia!F220="","",Asistencia!F220)</f>
        <v/>
      </c>
      <c r="BL209" t="str">
        <f>IF(Asistencia!G220="","",Asistencia!G220)</f>
        <v/>
      </c>
      <c r="BM209" t="str">
        <f>IF(Asistencia!H220="","",Asistencia!H220)</f>
        <v/>
      </c>
      <c r="BN209" t="str">
        <f>IF(Asistencia!I220="","",Asistencia!I220)</f>
        <v/>
      </c>
      <c r="BO209" t="str">
        <f>IF(Asistencia!J220="","",Asistencia!J220)</f>
        <v/>
      </c>
      <c r="BP209" t="str">
        <f>IF(Asistencia!K220="","",Asistencia!K220)</f>
        <v/>
      </c>
      <c r="BQ209" t="str">
        <f>IF(Asistencia!L220="","",Asistencia!L220)</f>
        <v/>
      </c>
    </row>
    <row r="210" spans="1:69" x14ac:dyDescent="0.25">
      <c r="A210" s="46"/>
      <c r="B210" s="47"/>
      <c r="C210" s="47"/>
      <c r="D210" s="47"/>
      <c r="E210" s="46"/>
      <c r="F210" s="45"/>
      <c r="G210" s="44"/>
      <c r="H210" s="44"/>
      <c r="I210" s="44"/>
      <c r="J210" s="44"/>
      <c r="K210" s="44"/>
      <c r="L210" s="44"/>
      <c r="M210" s="43"/>
      <c r="N210" s="41"/>
      <c r="O210" s="41"/>
      <c r="P210" s="41"/>
      <c r="Q210" s="41"/>
      <c r="R210" s="41"/>
      <c r="S210" s="41"/>
      <c r="T210" s="48"/>
      <c r="U210" s="41"/>
      <c r="V210" s="41"/>
      <c r="W210" s="42"/>
      <c r="AA210" t="str">
        <f t="shared" si="88"/>
        <v/>
      </c>
      <c r="AB210" t="str">
        <f>IF(Asistencia!A221="","",Asistencia!A221)</f>
        <v/>
      </c>
      <c r="AC210" t="str">
        <f>IF(Asistencia!A221="","",SUBSTITUTE(SUBSTITUTE(SUBSTITUTE(SUBSTITUTE(SUBSTITUTE(SUBSTITUTE(SUBSTITUTE(UPPER(TRIM(Asistencia!A221)),"Á","A"),"É","E"),"Í","I"),"Ó","O"),"Ú","U"),"Ñ","N"),"  "," "))</f>
        <v/>
      </c>
      <c r="AD210" t="str">
        <f>IF(Asistencia!E221="","",Asistencia!E221)</f>
        <v/>
      </c>
      <c r="AE210" t="str">
        <f>IF(Asistencia!D221="","",UPPER(TRIM(Asistencia!D221)))</f>
        <v/>
      </c>
      <c r="AF210" t="s">
        <v>196</v>
      </c>
      <c r="AG210">
        <f>IF(AND(AA210&lt;&gt;"",COUNTIF($AA$5:AA210,AA210)=1),1,0)</f>
        <v>0</v>
      </c>
      <c r="AH210" t="str">
        <f>IF(AG210=1,SUM($AG$5:AG210),"")</f>
        <v/>
      </c>
      <c r="AI210">
        <f>IF(OR(EXACT(Asistencia!F221,"A"),EXACT(Asistencia!F221,"R"),EXACT(Asistencia!F221,"DL"),EXACT(Asistencia!F221,"FL"),EXACT(Asistencia!F221,"FE"),EXACT(Asistencia!F221,"PCS"),EXACT(Asistencia!F221,"V")),1,0)</f>
        <v>0</v>
      </c>
      <c r="AJ210">
        <f>IF(OR(EXACT(Asistencia!G221,"A"),EXACT(Asistencia!G221,"R"),EXACT(Asistencia!G221,"DL"),EXACT(Asistencia!G221,"FL"),EXACT(Asistencia!G221,"FE"),EXACT(Asistencia!G221,"PCS"),EXACT(Asistencia!G221,"V")),1,0)</f>
        <v>0</v>
      </c>
      <c r="AK210">
        <f>IF(OR(EXACT(Asistencia!H221,"A"),EXACT(Asistencia!H221,"R"),EXACT(Asistencia!H221,"DL"),EXACT(Asistencia!H221,"FL"),EXACT(Asistencia!H221,"FE"),EXACT(Asistencia!H221,"PCS"),EXACT(Asistencia!H221,"V")),1,0)</f>
        <v>0</v>
      </c>
      <c r="AL210">
        <f>IF(OR(EXACT(Asistencia!I221,"A"),EXACT(Asistencia!I221,"R"),EXACT(Asistencia!I221,"DL"),EXACT(Asistencia!I221,"FL"),EXACT(Asistencia!I221,"FE"),EXACT(Asistencia!I221,"PCS"),EXACT(Asistencia!I221,"V")),1,0)</f>
        <v>0</v>
      </c>
      <c r="AM210">
        <f>IF(OR(EXACT(Asistencia!J221,"A"),EXACT(Asistencia!J221,"R"),EXACT(Asistencia!J221,"DL"),EXACT(Asistencia!J221,"FL"),EXACT(Asistencia!J221,"FE"),EXACT(Asistencia!J221,"PCS"),EXACT(Asistencia!J221,"V")),1,0)</f>
        <v>0</v>
      </c>
      <c r="AN210">
        <f>IF(OR(EXACT(Asistencia!K221,"A"),EXACT(Asistencia!K221,"R"),EXACT(Asistencia!K221,"DL"),EXACT(Asistencia!K221,"FL"),EXACT(Asistencia!K221,"FE"),EXACT(Asistencia!K221,"PCS"),EXACT(Asistencia!K221,"V")),1,0)</f>
        <v>0</v>
      </c>
      <c r="AO210">
        <f>IF(OR(EXACT(Asistencia!L221,"A"),EXACT(Asistencia!L221,"R"),EXACT(Asistencia!L221,"DL"),EXACT(Asistencia!L221,"FL"),EXACT(Asistencia!L221,"FE"),EXACT(Asistencia!L221,"PCS"),EXACT(Asistencia!L221,"V")),1,0)</f>
        <v>0</v>
      </c>
      <c r="AP210">
        <f t="shared" si="89"/>
        <v>0</v>
      </c>
      <c r="AQ210">
        <f>IF(EXACT(Asistencia!F221,"FL"),1,0)</f>
        <v>0</v>
      </c>
      <c r="AR210">
        <f>IF(EXACT(Asistencia!G221,"FL"),1,0)</f>
        <v>0</v>
      </c>
      <c r="AS210">
        <f>IF(EXACT(Asistencia!H221,"FL"),1,0)</f>
        <v>0</v>
      </c>
      <c r="AT210">
        <f>IF(EXACT(Asistencia!I221,"FL"),1,0)</f>
        <v>0</v>
      </c>
      <c r="AU210">
        <f>IF(EXACT(Asistencia!J221,"FL"),1,0)</f>
        <v>0</v>
      </c>
      <c r="AV210">
        <f>IF(EXACT(Asistencia!K221,"FL"),1,0)</f>
        <v>0</v>
      </c>
      <c r="AW210">
        <f>IF(EXACT(Asistencia!L221,"FL"),1,0)</f>
        <v>0</v>
      </c>
      <c r="AX210">
        <f t="shared" si="90"/>
        <v>0</v>
      </c>
      <c r="AY210">
        <f>IF(EXACT(Asistencia!F221,"DL"),1,0)</f>
        <v>0</v>
      </c>
      <c r="AZ210">
        <f>IF(EXACT(Asistencia!G221,"DL"),1,0)</f>
        <v>0</v>
      </c>
      <c r="BA210">
        <f>IF(EXACT(Asistencia!H221,"DL"),1,0)</f>
        <v>0</v>
      </c>
      <c r="BB210">
        <f>IF(EXACT(Asistencia!I221,"DL"),1,0)</f>
        <v>0</v>
      </c>
      <c r="BC210">
        <f>IF(EXACT(Asistencia!J221,"DL"),1,0)</f>
        <v>0</v>
      </c>
      <c r="BD210">
        <f>IF(EXACT(Asistencia!K221,"DL"),1,0)</f>
        <v>0</v>
      </c>
      <c r="BE210">
        <f>IF(EXACT(Asistencia!L221,"DL"),1,0)</f>
        <v>0</v>
      </c>
      <c r="BF210">
        <f t="shared" si="91"/>
        <v>0</v>
      </c>
      <c r="BG210">
        <f>IF(ISNUMBER(Asistencia!M221),Asistencia!M221,0)</f>
        <v>0</v>
      </c>
      <c r="BH210">
        <f>IF(ISNUMBER(Asistencia!N221),Asistencia!N221,0)</f>
        <v>0</v>
      </c>
      <c r="BI210">
        <f>IF(ISNUMBER(Asistencia!O221),Asistencia!O221,0)</f>
        <v>0</v>
      </c>
      <c r="BJ210">
        <f>IF(ISNUMBER(Asistencia!P221),Asistencia!P221,0)</f>
        <v>0</v>
      </c>
      <c r="BK210" t="str">
        <f>IF(Asistencia!F221="","",Asistencia!F221)</f>
        <v/>
      </c>
      <c r="BL210" t="str">
        <f>IF(Asistencia!G221="","",Asistencia!G221)</f>
        <v/>
      </c>
      <c r="BM210" t="str">
        <f>IF(Asistencia!H221="","",Asistencia!H221)</f>
        <v/>
      </c>
      <c r="BN210" t="str">
        <f>IF(Asistencia!I221="","",Asistencia!I221)</f>
        <v/>
      </c>
      <c r="BO210" t="str">
        <f>IF(Asistencia!J221="","",Asistencia!J221)</f>
        <v/>
      </c>
      <c r="BP210" t="str">
        <f>IF(Asistencia!K221="","",Asistencia!K221)</f>
        <v/>
      </c>
      <c r="BQ210" t="str">
        <f>IF(Asistencia!L221="","",Asistencia!L221)</f>
        <v/>
      </c>
    </row>
    <row r="211" spans="1:69" x14ac:dyDescent="0.25">
      <c r="A211" s="46"/>
      <c r="B211" s="47"/>
      <c r="C211" s="47"/>
      <c r="D211" s="47"/>
      <c r="E211" s="46"/>
      <c r="F211" s="45"/>
      <c r="G211" s="44"/>
      <c r="H211" s="44"/>
      <c r="I211" s="44"/>
      <c r="J211" s="44"/>
      <c r="K211" s="44"/>
      <c r="L211" s="44"/>
      <c r="M211" s="43"/>
      <c r="N211" s="41"/>
      <c r="O211" s="41"/>
      <c r="P211" s="41"/>
      <c r="Q211" s="41"/>
      <c r="R211" s="41"/>
      <c r="S211" s="41"/>
      <c r="T211" s="48"/>
      <c r="U211" s="41"/>
      <c r="V211" s="41"/>
      <c r="W211" s="42"/>
      <c r="AA211" t="str">
        <f t="shared" si="88"/>
        <v/>
      </c>
      <c r="AB211" t="str">
        <f>IF(Asistencia!A222="","",Asistencia!A222)</f>
        <v/>
      </c>
      <c r="AC211" t="str">
        <f>IF(Asistencia!A222="","",SUBSTITUTE(SUBSTITUTE(SUBSTITUTE(SUBSTITUTE(SUBSTITUTE(SUBSTITUTE(SUBSTITUTE(UPPER(TRIM(Asistencia!A222)),"Á","A"),"É","E"),"Í","I"),"Ó","O"),"Ú","U"),"Ñ","N"),"  "," "))</f>
        <v/>
      </c>
      <c r="AD211" t="str">
        <f>IF(Asistencia!E222="","",Asistencia!E222)</f>
        <v/>
      </c>
      <c r="AE211" t="str">
        <f>IF(Asistencia!D222="","",UPPER(TRIM(Asistencia!D222)))</f>
        <v/>
      </c>
      <c r="AF211" t="s">
        <v>196</v>
      </c>
      <c r="AG211">
        <f>IF(AND(AA211&lt;&gt;"",COUNTIF($AA$5:AA211,AA211)=1),1,0)</f>
        <v>0</v>
      </c>
      <c r="AH211" t="str">
        <f>IF(AG211=1,SUM($AG$5:AG211),"")</f>
        <v/>
      </c>
      <c r="AI211">
        <f>IF(OR(EXACT(Asistencia!F222,"A"),EXACT(Asistencia!F222,"R"),EXACT(Asistencia!F222,"DL"),EXACT(Asistencia!F222,"FL"),EXACT(Asistencia!F222,"FE"),EXACT(Asistencia!F222,"PCS"),EXACT(Asistencia!F222,"V")),1,0)</f>
        <v>0</v>
      </c>
      <c r="AJ211">
        <f>IF(OR(EXACT(Asistencia!G222,"A"),EXACT(Asistencia!G222,"R"),EXACT(Asistencia!G222,"DL"),EXACT(Asistencia!G222,"FL"),EXACT(Asistencia!G222,"FE"),EXACT(Asistencia!G222,"PCS"),EXACT(Asistencia!G222,"V")),1,0)</f>
        <v>0</v>
      </c>
      <c r="AK211">
        <f>IF(OR(EXACT(Asistencia!H222,"A"),EXACT(Asistencia!H222,"R"),EXACT(Asistencia!H222,"DL"),EXACT(Asistencia!H222,"FL"),EXACT(Asistencia!H222,"FE"),EXACT(Asistencia!H222,"PCS"),EXACT(Asistencia!H222,"V")),1,0)</f>
        <v>0</v>
      </c>
      <c r="AL211">
        <f>IF(OR(EXACT(Asistencia!I222,"A"),EXACT(Asistencia!I222,"R"),EXACT(Asistencia!I222,"DL"),EXACT(Asistencia!I222,"FL"),EXACT(Asistencia!I222,"FE"),EXACT(Asistencia!I222,"PCS"),EXACT(Asistencia!I222,"V")),1,0)</f>
        <v>0</v>
      </c>
      <c r="AM211">
        <f>IF(OR(EXACT(Asistencia!J222,"A"),EXACT(Asistencia!J222,"R"),EXACT(Asistencia!J222,"DL"),EXACT(Asistencia!J222,"FL"),EXACT(Asistencia!J222,"FE"),EXACT(Asistencia!J222,"PCS"),EXACT(Asistencia!J222,"V")),1,0)</f>
        <v>0</v>
      </c>
      <c r="AN211">
        <f>IF(OR(EXACT(Asistencia!K222,"A"),EXACT(Asistencia!K222,"R"),EXACT(Asistencia!K222,"DL"),EXACT(Asistencia!K222,"FL"),EXACT(Asistencia!K222,"FE"),EXACT(Asistencia!K222,"PCS"),EXACT(Asistencia!K222,"V")),1,0)</f>
        <v>0</v>
      </c>
      <c r="AO211">
        <f>IF(OR(EXACT(Asistencia!L222,"A"),EXACT(Asistencia!L222,"R"),EXACT(Asistencia!L222,"DL"),EXACT(Asistencia!L222,"FL"),EXACT(Asistencia!L222,"FE"),EXACT(Asistencia!L222,"PCS"),EXACT(Asistencia!L222,"V")),1,0)</f>
        <v>0</v>
      </c>
      <c r="AP211">
        <f t="shared" si="89"/>
        <v>0</v>
      </c>
      <c r="AQ211">
        <f>IF(EXACT(Asistencia!F222,"FL"),1,0)</f>
        <v>0</v>
      </c>
      <c r="AR211">
        <f>IF(EXACT(Asistencia!G222,"FL"),1,0)</f>
        <v>0</v>
      </c>
      <c r="AS211">
        <f>IF(EXACT(Asistencia!H222,"FL"),1,0)</f>
        <v>0</v>
      </c>
      <c r="AT211">
        <f>IF(EXACT(Asistencia!I222,"FL"),1,0)</f>
        <v>0</v>
      </c>
      <c r="AU211">
        <f>IF(EXACT(Asistencia!J222,"FL"),1,0)</f>
        <v>0</v>
      </c>
      <c r="AV211">
        <f>IF(EXACT(Asistencia!K222,"FL"),1,0)</f>
        <v>0</v>
      </c>
      <c r="AW211">
        <f>IF(EXACT(Asistencia!L222,"FL"),1,0)</f>
        <v>0</v>
      </c>
      <c r="AX211">
        <f t="shared" si="90"/>
        <v>0</v>
      </c>
      <c r="AY211">
        <f>IF(EXACT(Asistencia!F222,"DL"),1,0)</f>
        <v>0</v>
      </c>
      <c r="AZ211">
        <f>IF(EXACT(Asistencia!G222,"DL"),1,0)</f>
        <v>0</v>
      </c>
      <c r="BA211">
        <f>IF(EXACT(Asistencia!H222,"DL"),1,0)</f>
        <v>0</v>
      </c>
      <c r="BB211">
        <f>IF(EXACT(Asistencia!I222,"DL"),1,0)</f>
        <v>0</v>
      </c>
      <c r="BC211">
        <f>IF(EXACT(Asistencia!J222,"DL"),1,0)</f>
        <v>0</v>
      </c>
      <c r="BD211">
        <f>IF(EXACT(Asistencia!K222,"DL"),1,0)</f>
        <v>0</v>
      </c>
      <c r="BE211">
        <f>IF(EXACT(Asistencia!L222,"DL"),1,0)</f>
        <v>0</v>
      </c>
      <c r="BF211">
        <f t="shared" si="91"/>
        <v>0</v>
      </c>
      <c r="BG211">
        <f>IF(ISNUMBER(Asistencia!M222),Asistencia!M222,0)</f>
        <v>0</v>
      </c>
      <c r="BH211">
        <f>IF(ISNUMBER(Asistencia!N222),Asistencia!N222,0)</f>
        <v>0</v>
      </c>
      <c r="BI211">
        <f>IF(ISNUMBER(Asistencia!O222),Asistencia!O222,0)</f>
        <v>0</v>
      </c>
      <c r="BJ211">
        <f>IF(ISNUMBER(Asistencia!P222),Asistencia!P222,0)</f>
        <v>0</v>
      </c>
      <c r="BK211" t="str">
        <f>IF(Asistencia!F222="","",Asistencia!F222)</f>
        <v/>
      </c>
      <c r="BL211" t="str">
        <f>IF(Asistencia!G222="","",Asistencia!G222)</f>
        <v/>
      </c>
      <c r="BM211" t="str">
        <f>IF(Asistencia!H222="","",Asistencia!H222)</f>
        <v/>
      </c>
      <c r="BN211" t="str">
        <f>IF(Asistencia!I222="","",Asistencia!I222)</f>
        <v/>
      </c>
      <c r="BO211" t="str">
        <f>IF(Asistencia!J222="","",Asistencia!J222)</f>
        <v/>
      </c>
      <c r="BP211" t="str">
        <f>IF(Asistencia!K222="","",Asistencia!K222)</f>
        <v/>
      </c>
      <c r="BQ211" t="str">
        <f>IF(Asistencia!L222="","",Asistencia!L222)</f>
        <v/>
      </c>
    </row>
    <row r="212" spans="1:69" x14ac:dyDescent="0.25">
      <c r="A212" s="46"/>
      <c r="B212" s="47"/>
      <c r="C212" s="47"/>
      <c r="D212" s="47"/>
      <c r="E212" s="46"/>
      <c r="F212" s="45"/>
      <c r="G212" s="44"/>
      <c r="H212" s="44"/>
      <c r="I212" s="44"/>
      <c r="J212" s="44"/>
      <c r="K212" s="44"/>
      <c r="L212" s="44"/>
      <c r="M212" s="43"/>
      <c r="N212" s="41"/>
      <c r="O212" s="41"/>
      <c r="P212" s="41"/>
      <c r="Q212" s="41"/>
      <c r="R212" s="41"/>
      <c r="S212" s="41"/>
      <c r="T212" s="48"/>
      <c r="U212" s="41"/>
      <c r="V212" s="41"/>
      <c r="W212" s="42"/>
      <c r="AA212" t="str">
        <f t="shared" si="88"/>
        <v/>
      </c>
      <c r="AB212" t="str">
        <f>IF(Asistencia!A223="","",Asistencia!A223)</f>
        <v/>
      </c>
      <c r="AC212" t="str">
        <f>IF(Asistencia!A223="","",SUBSTITUTE(SUBSTITUTE(SUBSTITUTE(SUBSTITUTE(SUBSTITUTE(SUBSTITUTE(SUBSTITUTE(UPPER(TRIM(Asistencia!A223)),"Á","A"),"É","E"),"Í","I"),"Ó","O"),"Ú","U"),"Ñ","N"),"  "," "))</f>
        <v/>
      </c>
      <c r="AD212" t="str">
        <f>IF(Asistencia!E223="","",Asistencia!E223)</f>
        <v/>
      </c>
      <c r="AE212" t="str">
        <f>IF(Asistencia!D223="","",UPPER(TRIM(Asistencia!D223)))</f>
        <v/>
      </c>
      <c r="AF212" t="s">
        <v>196</v>
      </c>
      <c r="AG212">
        <f>IF(AND(AA212&lt;&gt;"",COUNTIF($AA$5:AA212,AA212)=1),1,0)</f>
        <v>0</v>
      </c>
      <c r="AH212" t="str">
        <f>IF(AG212=1,SUM($AG$5:AG212),"")</f>
        <v/>
      </c>
      <c r="AI212">
        <f>IF(OR(EXACT(Asistencia!F223,"A"),EXACT(Asistencia!F223,"R"),EXACT(Asistencia!F223,"DL"),EXACT(Asistencia!F223,"FL"),EXACT(Asistencia!F223,"FE"),EXACT(Asistencia!F223,"PCS"),EXACT(Asistencia!F223,"V")),1,0)</f>
        <v>0</v>
      </c>
      <c r="AJ212">
        <f>IF(OR(EXACT(Asistencia!G223,"A"),EXACT(Asistencia!G223,"R"),EXACT(Asistencia!G223,"DL"),EXACT(Asistencia!G223,"FL"),EXACT(Asistencia!G223,"FE"),EXACT(Asistencia!G223,"PCS"),EXACT(Asistencia!G223,"V")),1,0)</f>
        <v>0</v>
      </c>
      <c r="AK212">
        <f>IF(OR(EXACT(Asistencia!H223,"A"),EXACT(Asistencia!H223,"R"),EXACT(Asistencia!H223,"DL"),EXACT(Asistencia!H223,"FL"),EXACT(Asistencia!H223,"FE"),EXACT(Asistencia!H223,"PCS"),EXACT(Asistencia!H223,"V")),1,0)</f>
        <v>0</v>
      </c>
      <c r="AL212">
        <f>IF(OR(EXACT(Asistencia!I223,"A"),EXACT(Asistencia!I223,"R"),EXACT(Asistencia!I223,"DL"),EXACT(Asistencia!I223,"FL"),EXACT(Asistencia!I223,"FE"),EXACT(Asistencia!I223,"PCS"),EXACT(Asistencia!I223,"V")),1,0)</f>
        <v>0</v>
      </c>
      <c r="AM212">
        <f>IF(OR(EXACT(Asistencia!J223,"A"),EXACT(Asistencia!J223,"R"),EXACT(Asistencia!J223,"DL"),EXACT(Asistencia!J223,"FL"),EXACT(Asistencia!J223,"FE"),EXACT(Asistencia!J223,"PCS"),EXACT(Asistencia!J223,"V")),1,0)</f>
        <v>0</v>
      </c>
      <c r="AN212">
        <f>IF(OR(EXACT(Asistencia!K223,"A"),EXACT(Asistencia!K223,"R"),EXACT(Asistencia!K223,"DL"),EXACT(Asistencia!K223,"FL"),EXACT(Asistencia!K223,"FE"),EXACT(Asistencia!K223,"PCS"),EXACT(Asistencia!K223,"V")),1,0)</f>
        <v>0</v>
      </c>
      <c r="AO212">
        <f>IF(OR(EXACT(Asistencia!L223,"A"),EXACT(Asistencia!L223,"R"),EXACT(Asistencia!L223,"DL"),EXACT(Asistencia!L223,"FL"),EXACT(Asistencia!L223,"FE"),EXACT(Asistencia!L223,"PCS"),EXACT(Asistencia!L223,"V")),1,0)</f>
        <v>0</v>
      </c>
      <c r="AP212">
        <f t="shared" si="89"/>
        <v>0</v>
      </c>
      <c r="AQ212">
        <f>IF(EXACT(Asistencia!F223,"FL"),1,0)</f>
        <v>0</v>
      </c>
      <c r="AR212">
        <f>IF(EXACT(Asistencia!G223,"FL"),1,0)</f>
        <v>0</v>
      </c>
      <c r="AS212">
        <f>IF(EXACT(Asistencia!H223,"FL"),1,0)</f>
        <v>0</v>
      </c>
      <c r="AT212">
        <f>IF(EXACT(Asistencia!I223,"FL"),1,0)</f>
        <v>0</v>
      </c>
      <c r="AU212">
        <f>IF(EXACT(Asistencia!J223,"FL"),1,0)</f>
        <v>0</v>
      </c>
      <c r="AV212">
        <f>IF(EXACT(Asistencia!K223,"FL"),1,0)</f>
        <v>0</v>
      </c>
      <c r="AW212">
        <f>IF(EXACT(Asistencia!L223,"FL"),1,0)</f>
        <v>0</v>
      </c>
      <c r="AX212">
        <f t="shared" si="90"/>
        <v>0</v>
      </c>
      <c r="AY212">
        <f>IF(EXACT(Asistencia!F223,"DL"),1,0)</f>
        <v>0</v>
      </c>
      <c r="AZ212">
        <f>IF(EXACT(Asistencia!G223,"DL"),1,0)</f>
        <v>0</v>
      </c>
      <c r="BA212">
        <f>IF(EXACT(Asistencia!H223,"DL"),1,0)</f>
        <v>0</v>
      </c>
      <c r="BB212">
        <f>IF(EXACT(Asistencia!I223,"DL"),1,0)</f>
        <v>0</v>
      </c>
      <c r="BC212">
        <f>IF(EXACT(Asistencia!J223,"DL"),1,0)</f>
        <v>0</v>
      </c>
      <c r="BD212">
        <f>IF(EXACT(Asistencia!K223,"DL"),1,0)</f>
        <v>0</v>
      </c>
      <c r="BE212">
        <f>IF(EXACT(Asistencia!L223,"DL"),1,0)</f>
        <v>0</v>
      </c>
      <c r="BF212">
        <f t="shared" si="91"/>
        <v>0</v>
      </c>
      <c r="BG212">
        <f>IF(ISNUMBER(Asistencia!M223),Asistencia!M223,0)</f>
        <v>0</v>
      </c>
      <c r="BH212">
        <f>IF(ISNUMBER(Asistencia!N223),Asistencia!N223,0)</f>
        <v>0</v>
      </c>
      <c r="BI212">
        <f>IF(ISNUMBER(Asistencia!O223),Asistencia!O223,0)</f>
        <v>0</v>
      </c>
      <c r="BJ212">
        <f>IF(ISNUMBER(Asistencia!P223),Asistencia!P223,0)</f>
        <v>0</v>
      </c>
      <c r="BK212" t="str">
        <f>IF(Asistencia!F223="","",Asistencia!F223)</f>
        <v/>
      </c>
      <c r="BL212" t="str">
        <f>IF(Asistencia!G223="","",Asistencia!G223)</f>
        <v/>
      </c>
      <c r="BM212" t="str">
        <f>IF(Asistencia!H223="","",Asistencia!H223)</f>
        <v/>
      </c>
      <c r="BN212" t="str">
        <f>IF(Asistencia!I223="","",Asistencia!I223)</f>
        <v/>
      </c>
      <c r="BO212" t="str">
        <f>IF(Asistencia!J223="","",Asistencia!J223)</f>
        <v/>
      </c>
      <c r="BP212" t="str">
        <f>IF(Asistencia!K223="","",Asistencia!K223)</f>
        <v/>
      </c>
      <c r="BQ212" t="str">
        <f>IF(Asistencia!L223="","",Asistencia!L223)</f>
        <v/>
      </c>
    </row>
    <row r="213" spans="1:69" x14ac:dyDescent="0.25">
      <c r="A213" s="46"/>
      <c r="B213" s="47"/>
      <c r="C213" s="47"/>
      <c r="D213" s="47"/>
      <c r="E213" s="46"/>
      <c r="F213" s="45"/>
      <c r="G213" s="44"/>
      <c r="H213" s="44"/>
      <c r="I213" s="44"/>
      <c r="J213" s="44"/>
      <c r="K213" s="44"/>
      <c r="L213" s="44"/>
      <c r="M213" s="43"/>
      <c r="N213" s="41"/>
      <c r="O213" s="41"/>
      <c r="P213" s="41"/>
      <c r="Q213" s="41"/>
      <c r="R213" s="41"/>
      <c r="S213" s="41"/>
      <c r="T213" s="48"/>
      <c r="U213" s="41"/>
      <c r="V213" s="41"/>
      <c r="W213" s="42"/>
      <c r="AA213" t="str">
        <f t="shared" si="88"/>
        <v/>
      </c>
      <c r="AB213" t="str">
        <f>IF(Asistencia!A224="","",Asistencia!A224)</f>
        <v/>
      </c>
      <c r="AC213" t="str">
        <f>IF(Asistencia!A224="","",SUBSTITUTE(SUBSTITUTE(SUBSTITUTE(SUBSTITUTE(SUBSTITUTE(SUBSTITUTE(SUBSTITUTE(UPPER(TRIM(Asistencia!A224)),"Á","A"),"É","E"),"Í","I"),"Ó","O"),"Ú","U"),"Ñ","N"),"  "," "))</f>
        <v/>
      </c>
      <c r="AD213" t="str">
        <f>IF(Asistencia!E224="","",Asistencia!E224)</f>
        <v/>
      </c>
      <c r="AE213" t="str">
        <f>IF(Asistencia!D224="","",UPPER(TRIM(Asistencia!D224)))</f>
        <v/>
      </c>
      <c r="AF213" t="s">
        <v>196</v>
      </c>
      <c r="AG213">
        <f>IF(AND(AA213&lt;&gt;"",COUNTIF($AA$5:AA213,AA213)=1),1,0)</f>
        <v>0</v>
      </c>
      <c r="AH213" t="str">
        <f>IF(AG213=1,SUM($AG$5:AG213),"")</f>
        <v/>
      </c>
      <c r="AI213">
        <f>IF(OR(EXACT(Asistencia!F224,"A"),EXACT(Asistencia!F224,"R"),EXACT(Asistencia!F224,"DL"),EXACT(Asistencia!F224,"FL"),EXACT(Asistencia!F224,"FE"),EXACT(Asistencia!F224,"PCS"),EXACT(Asistencia!F224,"V")),1,0)</f>
        <v>0</v>
      </c>
      <c r="AJ213">
        <f>IF(OR(EXACT(Asistencia!G224,"A"),EXACT(Asistencia!G224,"R"),EXACT(Asistencia!G224,"DL"),EXACT(Asistencia!G224,"FL"),EXACT(Asistencia!G224,"FE"),EXACT(Asistencia!G224,"PCS"),EXACT(Asistencia!G224,"V")),1,0)</f>
        <v>0</v>
      </c>
      <c r="AK213">
        <f>IF(OR(EXACT(Asistencia!H224,"A"),EXACT(Asistencia!H224,"R"),EXACT(Asistencia!H224,"DL"),EXACT(Asistencia!H224,"FL"),EXACT(Asistencia!H224,"FE"),EXACT(Asistencia!H224,"PCS"),EXACT(Asistencia!H224,"V")),1,0)</f>
        <v>0</v>
      </c>
      <c r="AL213">
        <f>IF(OR(EXACT(Asistencia!I224,"A"),EXACT(Asistencia!I224,"R"),EXACT(Asistencia!I224,"DL"),EXACT(Asistencia!I224,"FL"),EXACT(Asistencia!I224,"FE"),EXACT(Asistencia!I224,"PCS"),EXACT(Asistencia!I224,"V")),1,0)</f>
        <v>0</v>
      </c>
      <c r="AM213">
        <f>IF(OR(EXACT(Asistencia!J224,"A"),EXACT(Asistencia!J224,"R"),EXACT(Asistencia!J224,"DL"),EXACT(Asistencia!J224,"FL"),EXACT(Asistencia!J224,"FE"),EXACT(Asistencia!J224,"PCS"),EXACT(Asistencia!J224,"V")),1,0)</f>
        <v>0</v>
      </c>
      <c r="AN213">
        <f>IF(OR(EXACT(Asistencia!K224,"A"),EXACT(Asistencia!K224,"R"),EXACT(Asistencia!K224,"DL"),EXACT(Asistencia!K224,"FL"),EXACT(Asistencia!K224,"FE"),EXACT(Asistencia!K224,"PCS"),EXACT(Asistencia!K224,"V")),1,0)</f>
        <v>0</v>
      </c>
      <c r="AO213">
        <f>IF(OR(EXACT(Asistencia!L224,"A"),EXACT(Asistencia!L224,"R"),EXACT(Asistencia!L224,"DL"),EXACT(Asistencia!L224,"FL"),EXACT(Asistencia!L224,"FE"),EXACT(Asistencia!L224,"PCS"),EXACT(Asistencia!L224,"V")),1,0)</f>
        <v>0</v>
      </c>
      <c r="AP213">
        <f t="shared" si="89"/>
        <v>0</v>
      </c>
      <c r="AQ213">
        <f>IF(EXACT(Asistencia!F224,"FL"),1,0)</f>
        <v>0</v>
      </c>
      <c r="AR213">
        <f>IF(EXACT(Asistencia!G224,"FL"),1,0)</f>
        <v>0</v>
      </c>
      <c r="AS213">
        <f>IF(EXACT(Asistencia!H224,"FL"),1,0)</f>
        <v>0</v>
      </c>
      <c r="AT213">
        <f>IF(EXACT(Asistencia!I224,"FL"),1,0)</f>
        <v>0</v>
      </c>
      <c r="AU213">
        <f>IF(EXACT(Asistencia!J224,"FL"),1,0)</f>
        <v>0</v>
      </c>
      <c r="AV213">
        <f>IF(EXACT(Asistencia!K224,"FL"),1,0)</f>
        <v>0</v>
      </c>
      <c r="AW213">
        <f>IF(EXACT(Asistencia!L224,"FL"),1,0)</f>
        <v>0</v>
      </c>
      <c r="AX213">
        <f t="shared" si="90"/>
        <v>0</v>
      </c>
      <c r="AY213">
        <f>IF(EXACT(Asistencia!F224,"DL"),1,0)</f>
        <v>0</v>
      </c>
      <c r="AZ213">
        <f>IF(EXACT(Asistencia!G224,"DL"),1,0)</f>
        <v>0</v>
      </c>
      <c r="BA213">
        <f>IF(EXACT(Asistencia!H224,"DL"),1,0)</f>
        <v>0</v>
      </c>
      <c r="BB213">
        <f>IF(EXACT(Asistencia!I224,"DL"),1,0)</f>
        <v>0</v>
      </c>
      <c r="BC213">
        <f>IF(EXACT(Asistencia!J224,"DL"),1,0)</f>
        <v>0</v>
      </c>
      <c r="BD213">
        <f>IF(EXACT(Asistencia!K224,"DL"),1,0)</f>
        <v>0</v>
      </c>
      <c r="BE213">
        <f>IF(EXACT(Asistencia!L224,"DL"),1,0)</f>
        <v>0</v>
      </c>
      <c r="BF213">
        <f t="shared" si="91"/>
        <v>0</v>
      </c>
      <c r="BG213">
        <f>IF(ISNUMBER(Asistencia!M224),Asistencia!M224,0)</f>
        <v>0</v>
      </c>
      <c r="BH213">
        <f>IF(ISNUMBER(Asistencia!N224),Asistencia!N224,0)</f>
        <v>0</v>
      </c>
      <c r="BI213">
        <f>IF(ISNUMBER(Asistencia!O224),Asistencia!O224,0)</f>
        <v>0</v>
      </c>
      <c r="BJ213">
        <f>IF(ISNUMBER(Asistencia!P224),Asistencia!P224,0)</f>
        <v>0</v>
      </c>
      <c r="BK213" t="str">
        <f>IF(Asistencia!F224="","",Asistencia!F224)</f>
        <v/>
      </c>
      <c r="BL213" t="str">
        <f>IF(Asistencia!G224="","",Asistencia!G224)</f>
        <v/>
      </c>
      <c r="BM213" t="str">
        <f>IF(Asistencia!H224="","",Asistencia!H224)</f>
        <v/>
      </c>
      <c r="BN213" t="str">
        <f>IF(Asistencia!I224="","",Asistencia!I224)</f>
        <v/>
      </c>
      <c r="BO213" t="str">
        <f>IF(Asistencia!J224="","",Asistencia!J224)</f>
        <v/>
      </c>
      <c r="BP213" t="str">
        <f>IF(Asistencia!K224="","",Asistencia!K224)</f>
        <v/>
      </c>
      <c r="BQ213" t="str">
        <f>IF(Asistencia!L224="","",Asistencia!L224)</f>
        <v/>
      </c>
    </row>
    <row r="214" spans="1:69" x14ac:dyDescent="0.25">
      <c r="A214" s="46"/>
      <c r="B214" s="47"/>
      <c r="C214" s="47"/>
      <c r="D214" s="47"/>
      <c r="E214" s="46"/>
      <c r="F214" s="45"/>
      <c r="G214" s="44"/>
      <c r="H214" s="44"/>
      <c r="I214" s="44"/>
      <c r="J214" s="44"/>
      <c r="K214" s="44"/>
      <c r="L214" s="44"/>
      <c r="M214" s="43"/>
      <c r="N214" s="41"/>
      <c r="O214" s="41"/>
      <c r="P214" s="41"/>
      <c r="Q214" s="41"/>
      <c r="R214" s="41"/>
      <c r="S214" s="41"/>
      <c r="T214" s="48"/>
      <c r="U214" s="41"/>
      <c r="V214" s="41"/>
      <c r="W214" s="42"/>
      <c r="AA214" t="str">
        <f t="shared" si="88"/>
        <v/>
      </c>
      <c r="AB214" t="str">
        <f>IF(Asistencia!A225="","",Asistencia!A225)</f>
        <v/>
      </c>
      <c r="AC214" t="str">
        <f>IF(Asistencia!A225="","",SUBSTITUTE(SUBSTITUTE(SUBSTITUTE(SUBSTITUTE(SUBSTITUTE(SUBSTITUTE(SUBSTITUTE(UPPER(TRIM(Asistencia!A225)),"Á","A"),"É","E"),"Í","I"),"Ó","O"),"Ú","U"),"Ñ","N"),"  "," "))</f>
        <v/>
      </c>
      <c r="AD214" t="str">
        <f>IF(Asistencia!E225="","",Asistencia!E225)</f>
        <v/>
      </c>
      <c r="AE214" t="str">
        <f>IF(Asistencia!D225="","",UPPER(TRIM(Asistencia!D225)))</f>
        <v/>
      </c>
      <c r="AF214" t="s">
        <v>196</v>
      </c>
      <c r="AG214">
        <f>IF(AND(AA214&lt;&gt;"",COUNTIF($AA$5:AA214,AA214)=1),1,0)</f>
        <v>0</v>
      </c>
      <c r="AH214" t="str">
        <f>IF(AG214=1,SUM($AG$5:AG214),"")</f>
        <v/>
      </c>
      <c r="AI214">
        <f>IF(OR(EXACT(Asistencia!F225,"A"),EXACT(Asistencia!F225,"R"),EXACT(Asistencia!F225,"DL"),EXACT(Asistencia!F225,"FL"),EXACT(Asistencia!F225,"FE"),EXACT(Asistencia!F225,"PCS"),EXACT(Asistencia!F225,"V")),1,0)</f>
        <v>0</v>
      </c>
      <c r="AJ214">
        <f>IF(OR(EXACT(Asistencia!G225,"A"),EXACT(Asistencia!G225,"R"),EXACT(Asistencia!G225,"DL"),EXACT(Asistencia!G225,"FL"),EXACT(Asistencia!G225,"FE"),EXACT(Asistencia!G225,"PCS"),EXACT(Asistencia!G225,"V")),1,0)</f>
        <v>0</v>
      </c>
      <c r="AK214">
        <f>IF(OR(EXACT(Asistencia!H225,"A"),EXACT(Asistencia!H225,"R"),EXACT(Asistencia!H225,"DL"),EXACT(Asistencia!H225,"FL"),EXACT(Asistencia!H225,"FE"),EXACT(Asistencia!H225,"PCS"),EXACT(Asistencia!H225,"V")),1,0)</f>
        <v>0</v>
      </c>
      <c r="AL214">
        <f>IF(OR(EXACT(Asistencia!I225,"A"),EXACT(Asistencia!I225,"R"),EXACT(Asistencia!I225,"DL"),EXACT(Asistencia!I225,"FL"),EXACT(Asistencia!I225,"FE"),EXACT(Asistencia!I225,"PCS"),EXACT(Asistencia!I225,"V")),1,0)</f>
        <v>0</v>
      </c>
      <c r="AM214">
        <f>IF(OR(EXACT(Asistencia!J225,"A"),EXACT(Asistencia!J225,"R"),EXACT(Asistencia!J225,"DL"),EXACT(Asistencia!J225,"FL"),EXACT(Asistencia!J225,"FE"),EXACT(Asistencia!J225,"PCS"),EXACT(Asistencia!J225,"V")),1,0)</f>
        <v>0</v>
      </c>
      <c r="AN214">
        <f>IF(OR(EXACT(Asistencia!K225,"A"),EXACT(Asistencia!K225,"R"),EXACT(Asistencia!K225,"DL"),EXACT(Asistencia!K225,"FL"),EXACT(Asistencia!K225,"FE"),EXACT(Asistencia!K225,"PCS"),EXACT(Asistencia!K225,"V")),1,0)</f>
        <v>0</v>
      </c>
      <c r="AO214">
        <f>IF(OR(EXACT(Asistencia!L225,"A"),EXACT(Asistencia!L225,"R"),EXACT(Asistencia!L225,"DL"),EXACT(Asistencia!L225,"FL"),EXACT(Asistencia!L225,"FE"),EXACT(Asistencia!L225,"PCS"),EXACT(Asistencia!L225,"V")),1,0)</f>
        <v>0</v>
      </c>
      <c r="AP214">
        <f t="shared" si="89"/>
        <v>0</v>
      </c>
      <c r="AQ214">
        <f>IF(EXACT(Asistencia!F225,"FL"),1,0)</f>
        <v>0</v>
      </c>
      <c r="AR214">
        <f>IF(EXACT(Asistencia!G225,"FL"),1,0)</f>
        <v>0</v>
      </c>
      <c r="AS214">
        <f>IF(EXACT(Asistencia!H225,"FL"),1,0)</f>
        <v>0</v>
      </c>
      <c r="AT214">
        <f>IF(EXACT(Asistencia!I225,"FL"),1,0)</f>
        <v>0</v>
      </c>
      <c r="AU214">
        <f>IF(EXACT(Asistencia!J225,"FL"),1,0)</f>
        <v>0</v>
      </c>
      <c r="AV214">
        <f>IF(EXACT(Asistencia!K225,"FL"),1,0)</f>
        <v>0</v>
      </c>
      <c r="AW214">
        <f>IF(EXACT(Asistencia!L225,"FL"),1,0)</f>
        <v>0</v>
      </c>
      <c r="AX214">
        <f t="shared" si="90"/>
        <v>0</v>
      </c>
      <c r="AY214">
        <f>IF(EXACT(Asistencia!F225,"DL"),1,0)</f>
        <v>0</v>
      </c>
      <c r="AZ214">
        <f>IF(EXACT(Asistencia!G225,"DL"),1,0)</f>
        <v>0</v>
      </c>
      <c r="BA214">
        <f>IF(EXACT(Asistencia!H225,"DL"),1,0)</f>
        <v>0</v>
      </c>
      <c r="BB214">
        <f>IF(EXACT(Asistencia!I225,"DL"),1,0)</f>
        <v>0</v>
      </c>
      <c r="BC214">
        <f>IF(EXACT(Asistencia!J225,"DL"),1,0)</f>
        <v>0</v>
      </c>
      <c r="BD214">
        <f>IF(EXACT(Asistencia!K225,"DL"),1,0)</f>
        <v>0</v>
      </c>
      <c r="BE214">
        <f>IF(EXACT(Asistencia!L225,"DL"),1,0)</f>
        <v>0</v>
      </c>
      <c r="BF214">
        <f t="shared" si="91"/>
        <v>0</v>
      </c>
      <c r="BG214">
        <f>IF(ISNUMBER(Asistencia!M225),Asistencia!M225,0)</f>
        <v>0</v>
      </c>
      <c r="BH214">
        <f>IF(ISNUMBER(Asistencia!N225),Asistencia!N225,0)</f>
        <v>0</v>
      </c>
      <c r="BI214">
        <f>IF(ISNUMBER(Asistencia!O225),Asistencia!O225,0)</f>
        <v>0</v>
      </c>
      <c r="BJ214">
        <f>IF(ISNUMBER(Asistencia!P225),Asistencia!P225,0)</f>
        <v>0</v>
      </c>
      <c r="BK214" t="str">
        <f>IF(Asistencia!F225="","",Asistencia!F225)</f>
        <v/>
      </c>
      <c r="BL214" t="str">
        <f>IF(Asistencia!G225="","",Asistencia!G225)</f>
        <v/>
      </c>
      <c r="BM214" t="str">
        <f>IF(Asistencia!H225="","",Asistencia!H225)</f>
        <v/>
      </c>
      <c r="BN214" t="str">
        <f>IF(Asistencia!I225="","",Asistencia!I225)</f>
        <v/>
      </c>
      <c r="BO214" t="str">
        <f>IF(Asistencia!J225="","",Asistencia!J225)</f>
        <v/>
      </c>
      <c r="BP214" t="str">
        <f>IF(Asistencia!K225="","",Asistencia!K225)</f>
        <v/>
      </c>
      <c r="BQ214" t="str">
        <f>IF(Asistencia!L225="","",Asistencia!L225)</f>
        <v/>
      </c>
    </row>
    <row r="215" spans="1:69" x14ac:dyDescent="0.25">
      <c r="A215" s="46"/>
      <c r="B215" s="47"/>
      <c r="C215" s="47"/>
      <c r="D215" s="47"/>
      <c r="E215" s="46"/>
      <c r="F215" s="45"/>
      <c r="G215" s="44"/>
      <c r="H215" s="44"/>
      <c r="I215" s="44"/>
      <c r="J215" s="44"/>
      <c r="K215" s="44"/>
      <c r="L215" s="44"/>
      <c r="M215" s="43"/>
      <c r="N215" s="41"/>
      <c r="O215" s="41"/>
      <c r="P215" s="41"/>
      <c r="Q215" s="41"/>
      <c r="R215" s="41"/>
      <c r="S215" s="41"/>
      <c r="T215" s="48"/>
      <c r="U215" s="41"/>
      <c r="V215" s="41"/>
      <c r="W215" s="42"/>
      <c r="AA215" t="str">
        <f t="shared" si="88"/>
        <v/>
      </c>
      <c r="AB215" t="str">
        <f>IF(Asistencia!A226="","",Asistencia!A226)</f>
        <v/>
      </c>
      <c r="AC215" t="str">
        <f>IF(Asistencia!A226="","",SUBSTITUTE(SUBSTITUTE(SUBSTITUTE(SUBSTITUTE(SUBSTITUTE(SUBSTITUTE(SUBSTITUTE(UPPER(TRIM(Asistencia!A226)),"Á","A"),"É","E"),"Í","I"),"Ó","O"),"Ú","U"),"Ñ","N"),"  "," "))</f>
        <v/>
      </c>
      <c r="AD215" t="str">
        <f>IF(Asistencia!E226="","",Asistencia!E226)</f>
        <v/>
      </c>
      <c r="AE215" t="str">
        <f>IF(Asistencia!D226="","",UPPER(TRIM(Asistencia!D226)))</f>
        <v/>
      </c>
      <c r="AF215" t="s">
        <v>196</v>
      </c>
      <c r="AG215">
        <f>IF(AND(AA215&lt;&gt;"",COUNTIF($AA$5:AA215,AA215)=1),1,0)</f>
        <v>0</v>
      </c>
      <c r="AH215" t="str">
        <f>IF(AG215=1,SUM($AG$5:AG215),"")</f>
        <v/>
      </c>
      <c r="AI215">
        <f>IF(OR(EXACT(Asistencia!F226,"A"),EXACT(Asistencia!F226,"R"),EXACT(Asistencia!F226,"DL"),EXACT(Asistencia!F226,"FL"),EXACT(Asistencia!F226,"FE"),EXACT(Asistencia!F226,"PCS"),EXACT(Asistencia!F226,"V")),1,0)</f>
        <v>0</v>
      </c>
      <c r="AJ215">
        <f>IF(OR(EXACT(Asistencia!G226,"A"),EXACT(Asistencia!G226,"R"),EXACT(Asistencia!G226,"DL"),EXACT(Asistencia!G226,"FL"),EXACT(Asistencia!G226,"FE"),EXACT(Asistencia!G226,"PCS"),EXACT(Asistencia!G226,"V")),1,0)</f>
        <v>0</v>
      </c>
      <c r="AK215">
        <f>IF(OR(EXACT(Asistencia!H226,"A"),EXACT(Asistencia!H226,"R"),EXACT(Asistencia!H226,"DL"),EXACT(Asistencia!H226,"FL"),EXACT(Asistencia!H226,"FE"),EXACT(Asistencia!H226,"PCS"),EXACT(Asistencia!H226,"V")),1,0)</f>
        <v>0</v>
      </c>
      <c r="AL215">
        <f>IF(OR(EXACT(Asistencia!I226,"A"),EXACT(Asistencia!I226,"R"),EXACT(Asistencia!I226,"DL"),EXACT(Asistencia!I226,"FL"),EXACT(Asistencia!I226,"FE"),EXACT(Asistencia!I226,"PCS"),EXACT(Asistencia!I226,"V")),1,0)</f>
        <v>0</v>
      </c>
      <c r="AM215">
        <f>IF(OR(EXACT(Asistencia!J226,"A"),EXACT(Asistencia!J226,"R"),EXACT(Asistencia!J226,"DL"),EXACT(Asistencia!J226,"FL"),EXACT(Asistencia!J226,"FE"),EXACT(Asistencia!J226,"PCS"),EXACT(Asistencia!J226,"V")),1,0)</f>
        <v>0</v>
      </c>
      <c r="AN215">
        <f>IF(OR(EXACT(Asistencia!K226,"A"),EXACT(Asistencia!K226,"R"),EXACT(Asistencia!K226,"DL"),EXACT(Asistencia!K226,"FL"),EXACT(Asistencia!K226,"FE"),EXACT(Asistencia!K226,"PCS"),EXACT(Asistencia!K226,"V")),1,0)</f>
        <v>0</v>
      </c>
      <c r="AO215">
        <f>IF(OR(EXACT(Asistencia!L226,"A"),EXACT(Asistencia!L226,"R"),EXACT(Asistencia!L226,"DL"),EXACT(Asistencia!L226,"FL"),EXACT(Asistencia!L226,"FE"),EXACT(Asistencia!L226,"PCS"),EXACT(Asistencia!L226,"V")),1,0)</f>
        <v>0</v>
      </c>
      <c r="AP215">
        <f t="shared" si="89"/>
        <v>0</v>
      </c>
      <c r="AQ215">
        <f>IF(EXACT(Asistencia!F226,"FL"),1,0)</f>
        <v>0</v>
      </c>
      <c r="AR215">
        <f>IF(EXACT(Asistencia!G226,"FL"),1,0)</f>
        <v>0</v>
      </c>
      <c r="AS215">
        <f>IF(EXACT(Asistencia!H226,"FL"),1,0)</f>
        <v>0</v>
      </c>
      <c r="AT215">
        <f>IF(EXACT(Asistencia!I226,"FL"),1,0)</f>
        <v>0</v>
      </c>
      <c r="AU215">
        <f>IF(EXACT(Asistencia!J226,"FL"),1,0)</f>
        <v>0</v>
      </c>
      <c r="AV215">
        <f>IF(EXACT(Asistencia!K226,"FL"),1,0)</f>
        <v>0</v>
      </c>
      <c r="AW215">
        <f>IF(EXACT(Asistencia!L226,"FL"),1,0)</f>
        <v>0</v>
      </c>
      <c r="AX215">
        <f t="shared" si="90"/>
        <v>0</v>
      </c>
      <c r="AY215">
        <f>IF(EXACT(Asistencia!F226,"DL"),1,0)</f>
        <v>0</v>
      </c>
      <c r="AZ215">
        <f>IF(EXACT(Asistencia!G226,"DL"),1,0)</f>
        <v>0</v>
      </c>
      <c r="BA215">
        <f>IF(EXACT(Asistencia!H226,"DL"),1,0)</f>
        <v>0</v>
      </c>
      <c r="BB215">
        <f>IF(EXACT(Asistencia!I226,"DL"),1,0)</f>
        <v>0</v>
      </c>
      <c r="BC215">
        <f>IF(EXACT(Asistencia!J226,"DL"),1,0)</f>
        <v>0</v>
      </c>
      <c r="BD215">
        <f>IF(EXACT(Asistencia!K226,"DL"),1,0)</f>
        <v>0</v>
      </c>
      <c r="BE215">
        <f>IF(EXACT(Asistencia!L226,"DL"),1,0)</f>
        <v>0</v>
      </c>
      <c r="BF215">
        <f t="shared" si="91"/>
        <v>0</v>
      </c>
      <c r="BG215">
        <f>IF(ISNUMBER(Asistencia!M226),Asistencia!M226,0)</f>
        <v>0</v>
      </c>
      <c r="BH215">
        <f>IF(ISNUMBER(Asistencia!N226),Asistencia!N226,0)</f>
        <v>0</v>
      </c>
      <c r="BI215">
        <f>IF(ISNUMBER(Asistencia!O226),Asistencia!O226,0)</f>
        <v>0</v>
      </c>
      <c r="BJ215">
        <f>IF(ISNUMBER(Asistencia!P226),Asistencia!P226,0)</f>
        <v>0</v>
      </c>
      <c r="BK215" t="str">
        <f>IF(Asistencia!F226="","",Asistencia!F226)</f>
        <v/>
      </c>
      <c r="BL215" t="str">
        <f>IF(Asistencia!G226="","",Asistencia!G226)</f>
        <v/>
      </c>
      <c r="BM215" t="str">
        <f>IF(Asistencia!H226="","",Asistencia!H226)</f>
        <v/>
      </c>
      <c r="BN215" t="str">
        <f>IF(Asistencia!I226="","",Asistencia!I226)</f>
        <v/>
      </c>
      <c r="BO215" t="str">
        <f>IF(Asistencia!J226="","",Asistencia!J226)</f>
        <v/>
      </c>
      <c r="BP215" t="str">
        <f>IF(Asistencia!K226="","",Asistencia!K226)</f>
        <v/>
      </c>
      <c r="BQ215" t="str">
        <f>IF(Asistencia!L226="","",Asistencia!L226)</f>
        <v/>
      </c>
    </row>
    <row r="216" spans="1:69" x14ac:dyDescent="0.25">
      <c r="A216" s="46"/>
      <c r="B216" s="47"/>
      <c r="C216" s="47"/>
      <c r="D216" s="47"/>
      <c r="E216" s="46"/>
      <c r="F216" s="45"/>
      <c r="G216" s="44"/>
      <c r="H216" s="44"/>
      <c r="I216" s="44"/>
      <c r="J216" s="44"/>
      <c r="K216" s="44"/>
      <c r="L216" s="44"/>
      <c r="M216" s="43"/>
      <c r="N216" s="41"/>
      <c r="O216" s="41"/>
      <c r="P216" s="41"/>
      <c r="Q216" s="41"/>
      <c r="R216" s="41"/>
      <c r="S216" s="41"/>
      <c r="T216" s="48"/>
      <c r="U216" s="41"/>
      <c r="V216" s="41"/>
      <c r="W216" s="42"/>
      <c r="AA216" t="str">
        <f t="shared" si="88"/>
        <v/>
      </c>
      <c r="AB216" t="str">
        <f>IF(Asistencia!A227="","",Asistencia!A227)</f>
        <v/>
      </c>
      <c r="AC216" t="str">
        <f>IF(Asistencia!A227="","",SUBSTITUTE(SUBSTITUTE(SUBSTITUTE(SUBSTITUTE(SUBSTITUTE(SUBSTITUTE(SUBSTITUTE(UPPER(TRIM(Asistencia!A227)),"Á","A"),"É","E"),"Í","I"),"Ó","O"),"Ú","U"),"Ñ","N"),"  "," "))</f>
        <v/>
      </c>
      <c r="AD216" t="str">
        <f>IF(Asistencia!E227="","",Asistencia!E227)</f>
        <v/>
      </c>
      <c r="AE216" t="str">
        <f>IF(Asistencia!D227="","",UPPER(TRIM(Asistencia!D227)))</f>
        <v/>
      </c>
      <c r="AF216" t="s">
        <v>196</v>
      </c>
      <c r="AG216">
        <f>IF(AND(AA216&lt;&gt;"",COUNTIF($AA$5:AA216,AA216)=1),1,0)</f>
        <v>0</v>
      </c>
      <c r="AH216" t="str">
        <f>IF(AG216=1,SUM($AG$5:AG216),"")</f>
        <v/>
      </c>
      <c r="AI216">
        <f>IF(OR(EXACT(Asistencia!F227,"A"),EXACT(Asistencia!F227,"R"),EXACT(Asistencia!F227,"DL"),EXACT(Asistencia!F227,"FL"),EXACT(Asistencia!F227,"FE"),EXACT(Asistencia!F227,"PCS"),EXACT(Asistencia!F227,"V")),1,0)</f>
        <v>0</v>
      </c>
      <c r="AJ216">
        <f>IF(OR(EXACT(Asistencia!G227,"A"),EXACT(Asistencia!G227,"R"),EXACT(Asistencia!G227,"DL"),EXACT(Asistencia!G227,"FL"),EXACT(Asistencia!G227,"FE"),EXACT(Asistencia!G227,"PCS"),EXACT(Asistencia!G227,"V")),1,0)</f>
        <v>0</v>
      </c>
      <c r="AK216">
        <f>IF(OR(EXACT(Asistencia!H227,"A"),EXACT(Asistencia!H227,"R"),EXACT(Asistencia!H227,"DL"),EXACT(Asistencia!H227,"FL"),EXACT(Asistencia!H227,"FE"),EXACT(Asistencia!H227,"PCS"),EXACT(Asistencia!H227,"V")),1,0)</f>
        <v>0</v>
      </c>
      <c r="AL216">
        <f>IF(OR(EXACT(Asistencia!I227,"A"),EXACT(Asistencia!I227,"R"),EXACT(Asistencia!I227,"DL"),EXACT(Asistencia!I227,"FL"),EXACT(Asistencia!I227,"FE"),EXACT(Asistencia!I227,"PCS"),EXACT(Asistencia!I227,"V")),1,0)</f>
        <v>0</v>
      </c>
      <c r="AM216">
        <f>IF(OR(EXACT(Asistencia!J227,"A"),EXACT(Asistencia!J227,"R"),EXACT(Asistencia!J227,"DL"),EXACT(Asistencia!J227,"FL"),EXACT(Asistencia!J227,"FE"),EXACT(Asistencia!J227,"PCS"),EXACT(Asistencia!J227,"V")),1,0)</f>
        <v>0</v>
      </c>
      <c r="AN216">
        <f>IF(OR(EXACT(Asistencia!K227,"A"),EXACT(Asistencia!K227,"R"),EXACT(Asistencia!K227,"DL"),EXACT(Asistencia!K227,"FL"),EXACT(Asistencia!K227,"FE"),EXACT(Asistencia!K227,"PCS"),EXACT(Asistencia!K227,"V")),1,0)</f>
        <v>0</v>
      </c>
      <c r="AO216">
        <f>IF(OR(EXACT(Asistencia!L227,"A"),EXACT(Asistencia!L227,"R"),EXACT(Asistencia!L227,"DL"),EXACT(Asistencia!L227,"FL"),EXACT(Asistencia!L227,"FE"),EXACT(Asistencia!L227,"PCS"),EXACT(Asistencia!L227,"V")),1,0)</f>
        <v>0</v>
      </c>
      <c r="AP216">
        <f t="shared" si="89"/>
        <v>0</v>
      </c>
      <c r="AQ216">
        <f>IF(EXACT(Asistencia!F227,"FL"),1,0)</f>
        <v>0</v>
      </c>
      <c r="AR216">
        <f>IF(EXACT(Asistencia!G227,"FL"),1,0)</f>
        <v>0</v>
      </c>
      <c r="AS216">
        <f>IF(EXACT(Asistencia!H227,"FL"),1,0)</f>
        <v>0</v>
      </c>
      <c r="AT216">
        <f>IF(EXACT(Asistencia!I227,"FL"),1,0)</f>
        <v>0</v>
      </c>
      <c r="AU216">
        <f>IF(EXACT(Asistencia!J227,"FL"),1,0)</f>
        <v>0</v>
      </c>
      <c r="AV216">
        <f>IF(EXACT(Asistencia!K227,"FL"),1,0)</f>
        <v>0</v>
      </c>
      <c r="AW216">
        <f>IF(EXACT(Asistencia!L227,"FL"),1,0)</f>
        <v>0</v>
      </c>
      <c r="AX216">
        <f t="shared" si="90"/>
        <v>0</v>
      </c>
      <c r="AY216">
        <f>IF(EXACT(Asistencia!F227,"DL"),1,0)</f>
        <v>0</v>
      </c>
      <c r="AZ216">
        <f>IF(EXACT(Asistencia!G227,"DL"),1,0)</f>
        <v>0</v>
      </c>
      <c r="BA216">
        <f>IF(EXACT(Asistencia!H227,"DL"),1,0)</f>
        <v>0</v>
      </c>
      <c r="BB216">
        <f>IF(EXACT(Asistencia!I227,"DL"),1,0)</f>
        <v>0</v>
      </c>
      <c r="BC216">
        <f>IF(EXACT(Asistencia!J227,"DL"),1,0)</f>
        <v>0</v>
      </c>
      <c r="BD216">
        <f>IF(EXACT(Asistencia!K227,"DL"),1,0)</f>
        <v>0</v>
      </c>
      <c r="BE216">
        <f>IF(EXACT(Asistencia!L227,"DL"),1,0)</f>
        <v>0</v>
      </c>
      <c r="BF216">
        <f t="shared" si="91"/>
        <v>0</v>
      </c>
      <c r="BG216">
        <f>IF(ISNUMBER(Asistencia!M227),Asistencia!M227,0)</f>
        <v>0</v>
      </c>
      <c r="BH216">
        <f>IF(ISNUMBER(Asistencia!N227),Asistencia!N227,0)</f>
        <v>0</v>
      </c>
      <c r="BI216">
        <f>IF(ISNUMBER(Asistencia!O227),Asistencia!O227,0)</f>
        <v>0</v>
      </c>
      <c r="BJ216">
        <f>IF(ISNUMBER(Asistencia!P227),Asistencia!P227,0)</f>
        <v>0</v>
      </c>
      <c r="BK216" t="str">
        <f>IF(Asistencia!F227="","",Asistencia!F227)</f>
        <v/>
      </c>
      <c r="BL216" t="str">
        <f>IF(Asistencia!G227="","",Asistencia!G227)</f>
        <v/>
      </c>
      <c r="BM216" t="str">
        <f>IF(Asistencia!H227="","",Asistencia!H227)</f>
        <v/>
      </c>
      <c r="BN216" t="str">
        <f>IF(Asistencia!I227="","",Asistencia!I227)</f>
        <v/>
      </c>
      <c r="BO216" t="str">
        <f>IF(Asistencia!J227="","",Asistencia!J227)</f>
        <v/>
      </c>
      <c r="BP216" t="str">
        <f>IF(Asistencia!K227="","",Asistencia!K227)</f>
        <v/>
      </c>
      <c r="BQ216" t="str">
        <f>IF(Asistencia!L227="","",Asistencia!L227)</f>
        <v/>
      </c>
    </row>
    <row r="217" spans="1:69" x14ac:dyDescent="0.25">
      <c r="A217" s="46"/>
      <c r="B217" s="47"/>
      <c r="C217" s="47"/>
      <c r="D217" s="47"/>
      <c r="E217" s="46"/>
      <c r="F217" s="45"/>
      <c r="G217" s="44"/>
      <c r="H217" s="44"/>
      <c r="I217" s="44"/>
      <c r="J217" s="44"/>
      <c r="K217" s="44"/>
      <c r="L217" s="44"/>
      <c r="M217" s="43"/>
      <c r="N217" s="41"/>
      <c r="O217" s="41"/>
      <c r="P217" s="41"/>
      <c r="Q217" s="41"/>
      <c r="R217" s="41"/>
      <c r="S217" s="41"/>
      <c r="T217" s="48"/>
      <c r="U217" s="41"/>
      <c r="V217" s="41"/>
      <c r="W217" s="42"/>
      <c r="AA217" t="str">
        <f t="shared" si="88"/>
        <v/>
      </c>
      <c r="AB217" t="str">
        <f>IF(Asistencia!A228="","",Asistencia!A228)</f>
        <v/>
      </c>
      <c r="AC217" t="str">
        <f>IF(Asistencia!A228="","",SUBSTITUTE(SUBSTITUTE(SUBSTITUTE(SUBSTITUTE(SUBSTITUTE(SUBSTITUTE(SUBSTITUTE(UPPER(TRIM(Asistencia!A228)),"Á","A"),"É","E"),"Í","I"),"Ó","O"),"Ú","U"),"Ñ","N"),"  "," "))</f>
        <v/>
      </c>
      <c r="AD217" t="str">
        <f>IF(Asistencia!E228="","",Asistencia!E228)</f>
        <v/>
      </c>
      <c r="AE217" t="str">
        <f>IF(Asistencia!D228="","",UPPER(TRIM(Asistencia!D228)))</f>
        <v/>
      </c>
      <c r="AF217" t="s">
        <v>196</v>
      </c>
      <c r="AG217">
        <f>IF(AND(AA217&lt;&gt;"",COUNTIF($AA$5:AA217,AA217)=1),1,0)</f>
        <v>0</v>
      </c>
      <c r="AH217" t="str">
        <f>IF(AG217=1,SUM($AG$5:AG217),"")</f>
        <v/>
      </c>
      <c r="AI217">
        <f>IF(OR(EXACT(Asistencia!F228,"A"),EXACT(Asistencia!F228,"R"),EXACT(Asistencia!F228,"DL"),EXACT(Asistencia!F228,"FL"),EXACT(Asistencia!F228,"FE"),EXACT(Asistencia!F228,"PCS"),EXACT(Asistencia!F228,"V")),1,0)</f>
        <v>0</v>
      </c>
      <c r="AJ217">
        <f>IF(OR(EXACT(Asistencia!G228,"A"),EXACT(Asistencia!G228,"R"),EXACT(Asistencia!G228,"DL"),EXACT(Asistencia!G228,"FL"),EXACT(Asistencia!G228,"FE"),EXACT(Asistencia!G228,"PCS"),EXACT(Asistencia!G228,"V")),1,0)</f>
        <v>0</v>
      </c>
      <c r="AK217">
        <f>IF(OR(EXACT(Asistencia!H228,"A"),EXACT(Asistencia!H228,"R"),EXACT(Asistencia!H228,"DL"),EXACT(Asistencia!H228,"FL"),EXACT(Asistencia!H228,"FE"),EXACT(Asistencia!H228,"PCS"),EXACT(Asistencia!H228,"V")),1,0)</f>
        <v>0</v>
      </c>
      <c r="AL217">
        <f>IF(OR(EXACT(Asistencia!I228,"A"),EXACT(Asistencia!I228,"R"),EXACT(Asistencia!I228,"DL"),EXACT(Asistencia!I228,"FL"),EXACT(Asistencia!I228,"FE"),EXACT(Asistencia!I228,"PCS"),EXACT(Asistencia!I228,"V")),1,0)</f>
        <v>0</v>
      </c>
      <c r="AM217">
        <f>IF(OR(EXACT(Asistencia!J228,"A"),EXACT(Asistencia!J228,"R"),EXACT(Asistencia!J228,"DL"),EXACT(Asistencia!J228,"FL"),EXACT(Asistencia!J228,"FE"),EXACT(Asistencia!J228,"PCS"),EXACT(Asistencia!J228,"V")),1,0)</f>
        <v>0</v>
      </c>
      <c r="AN217">
        <f>IF(OR(EXACT(Asistencia!K228,"A"),EXACT(Asistencia!K228,"R"),EXACT(Asistencia!K228,"DL"),EXACT(Asistencia!K228,"FL"),EXACT(Asistencia!K228,"FE"),EXACT(Asistencia!K228,"PCS"),EXACT(Asistencia!K228,"V")),1,0)</f>
        <v>0</v>
      </c>
      <c r="AO217">
        <f>IF(OR(EXACT(Asistencia!L228,"A"),EXACT(Asistencia!L228,"R"),EXACT(Asistencia!L228,"DL"),EXACT(Asistencia!L228,"FL"),EXACT(Asistencia!L228,"FE"),EXACT(Asistencia!L228,"PCS"),EXACT(Asistencia!L228,"V")),1,0)</f>
        <v>0</v>
      </c>
      <c r="AP217">
        <f t="shared" si="89"/>
        <v>0</v>
      </c>
      <c r="AQ217">
        <f>IF(EXACT(Asistencia!F228,"FL"),1,0)</f>
        <v>0</v>
      </c>
      <c r="AR217">
        <f>IF(EXACT(Asistencia!G228,"FL"),1,0)</f>
        <v>0</v>
      </c>
      <c r="AS217">
        <f>IF(EXACT(Asistencia!H228,"FL"),1,0)</f>
        <v>0</v>
      </c>
      <c r="AT217">
        <f>IF(EXACT(Asistencia!I228,"FL"),1,0)</f>
        <v>0</v>
      </c>
      <c r="AU217">
        <f>IF(EXACT(Asistencia!J228,"FL"),1,0)</f>
        <v>0</v>
      </c>
      <c r="AV217">
        <f>IF(EXACT(Asistencia!K228,"FL"),1,0)</f>
        <v>0</v>
      </c>
      <c r="AW217">
        <f>IF(EXACT(Asistencia!L228,"FL"),1,0)</f>
        <v>0</v>
      </c>
      <c r="AX217">
        <f t="shared" si="90"/>
        <v>0</v>
      </c>
      <c r="AY217">
        <f>IF(EXACT(Asistencia!F228,"DL"),1,0)</f>
        <v>0</v>
      </c>
      <c r="AZ217">
        <f>IF(EXACT(Asistencia!G228,"DL"),1,0)</f>
        <v>0</v>
      </c>
      <c r="BA217">
        <f>IF(EXACT(Asistencia!H228,"DL"),1,0)</f>
        <v>0</v>
      </c>
      <c r="BB217">
        <f>IF(EXACT(Asistencia!I228,"DL"),1,0)</f>
        <v>0</v>
      </c>
      <c r="BC217">
        <f>IF(EXACT(Asistencia!J228,"DL"),1,0)</f>
        <v>0</v>
      </c>
      <c r="BD217">
        <f>IF(EXACT(Asistencia!K228,"DL"),1,0)</f>
        <v>0</v>
      </c>
      <c r="BE217">
        <f>IF(EXACT(Asistencia!L228,"DL"),1,0)</f>
        <v>0</v>
      </c>
      <c r="BF217">
        <f t="shared" si="91"/>
        <v>0</v>
      </c>
      <c r="BG217">
        <f>IF(ISNUMBER(Asistencia!M228),Asistencia!M228,0)</f>
        <v>0</v>
      </c>
      <c r="BH217">
        <f>IF(ISNUMBER(Asistencia!N228),Asistencia!N228,0)</f>
        <v>0</v>
      </c>
      <c r="BI217">
        <f>IF(ISNUMBER(Asistencia!O228),Asistencia!O228,0)</f>
        <v>0</v>
      </c>
      <c r="BJ217">
        <f>IF(ISNUMBER(Asistencia!P228),Asistencia!P228,0)</f>
        <v>0</v>
      </c>
      <c r="BK217" t="str">
        <f>IF(Asistencia!F228="","",Asistencia!F228)</f>
        <v/>
      </c>
      <c r="BL217" t="str">
        <f>IF(Asistencia!G228="","",Asistencia!G228)</f>
        <v/>
      </c>
      <c r="BM217" t="str">
        <f>IF(Asistencia!H228="","",Asistencia!H228)</f>
        <v/>
      </c>
      <c r="BN217" t="str">
        <f>IF(Asistencia!I228="","",Asistencia!I228)</f>
        <v/>
      </c>
      <c r="BO217" t="str">
        <f>IF(Asistencia!J228="","",Asistencia!J228)</f>
        <v/>
      </c>
      <c r="BP217" t="str">
        <f>IF(Asistencia!K228="","",Asistencia!K228)</f>
        <v/>
      </c>
      <c r="BQ217" t="str">
        <f>IF(Asistencia!L228="","",Asistencia!L228)</f>
        <v/>
      </c>
    </row>
    <row r="218" spans="1:69" x14ac:dyDescent="0.25">
      <c r="A218" s="46"/>
      <c r="B218" s="47"/>
      <c r="C218" s="47"/>
      <c r="D218" s="47"/>
      <c r="E218" s="46"/>
      <c r="F218" s="45"/>
      <c r="G218" s="44"/>
      <c r="H218" s="44"/>
      <c r="I218" s="44"/>
      <c r="J218" s="44"/>
      <c r="K218" s="44"/>
      <c r="L218" s="44"/>
      <c r="M218" s="43"/>
      <c r="N218" s="41"/>
      <c r="O218" s="41"/>
      <c r="P218" s="41"/>
      <c r="Q218" s="41"/>
      <c r="R218" s="41"/>
      <c r="S218" s="41"/>
      <c r="T218" s="48"/>
      <c r="U218" s="41"/>
      <c r="V218" s="41"/>
      <c r="W218" s="42"/>
      <c r="AA218" t="str">
        <f t="shared" si="88"/>
        <v/>
      </c>
      <c r="AB218" t="str">
        <f>IF(Asistencia!A229="","",Asistencia!A229)</f>
        <v/>
      </c>
      <c r="AC218" t="str">
        <f>IF(Asistencia!A229="","",SUBSTITUTE(SUBSTITUTE(SUBSTITUTE(SUBSTITUTE(SUBSTITUTE(SUBSTITUTE(SUBSTITUTE(UPPER(TRIM(Asistencia!A229)),"Á","A"),"É","E"),"Í","I"),"Ó","O"),"Ú","U"),"Ñ","N"),"  "," "))</f>
        <v/>
      </c>
      <c r="AD218" t="str">
        <f>IF(Asistencia!E229="","",Asistencia!E229)</f>
        <v/>
      </c>
      <c r="AE218" t="str">
        <f>IF(Asistencia!D229="","",UPPER(TRIM(Asistencia!D229)))</f>
        <v/>
      </c>
      <c r="AF218" t="s">
        <v>196</v>
      </c>
      <c r="AG218">
        <f>IF(AND(AA218&lt;&gt;"",COUNTIF($AA$5:AA218,AA218)=1),1,0)</f>
        <v>0</v>
      </c>
      <c r="AH218" t="str">
        <f>IF(AG218=1,SUM($AG$5:AG218),"")</f>
        <v/>
      </c>
      <c r="AI218">
        <f>IF(OR(EXACT(Asistencia!F229,"A"),EXACT(Asistencia!F229,"R"),EXACT(Asistencia!F229,"DL"),EXACT(Asistencia!F229,"FL"),EXACT(Asistencia!F229,"FE"),EXACT(Asistencia!F229,"PCS"),EXACT(Asistencia!F229,"V")),1,0)</f>
        <v>0</v>
      </c>
      <c r="AJ218">
        <f>IF(OR(EXACT(Asistencia!G229,"A"),EXACT(Asistencia!G229,"R"),EXACT(Asistencia!G229,"DL"),EXACT(Asistencia!G229,"FL"),EXACT(Asistencia!G229,"FE"),EXACT(Asistencia!G229,"PCS"),EXACT(Asistencia!G229,"V")),1,0)</f>
        <v>0</v>
      </c>
      <c r="AK218">
        <f>IF(OR(EXACT(Asistencia!H229,"A"),EXACT(Asistencia!H229,"R"),EXACT(Asistencia!H229,"DL"),EXACT(Asistencia!H229,"FL"),EXACT(Asistencia!H229,"FE"),EXACT(Asistencia!H229,"PCS"),EXACT(Asistencia!H229,"V")),1,0)</f>
        <v>0</v>
      </c>
      <c r="AL218">
        <f>IF(OR(EXACT(Asistencia!I229,"A"),EXACT(Asistencia!I229,"R"),EXACT(Asistencia!I229,"DL"),EXACT(Asistencia!I229,"FL"),EXACT(Asistencia!I229,"FE"),EXACT(Asistencia!I229,"PCS"),EXACT(Asistencia!I229,"V")),1,0)</f>
        <v>0</v>
      </c>
      <c r="AM218">
        <f>IF(OR(EXACT(Asistencia!J229,"A"),EXACT(Asistencia!J229,"R"),EXACT(Asistencia!J229,"DL"),EXACT(Asistencia!J229,"FL"),EXACT(Asistencia!J229,"FE"),EXACT(Asistencia!J229,"PCS"),EXACT(Asistencia!J229,"V")),1,0)</f>
        <v>0</v>
      </c>
      <c r="AN218">
        <f>IF(OR(EXACT(Asistencia!K229,"A"),EXACT(Asistencia!K229,"R"),EXACT(Asistencia!K229,"DL"),EXACT(Asistencia!K229,"FL"),EXACT(Asistencia!K229,"FE"),EXACT(Asistencia!K229,"PCS"),EXACT(Asistencia!K229,"V")),1,0)</f>
        <v>0</v>
      </c>
      <c r="AO218">
        <f>IF(OR(EXACT(Asistencia!L229,"A"),EXACT(Asistencia!L229,"R"),EXACT(Asistencia!L229,"DL"),EXACT(Asistencia!L229,"FL"),EXACT(Asistencia!L229,"FE"),EXACT(Asistencia!L229,"PCS"),EXACT(Asistencia!L229,"V")),1,0)</f>
        <v>0</v>
      </c>
      <c r="AP218">
        <f t="shared" si="89"/>
        <v>0</v>
      </c>
      <c r="AQ218">
        <f>IF(EXACT(Asistencia!F229,"FL"),1,0)</f>
        <v>0</v>
      </c>
      <c r="AR218">
        <f>IF(EXACT(Asistencia!G229,"FL"),1,0)</f>
        <v>0</v>
      </c>
      <c r="AS218">
        <f>IF(EXACT(Asistencia!H229,"FL"),1,0)</f>
        <v>0</v>
      </c>
      <c r="AT218">
        <f>IF(EXACT(Asistencia!I229,"FL"),1,0)</f>
        <v>0</v>
      </c>
      <c r="AU218">
        <f>IF(EXACT(Asistencia!J229,"FL"),1,0)</f>
        <v>0</v>
      </c>
      <c r="AV218">
        <f>IF(EXACT(Asistencia!K229,"FL"),1,0)</f>
        <v>0</v>
      </c>
      <c r="AW218">
        <f>IF(EXACT(Asistencia!L229,"FL"),1,0)</f>
        <v>0</v>
      </c>
      <c r="AX218">
        <f t="shared" si="90"/>
        <v>0</v>
      </c>
      <c r="AY218">
        <f>IF(EXACT(Asistencia!F229,"DL"),1,0)</f>
        <v>0</v>
      </c>
      <c r="AZ218">
        <f>IF(EXACT(Asistencia!G229,"DL"),1,0)</f>
        <v>0</v>
      </c>
      <c r="BA218">
        <f>IF(EXACT(Asistencia!H229,"DL"),1,0)</f>
        <v>0</v>
      </c>
      <c r="BB218">
        <f>IF(EXACT(Asistencia!I229,"DL"),1,0)</f>
        <v>0</v>
      </c>
      <c r="BC218">
        <f>IF(EXACT(Asistencia!J229,"DL"),1,0)</f>
        <v>0</v>
      </c>
      <c r="BD218">
        <f>IF(EXACT(Asistencia!K229,"DL"),1,0)</f>
        <v>0</v>
      </c>
      <c r="BE218">
        <f>IF(EXACT(Asistencia!L229,"DL"),1,0)</f>
        <v>0</v>
      </c>
      <c r="BF218">
        <f t="shared" si="91"/>
        <v>0</v>
      </c>
      <c r="BG218">
        <f>IF(ISNUMBER(Asistencia!M229),Asistencia!M229,0)</f>
        <v>0</v>
      </c>
      <c r="BH218">
        <f>IF(ISNUMBER(Asistencia!N229),Asistencia!N229,0)</f>
        <v>0</v>
      </c>
      <c r="BI218">
        <f>IF(ISNUMBER(Asistencia!O229),Asistencia!O229,0)</f>
        <v>0</v>
      </c>
      <c r="BJ218">
        <f>IF(ISNUMBER(Asistencia!P229),Asistencia!P229,0)</f>
        <v>0</v>
      </c>
      <c r="BK218" t="str">
        <f>IF(Asistencia!F229="","",Asistencia!F229)</f>
        <v/>
      </c>
      <c r="BL218" t="str">
        <f>IF(Asistencia!G229="","",Asistencia!G229)</f>
        <v/>
      </c>
      <c r="BM218" t="str">
        <f>IF(Asistencia!H229="","",Asistencia!H229)</f>
        <v/>
      </c>
      <c r="BN218" t="str">
        <f>IF(Asistencia!I229="","",Asistencia!I229)</f>
        <v/>
      </c>
      <c r="BO218" t="str">
        <f>IF(Asistencia!J229="","",Asistencia!J229)</f>
        <v/>
      </c>
      <c r="BP218" t="str">
        <f>IF(Asistencia!K229="","",Asistencia!K229)</f>
        <v/>
      </c>
      <c r="BQ218" t="str">
        <f>IF(Asistencia!L229="","",Asistencia!L229)</f>
        <v/>
      </c>
    </row>
    <row r="219" spans="1:69" x14ac:dyDescent="0.25">
      <c r="A219" s="46"/>
      <c r="B219" s="47"/>
      <c r="C219" s="47"/>
      <c r="D219" s="47"/>
      <c r="E219" s="46"/>
      <c r="F219" s="45"/>
      <c r="G219" s="44"/>
      <c r="H219" s="44"/>
      <c r="I219" s="44"/>
      <c r="J219" s="44"/>
      <c r="K219" s="44"/>
      <c r="L219" s="44"/>
      <c r="M219" s="43"/>
      <c r="N219" s="41"/>
      <c r="O219" s="41"/>
      <c r="P219" s="41"/>
      <c r="Q219" s="41"/>
      <c r="R219" s="41"/>
      <c r="S219" s="41"/>
      <c r="T219" s="48"/>
      <c r="U219" s="41"/>
      <c r="V219" s="41"/>
      <c r="W219" s="42"/>
      <c r="AA219" t="str">
        <f t="shared" si="88"/>
        <v/>
      </c>
      <c r="AB219" t="str">
        <f>IF(Asistencia!A230="","",Asistencia!A230)</f>
        <v/>
      </c>
      <c r="AC219" t="str">
        <f>IF(Asistencia!A230="","",SUBSTITUTE(SUBSTITUTE(SUBSTITUTE(SUBSTITUTE(SUBSTITUTE(SUBSTITUTE(SUBSTITUTE(UPPER(TRIM(Asistencia!A230)),"Á","A"),"É","E"),"Í","I"),"Ó","O"),"Ú","U"),"Ñ","N"),"  "," "))</f>
        <v/>
      </c>
      <c r="AD219" t="str">
        <f>IF(Asistencia!E230="","",Asistencia!E230)</f>
        <v/>
      </c>
      <c r="AE219" t="str">
        <f>IF(Asistencia!D230="","",UPPER(TRIM(Asistencia!D230)))</f>
        <v/>
      </c>
      <c r="AF219" t="s">
        <v>196</v>
      </c>
      <c r="AG219">
        <f>IF(AND(AA219&lt;&gt;"",COUNTIF($AA$5:AA219,AA219)=1),1,0)</f>
        <v>0</v>
      </c>
      <c r="AH219" t="str">
        <f>IF(AG219=1,SUM($AG$5:AG219),"")</f>
        <v/>
      </c>
      <c r="AI219">
        <f>IF(OR(EXACT(Asistencia!F230,"A"),EXACT(Asistencia!F230,"R"),EXACT(Asistencia!F230,"DL"),EXACT(Asistencia!F230,"FL"),EXACT(Asistencia!F230,"FE"),EXACT(Asistencia!F230,"PCS"),EXACT(Asistencia!F230,"V")),1,0)</f>
        <v>0</v>
      </c>
      <c r="AJ219">
        <f>IF(OR(EXACT(Asistencia!G230,"A"),EXACT(Asistencia!G230,"R"),EXACT(Asistencia!G230,"DL"),EXACT(Asistencia!G230,"FL"),EXACT(Asistencia!G230,"FE"),EXACT(Asistencia!G230,"PCS"),EXACT(Asistencia!G230,"V")),1,0)</f>
        <v>0</v>
      </c>
      <c r="AK219">
        <f>IF(OR(EXACT(Asistencia!H230,"A"),EXACT(Asistencia!H230,"R"),EXACT(Asistencia!H230,"DL"),EXACT(Asistencia!H230,"FL"),EXACT(Asistencia!H230,"FE"),EXACT(Asistencia!H230,"PCS"),EXACT(Asistencia!H230,"V")),1,0)</f>
        <v>0</v>
      </c>
      <c r="AL219">
        <f>IF(OR(EXACT(Asistencia!I230,"A"),EXACT(Asistencia!I230,"R"),EXACT(Asistencia!I230,"DL"),EXACT(Asistencia!I230,"FL"),EXACT(Asistencia!I230,"FE"),EXACT(Asistencia!I230,"PCS"),EXACT(Asistencia!I230,"V")),1,0)</f>
        <v>0</v>
      </c>
      <c r="AM219">
        <f>IF(OR(EXACT(Asistencia!J230,"A"),EXACT(Asistencia!J230,"R"),EXACT(Asistencia!J230,"DL"),EXACT(Asistencia!J230,"FL"),EXACT(Asistencia!J230,"FE"),EXACT(Asistencia!J230,"PCS"),EXACT(Asistencia!J230,"V")),1,0)</f>
        <v>0</v>
      </c>
      <c r="AN219">
        <f>IF(OR(EXACT(Asistencia!K230,"A"),EXACT(Asistencia!K230,"R"),EXACT(Asistencia!K230,"DL"),EXACT(Asistencia!K230,"FL"),EXACT(Asistencia!K230,"FE"),EXACT(Asistencia!K230,"PCS"),EXACT(Asistencia!K230,"V")),1,0)</f>
        <v>0</v>
      </c>
      <c r="AO219">
        <f>IF(OR(EXACT(Asistencia!L230,"A"),EXACT(Asistencia!L230,"R"),EXACT(Asistencia!L230,"DL"),EXACT(Asistencia!L230,"FL"),EXACT(Asistencia!L230,"FE"),EXACT(Asistencia!L230,"PCS"),EXACT(Asistencia!L230,"V")),1,0)</f>
        <v>0</v>
      </c>
      <c r="AP219">
        <f t="shared" si="89"/>
        <v>0</v>
      </c>
      <c r="AQ219">
        <f>IF(EXACT(Asistencia!F230,"FL"),1,0)</f>
        <v>0</v>
      </c>
      <c r="AR219">
        <f>IF(EXACT(Asistencia!G230,"FL"),1,0)</f>
        <v>0</v>
      </c>
      <c r="AS219">
        <f>IF(EXACT(Asistencia!H230,"FL"),1,0)</f>
        <v>0</v>
      </c>
      <c r="AT219">
        <f>IF(EXACT(Asistencia!I230,"FL"),1,0)</f>
        <v>0</v>
      </c>
      <c r="AU219">
        <f>IF(EXACT(Asistencia!J230,"FL"),1,0)</f>
        <v>0</v>
      </c>
      <c r="AV219">
        <f>IF(EXACT(Asistencia!K230,"FL"),1,0)</f>
        <v>0</v>
      </c>
      <c r="AW219">
        <f>IF(EXACT(Asistencia!L230,"FL"),1,0)</f>
        <v>0</v>
      </c>
      <c r="AX219">
        <f t="shared" si="90"/>
        <v>0</v>
      </c>
      <c r="AY219">
        <f>IF(EXACT(Asistencia!F230,"DL"),1,0)</f>
        <v>0</v>
      </c>
      <c r="AZ219">
        <f>IF(EXACT(Asistencia!G230,"DL"),1,0)</f>
        <v>0</v>
      </c>
      <c r="BA219">
        <f>IF(EXACT(Asistencia!H230,"DL"),1,0)</f>
        <v>0</v>
      </c>
      <c r="BB219">
        <f>IF(EXACT(Asistencia!I230,"DL"),1,0)</f>
        <v>0</v>
      </c>
      <c r="BC219">
        <f>IF(EXACT(Asistencia!J230,"DL"),1,0)</f>
        <v>0</v>
      </c>
      <c r="BD219">
        <f>IF(EXACT(Asistencia!K230,"DL"),1,0)</f>
        <v>0</v>
      </c>
      <c r="BE219">
        <f>IF(EXACT(Asistencia!L230,"DL"),1,0)</f>
        <v>0</v>
      </c>
      <c r="BF219">
        <f t="shared" si="91"/>
        <v>0</v>
      </c>
      <c r="BG219">
        <f>IF(ISNUMBER(Asistencia!M230),Asistencia!M230,0)</f>
        <v>0</v>
      </c>
      <c r="BH219">
        <f>IF(ISNUMBER(Asistencia!N230),Asistencia!N230,0)</f>
        <v>0</v>
      </c>
      <c r="BI219">
        <f>IF(ISNUMBER(Asistencia!O230),Asistencia!O230,0)</f>
        <v>0</v>
      </c>
      <c r="BJ219">
        <f>IF(ISNUMBER(Asistencia!P230),Asistencia!P230,0)</f>
        <v>0</v>
      </c>
      <c r="BK219" t="str">
        <f>IF(Asistencia!F230="","",Asistencia!F230)</f>
        <v/>
      </c>
      <c r="BL219" t="str">
        <f>IF(Asistencia!G230="","",Asistencia!G230)</f>
        <v/>
      </c>
      <c r="BM219" t="str">
        <f>IF(Asistencia!H230="","",Asistencia!H230)</f>
        <v/>
      </c>
      <c r="BN219" t="str">
        <f>IF(Asistencia!I230="","",Asistencia!I230)</f>
        <v/>
      </c>
      <c r="BO219" t="str">
        <f>IF(Asistencia!J230="","",Asistencia!J230)</f>
        <v/>
      </c>
      <c r="BP219" t="str">
        <f>IF(Asistencia!K230="","",Asistencia!K230)</f>
        <v/>
      </c>
      <c r="BQ219" t="str">
        <f>IF(Asistencia!L230="","",Asistencia!L230)</f>
        <v/>
      </c>
    </row>
    <row r="220" spans="1:69" x14ac:dyDescent="0.25">
      <c r="A220" s="46"/>
      <c r="B220" s="47"/>
      <c r="C220" s="47"/>
      <c r="D220" s="47"/>
      <c r="E220" s="46"/>
      <c r="F220" s="45"/>
      <c r="G220" s="44"/>
      <c r="H220" s="44"/>
      <c r="I220" s="44"/>
      <c r="J220" s="44"/>
      <c r="K220" s="44"/>
      <c r="L220" s="44"/>
      <c r="M220" s="43"/>
      <c r="N220" s="41"/>
      <c r="O220" s="41"/>
      <c r="P220" s="41"/>
      <c r="Q220" s="41"/>
      <c r="R220" s="41"/>
      <c r="S220" s="41"/>
      <c r="T220" s="48"/>
      <c r="U220" s="41"/>
      <c r="V220" s="41"/>
      <c r="W220" s="42"/>
      <c r="AA220" t="str">
        <f t="shared" si="88"/>
        <v/>
      </c>
      <c r="AB220" t="str">
        <f>IF(Asistencia!A231="","",Asistencia!A231)</f>
        <v/>
      </c>
      <c r="AC220" t="str">
        <f>IF(Asistencia!A231="","",SUBSTITUTE(SUBSTITUTE(SUBSTITUTE(SUBSTITUTE(SUBSTITUTE(SUBSTITUTE(SUBSTITUTE(UPPER(TRIM(Asistencia!A231)),"Á","A"),"É","E"),"Í","I"),"Ó","O"),"Ú","U"),"Ñ","N"),"  "," "))</f>
        <v/>
      </c>
      <c r="AD220" t="str">
        <f>IF(Asistencia!E231="","",Asistencia!E231)</f>
        <v/>
      </c>
      <c r="AE220" t="str">
        <f>IF(Asistencia!D231="","",UPPER(TRIM(Asistencia!D231)))</f>
        <v/>
      </c>
      <c r="AF220" t="s">
        <v>196</v>
      </c>
      <c r="AG220">
        <f>IF(AND(AA220&lt;&gt;"",COUNTIF($AA$5:AA220,AA220)=1),1,0)</f>
        <v>0</v>
      </c>
      <c r="AH220" t="str">
        <f>IF(AG220=1,SUM($AG$5:AG220),"")</f>
        <v/>
      </c>
      <c r="AI220">
        <f>IF(OR(EXACT(Asistencia!F231,"A"),EXACT(Asistencia!F231,"R"),EXACT(Asistencia!F231,"DL"),EXACT(Asistencia!F231,"FL"),EXACT(Asistencia!F231,"FE"),EXACT(Asistencia!F231,"PCS"),EXACT(Asistencia!F231,"V")),1,0)</f>
        <v>0</v>
      </c>
      <c r="AJ220">
        <f>IF(OR(EXACT(Asistencia!G231,"A"),EXACT(Asistencia!G231,"R"),EXACT(Asistencia!G231,"DL"),EXACT(Asistencia!G231,"FL"),EXACT(Asistencia!G231,"FE"),EXACT(Asistencia!G231,"PCS"),EXACT(Asistencia!G231,"V")),1,0)</f>
        <v>0</v>
      </c>
      <c r="AK220">
        <f>IF(OR(EXACT(Asistencia!H231,"A"),EXACT(Asistencia!H231,"R"),EXACT(Asistencia!H231,"DL"),EXACT(Asistencia!H231,"FL"),EXACT(Asistencia!H231,"FE"),EXACT(Asistencia!H231,"PCS"),EXACT(Asistencia!H231,"V")),1,0)</f>
        <v>0</v>
      </c>
      <c r="AL220">
        <f>IF(OR(EXACT(Asistencia!I231,"A"),EXACT(Asistencia!I231,"R"),EXACT(Asistencia!I231,"DL"),EXACT(Asistencia!I231,"FL"),EXACT(Asistencia!I231,"FE"),EXACT(Asistencia!I231,"PCS"),EXACT(Asistencia!I231,"V")),1,0)</f>
        <v>0</v>
      </c>
      <c r="AM220">
        <f>IF(OR(EXACT(Asistencia!J231,"A"),EXACT(Asistencia!J231,"R"),EXACT(Asistencia!J231,"DL"),EXACT(Asistencia!J231,"FL"),EXACT(Asistencia!J231,"FE"),EXACT(Asistencia!J231,"PCS"),EXACT(Asistencia!J231,"V")),1,0)</f>
        <v>0</v>
      </c>
      <c r="AN220">
        <f>IF(OR(EXACT(Asistencia!K231,"A"),EXACT(Asistencia!K231,"R"),EXACT(Asistencia!K231,"DL"),EXACT(Asistencia!K231,"FL"),EXACT(Asistencia!K231,"FE"),EXACT(Asistencia!K231,"PCS"),EXACT(Asistencia!K231,"V")),1,0)</f>
        <v>0</v>
      </c>
      <c r="AO220">
        <f>IF(OR(EXACT(Asistencia!L231,"A"),EXACT(Asistencia!L231,"R"),EXACT(Asistencia!L231,"DL"),EXACT(Asistencia!L231,"FL"),EXACT(Asistencia!L231,"FE"),EXACT(Asistencia!L231,"PCS"),EXACT(Asistencia!L231,"V")),1,0)</f>
        <v>0</v>
      </c>
      <c r="AP220">
        <f t="shared" si="89"/>
        <v>0</v>
      </c>
      <c r="AQ220">
        <f>IF(EXACT(Asistencia!F231,"FL"),1,0)</f>
        <v>0</v>
      </c>
      <c r="AR220">
        <f>IF(EXACT(Asistencia!G231,"FL"),1,0)</f>
        <v>0</v>
      </c>
      <c r="AS220">
        <f>IF(EXACT(Asistencia!H231,"FL"),1,0)</f>
        <v>0</v>
      </c>
      <c r="AT220">
        <f>IF(EXACT(Asistencia!I231,"FL"),1,0)</f>
        <v>0</v>
      </c>
      <c r="AU220">
        <f>IF(EXACT(Asistencia!J231,"FL"),1,0)</f>
        <v>0</v>
      </c>
      <c r="AV220">
        <f>IF(EXACT(Asistencia!K231,"FL"),1,0)</f>
        <v>0</v>
      </c>
      <c r="AW220">
        <f>IF(EXACT(Asistencia!L231,"FL"),1,0)</f>
        <v>0</v>
      </c>
      <c r="AX220">
        <f t="shared" si="90"/>
        <v>0</v>
      </c>
      <c r="AY220">
        <f>IF(EXACT(Asistencia!F231,"DL"),1,0)</f>
        <v>0</v>
      </c>
      <c r="AZ220">
        <f>IF(EXACT(Asistencia!G231,"DL"),1,0)</f>
        <v>0</v>
      </c>
      <c r="BA220">
        <f>IF(EXACT(Asistencia!H231,"DL"),1,0)</f>
        <v>0</v>
      </c>
      <c r="BB220">
        <f>IF(EXACT(Asistencia!I231,"DL"),1,0)</f>
        <v>0</v>
      </c>
      <c r="BC220">
        <f>IF(EXACT(Asistencia!J231,"DL"),1,0)</f>
        <v>0</v>
      </c>
      <c r="BD220">
        <f>IF(EXACT(Asistencia!K231,"DL"),1,0)</f>
        <v>0</v>
      </c>
      <c r="BE220">
        <f>IF(EXACT(Asistencia!L231,"DL"),1,0)</f>
        <v>0</v>
      </c>
      <c r="BF220">
        <f t="shared" si="91"/>
        <v>0</v>
      </c>
      <c r="BG220">
        <f>IF(ISNUMBER(Asistencia!M231),Asistencia!M231,0)</f>
        <v>0</v>
      </c>
      <c r="BH220">
        <f>IF(ISNUMBER(Asistencia!N231),Asistencia!N231,0)</f>
        <v>0</v>
      </c>
      <c r="BI220">
        <f>IF(ISNUMBER(Asistencia!O231),Asistencia!O231,0)</f>
        <v>0</v>
      </c>
      <c r="BJ220">
        <f>IF(ISNUMBER(Asistencia!P231),Asistencia!P231,0)</f>
        <v>0</v>
      </c>
      <c r="BK220" t="str">
        <f>IF(Asistencia!F231="","",Asistencia!F231)</f>
        <v/>
      </c>
      <c r="BL220" t="str">
        <f>IF(Asistencia!G231="","",Asistencia!G231)</f>
        <v/>
      </c>
      <c r="BM220" t="str">
        <f>IF(Asistencia!H231="","",Asistencia!H231)</f>
        <v/>
      </c>
      <c r="BN220" t="str">
        <f>IF(Asistencia!I231="","",Asistencia!I231)</f>
        <v/>
      </c>
      <c r="BO220" t="str">
        <f>IF(Asistencia!J231="","",Asistencia!J231)</f>
        <v/>
      </c>
      <c r="BP220" t="str">
        <f>IF(Asistencia!K231="","",Asistencia!K231)</f>
        <v/>
      </c>
      <c r="BQ220" t="str">
        <f>IF(Asistencia!L231="","",Asistencia!L231)</f>
        <v/>
      </c>
    </row>
    <row r="221" spans="1:69" x14ac:dyDescent="0.25">
      <c r="A221" s="46"/>
      <c r="B221" s="47"/>
      <c r="C221" s="47"/>
      <c r="D221" s="47"/>
      <c r="E221" s="46"/>
      <c r="F221" s="45"/>
      <c r="G221" s="44"/>
      <c r="H221" s="44"/>
      <c r="I221" s="44"/>
      <c r="J221" s="44"/>
      <c r="K221" s="44"/>
      <c r="L221" s="44"/>
      <c r="M221" s="43"/>
      <c r="N221" s="41"/>
      <c r="O221" s="41"/>
      <c r="P221" s="41"/>
      <c r="Q221" s="41"/>
      <c r="R221" s="41"/>
      <c r="S221" s="41"/>
      <c r="T221" s="48"/>
      <c r="U221" s="41"/>
      <c r="V221" s="41"/>
      <c r="W221" s="42"/>
      <c r="AA221" t="str">
        <f t="shared" si="88"/>
        <v/>
      </c>
      <c r="AB221" t="str">
        <f>IF(Asistencia!A232="","",Asistencia!A232)</f>
        <v/>
      </c>
      <c r="AC221" t="str">
        <f>IF(Asistencia!A232="","",SUBSTITUTE(SUBSTITUTE(SUBSTITUTE(SUBSTITUTE(SUBSTITUTE(SUBSTITUTE(SUBSTITUTE(UPPER(TRIM(Asistencia!A232)),"Á","A"),"É","E"),"Í","I"),"Ó","O"),"Ú","U"),"Ñ","N"),"  "," "))</f>
        <v/>
      </c>
      <c r="AD221" t="str">
        <f>IF(Asistencia!E232="","",Asistencia!E232)</f>
        <v/>
      </c>
      <c r="AE221" t="str">
        <f>IF(Asistencia!D232="","",UPPER(TRIM(Asistencia!D232)))</f>
        <v/>
      </c>
      <c r="AF221" t="s">
        <v>196</v>
      </c>
      <c r="AG221">
        <f>IF(AND(AA221&lt;&gt;"",COUNTIF($AA$5:AA221,AA221)=1),1,0)</f>
        <v>0</v>
      </c>
      <c r="AH221" t="str">
        <f>IF(AG221=1,SUM($AG$5:AG221),"")</f>
        <v/>
      </c>
      <c r="AI221">
        <f>IF(OR(EXACT(Asistencia!F232,"A"),EXACT(Asistencia!F232,"R"),EXACT(Asistencia!F232,"DL"),EXACT(Asistencia!F232,"FL"),EXACT(Asistencia!F232,"FE"),EXACT(Asistencia!F232,"PCS"),EXACT(Asistencia!F232,"V")),1,0)</f>
        <v>0</v>
      </c>
      <c r="AJ221">
        <f>IF(OR(EXACT(Asistencia!G232,"A"),EXACT(Asistencia!G232,"R"),EXACT(Asistencia!G232,"DL"),EXACT(Asistencia!G232,"FL"),EXACT(Asistencia!G232,"FE"),EXACT(Asistencia!G232,"PCS"),EXACT(Asistencia!G232,"V")),1,0)</f>
        <v>0</v>
      </c>
      <c r="AK221">
        <f>IF(OR(EXACT(Asistencia!H232,"A"),EXACT(Asistencia!H232,"R"),EXACT(Asistencia!H232,"DL"),EXACT(Asistencia!H232,"FL"),EXACT(Asistencia!H232,"FE"),EXACT(Asistencia!H232,"PCS"),EXACT(Asistencia!H232,"V")),1,0)</f>
        <v>0</v>
      </c>
      <c r="AL221">
        <f>IF(OR(EXACT(Asistencia!I232,"A"),EXACT(Asistencia!I232,"R"),EXACT(Asistencia!I232,"DL"),EXACT(Asistencia!I232,"FL"),EXACT(Asistencia!I232,"FE"),EXACT(Asistencia!I232,"PCS"),EXACT(Asistencia!I232,"V")),1,0)</f>
        <v>0</v>
      </c>
      <c r="AM221">
        <f>IF(OR(EXACT(Asistencia!J232,"A"),EXACT(Asistencia!J232,"R"),EXACT(Asistencia!J232,"DL"),EXACT(Asistencia!J232,"FL"),EXACT(Asistencia!J232,"FE"),EXACT(Asistencia!J232,"PCS"),EXACT(Asistencia!J232,"V")),1,0)</f>
        <v>0</v>
      </c>
      <c r="AN221">
        <f>IF(OR(EXACT(Asistencia!K232,"A"),EXACT(Asistencia!K232,"R"),EXACT(Asistencia!K232,"DL"),EXACT(Asistencia!K232,"FL"),EXACT(Asistencia!K232,"FE"),EXACT(Asistencia!K232,"PCS"),EXACT(Asistencia!K232,"V")),1,0)</f>
        <v>0</v>
      </c>
      <c r="AO221">
        <f>IF(OR(EXACT(Asistencia!L232,"A"),EXACT(Asistencia!L232,"R"),EXACT(Asistencia!L232,"DL"),EXACT(Asistencia!L232,"FL"),EXACT(Asistencia!L232,"FE"),EXACT(Asistencia!L232,"PCS"),EXACT(Asistencia!L232,"V")),1,0)</f>
        <v>0</v>
      </c>
      <c r="AP221">
        <f t="shared" si="89"/>
        <v>0</v>
      </c>
      <c r="AQ221">
        <f>IF(EXACT(Asistencia!F232,"FL"),1,0)</f>
        <v>0</v>
      </c>
      <c r="AR221">
        <f>IF(EXACT(Asistencia!G232,"FL"),1,0)</f>
        <v>0</v>
      </c>
      <c r="AS221">
        <f>IF(EXACT(Asistencia!H232,"FL"),1,0)</f>
        <v>0</v>
      </c>
      <c r="AT221">
        <f>IF(EXACT(Asistencia!I232,"FL"),1,0)</f>
        <v>0</v>
      </c>
      <c r="AU221">
        <f>IF(EXACT(Asistencia!J232,"FL"),1,0)</f>
        <v>0</v>
      </c>
      <c r="AV221">
        <f>IF(EXACT(Asistencia!K232,"FL"),1,0)</f>
        <v>0</v>
      </c>
      <c r="AW221">
        <f>IF(EXACT(Asistencia!L232,"FL"),1,0)</f>
        <v>0</v>
      </c>
      <c r="AX221">
        <f t="shared" si="90"/>
        <v>0</v>
      </c>
      <c r="AY221">
        <f>IF(EXACT(Asistencia!F232,"DL"),1,0)</f>
        <v>0</v>
      </c>
      <c r="AZ221">
        <f>IF(EXACT(Asistencia!G232,"DL"),1,0)</f>
        <v>0</v>
      </c>
      <c r="BA221">
        <f>IF(EXACT(Asistencia!H232,"DL"),1,0)</f>
        <v>0</v>
      </c>
      <c r="BB221">
        <f>IF(EXACT(Asistencia!I232,"DL"),1,0)</f>
        <v>0</v>
      </c>
      <c r="BC221">
        <f>IF(EXACT(Asistencia!J232,"DL"),1,0)</f>
        <v>0</v>
      </c>
      <c r="BD221">
        <f>IF(EXACT(Asistencia!K232,"DL"),1,0)</f>
        <v>0</v>
      </c>
      <c r="BE221">
        <f>IF(EXACT(Asistencia!L232,"DL"),1,0)</f>
        <v>0</v>
      </c>
      <c r="BF221">
        <f t="shared" si="91"/>
        <v>0</v>
      </c>
      <c r="BG221">
        <f>IF(ISNUMBER(Asistencia!M232),Asistencia!M232,0)</f>
        <v>0</v>
      </c>
      <c r="BH221">
        <f>IF(ISNUMBER(Asistencia!N232),Asistencia!N232,0)</f>
        <v>0</v>
      </c>
      <c r="BI221">
        <f>IF(ISNUMBER(Asistencia!O232),Asistencia!O232,0)</f>
        <v>0</v>
      </c>
      <c r="BJ221">
        <f>IF(ISNUMBER(Asistencia!P232),Asistencia!P232,0)</f>
        <v>0</v>
      </c>
      <c r="BK221" t="str">
        <f>IF(Asistencia!F232="","",Asistencia!F232)</f>
        <v/>
      </c>
      <c r="BL221" t="str">
        <f>IF(Asistencia!G232="","",Asistencia!G232)</f>
        <v/>
      </c>
      <c r="BM221" t="str">
        <f>IF(Asistencia!H232="","",Asistencia!H232)</f>
        <v/>
      </c>
      <c r="BN221" t="str">
        <f>IF(Asistencia!I232="","",Asistencia!I232)</f>
        <v/>
      </c>
      <c r="BO221" t="str">
        <f>IF(Asistencia!J232="","",Asistencia!J232)</f>
        <v/>
      </c>
      <c r="BP221" t="str">
        <f>IF(Asistencia!K232="","",Asistencia!K232)</f>
        <v/>
      </c>
      <c r="BQ221" t="str">
        <f>IF(Asistencia!L232="","",Asistencia!L232)</f>
        <v/>
      </c>
    </row>
    <row r="222" spans="1:69" x14ac:dyDescent="0.25">
      <c r="A222" s="46"/>
      <c r="B222" s="47"/>
      <c r="C222" s="47"/>
      <c r="D222" s="47"/>
      <c r="E222" s="46"/>
      <c r="F222" s="45"/>
      <c r="G222" s="44"/>
      <c r="H222" s="44"/>
      <c r="I222" s="44"/>
      <c r="J222" s="44"/>
      <c r="K222" s="44"/>
      <c r="L222" s="44"/>
      <c r="M222" s="43"/>
      <c r="N222" s="41"/>
      <c r="O222" s="41"/>
      <c r="P222" s="41"/>
      <c r="Q222" s="41"/>
      <c r="R222" s="41"/>
      <c r="S222" s="41"/>
      <c r="T222" s="48"/>
      <c r="U222" s="41"/>
      <c r="V222" s="41"/>
      <c r="W222" s="42"/>
      <c r="AA222" t="str">
        <f t="shared" si="88"/>
        <v/>
      </c>
      <c r="AB222" t="str">
        <f>IF(Asistencia!A233="","",Asistencia!A233)</f>
        <v/>
      </c>
      <c r="AC222" t="str">
        <f>IF(Asistencia!A233="","",SUBSTITUTE(SUBSTITUTE(SUBSTITUTE(SUBSTITUTE(SUBSTITUTE(SUBSTITUTE(SUBSTITUTE(UPPER(TRIM(Asistencia!A233)),"Á","A"),"É","E"),"Í","I"),"Ó","O"),"Ú","U"),"Ñ","N"),"  "," "))</f>
        <v/>
      </c>
      <c r="AD222" t="str">
        <f>IF(Asistencia!E233="","",Asistencia!E233)</f>
        <v/>
      </c>
      <c r="AE222" t="str">
        <f>IF(Asistencia!D233="","",UPPER(TRIM(Asistencia!D233)))</f>
        <v/>
      </c>
      <c r="AF222" t="s">
        <v>196</v>
      </c>
      <c r="AG222">
        <f>IF(AND(AA222&lt;&gt;"",COUNTIF($AA$5:AA222,AA222)=1),1,0)</f>
        <v>0</v>
      </c>
      <c r="AH222" t="str">
        <f>IF(AG222=1,SUM($AG$5:AG222),"")</f>
        <v/>
      </c>
      <c r="AI222">
        <f>IF(OR(EXACT(Asistencia!F233,"A"),EXACT(Asistencia!F233,"R"),EXACT(Asistencia!F233,"DL"),EXACT(Asistencia!F233,"FL"),EXACT(Asistencia!F233,"FE"),EXACT(Asistencia!F233,"PCS"),EXACT(Asistencia!F233,"V")),1,0)</f>
        <v>0</v>
      </c>
      <c r="AJ222">
        <f>IF(OR(EXACT(Asistencia!G233,"A"),EXACT(Asistencia!G233,"R"),EXACT(Asistencia!G233,"DL"),EXACT(Asistencia!G233,"FL"),EXACT(Asistencia!G233,"FE"),EXACT(Asistencia!G233,"PCS"),EXACT(Asistencia!G233,"V")),1,0)</f>
        <v>0</v>
      </c>
      <c r="AK222">
        <f>IF(OR(EXACT(Asistencia!H233,"A"),EXACT(Asistencia!H233,"R"),EXACT(Asistencia!H233,"DL"),EXACT(Asistencia!H233,"FL"),EXACT(Asistencia!H233,"FE"),EXACT(Asistencia!H233,"PCS"),EXACT(Asistencia!H233,"V")),1,0)</f>
        <v>0</v>
      </c>
      <c r="AL222">
        <f>IF(OR(EXACT(Asistencia!I233,"A"),EXACT(Asistencia!I233,"R"),EXACT(Asistencia!I233,"DL"),EXACT(Asistencia!I233,"FL"),EXACT(Asistencia!I233,"FE"),EXACT(Asistencia!I233,"PCS"),EXACT(Asistencia!I233,"V")),1,0)</f>
        <v>0</v>
      </c>
      <c r="AM222">
        <f>IF(OR(EXACT(Asistencia!J233,"A"),EXACT(Asistencia!J233,"R"),EXACT(Asistencia!J233,"DL"),EXACT(Asistencia!J233,"FL"),EXACT(Asistencia!J233,"FE"),EXACT(Asistencia!J233,"PCS"),EXACT(Asistencia!J233,"V")),1,0)</f>
        <v>0</v>
      </c>
      <c r="AN222">
        <f>IF(OR(EXACT(Asistencia!K233,"A"),EXACT(Asistencia!K233,"R"),EXACT(Asistencia!K233,"DL"),EXACT(Asistencia!K233,"FL"),EXACT(Asistencia!K233,"FE"),EXACT(Asistencia!K233,"PCS"),EXACT(Asistencia!K233,"V")),1,0)</f>
        <v>0</v>
      </c>
      <c r="AO222">
        <f>IF(OR(EXACT(Asistencia!L233,"A"),EXACT(Asistencia!L233,"R"),EXACT(Asistencia!L233,"DL"),EXACT(Asistencia!L233,"FL"),EXACT(Asistencia!L233,"FE"),EXACT(Asistencia!L233,"PCS"),EXACT(Asistencia!L233,"V")),1,0)</f>
        <v>0</v>
      </c>
      <c r="AP222">
        <f t="shared" si="89"/>
        <v>0</v>
      </c>
      <c r="AQ222">
        <f>IF(EXACT(Asistencia!F233,"FL"),1,0)</f>
        <v>0</v>
      </c>
      <c r="AR222">
        <f>IF(EXACT(Asistencia!G233,"FL"),1,0)</f>
        <v>0</v>
      </c>
      <c r="AS222">
        <f>IF(EXACT(Asistencia!H233,"FL"),1,0)</f>
        <v>0</v>
      </c>
      <c r="AT222">
        <f>IF(EXACT(Asistencia!I233,"FL"),1,0)</f>
        <v>0</v>
      </c>
      <c r="AU222">
        <f>IF(EXACT(Asistencia!J233,"FL"),1,0)</f>
        <v>0</v>
      </c>
      <c r="AV222">
        <f>IF(EXACT(Asistencia!K233,"FL"),1,0)</f>
        <v>0</v>
      </c>
      <c r="AW222">
        <f>IF(EXACT(Asistencia!L233,"FL"),1,0)</f>
        <v>0</v>
      </c>
      <c r="AX222">
        <f t="shared" si="90"/>
        <v>0</v>
      </c>
      <c r="AY222">
        <f>IF(EXACT(Asistencia!F233,"DL"),1,0)</f>
        <v>0</v>
      </c>
      <c r="AZ222">
        <f>IF(EXACT(Asistencia!G233,"DL"),1,0)</f>
        <v>0</v>
      </c>
      <c r="BA222">
        <f>IF(EXACT(Asistencia!H233,"DL"),1,0)</f>
        <v>0</v>
      </c>
      <c r="BB222">
        <f>IF(EXACT(Asistencia!I233,"DL"),1,0)</f>
        <v>0</v>
      </c>
      <c r="BC222">
        <f>IF(EXACT(Asistencia!J233,"DL"),1,0)</f>
        <v>0</v>
      </c>
      <c r="BD222">
        <f>IF(EXACT(Asistencia!K233,"DL"),1,0)</f>
        <v>0</v>
      </c>
      <c r="BE222">
        <f>IF(EXACT(Asistencia!L233,"DL"),1,0)</f>
        <v>0</v>
      </c>
      <c r="BF222">
        <f t="shared" si="91"/>
        <v>0</v>
      </c>
      <c r="BG222">
        <f>IF(ISNUMBER(Asistencia!M233),Asistencia!M233,0)</f>
        <v>0</v>
      </c>
      <c r="BH222">
        <f>IF(ISNUMBER(Asistencia!N233),Asistencia!N233,0)</f>
        <v>0</v>
      </c>
      <c r="BI222">
        <f>IF(ISNUMBER(Asistencia!O233),Asistencia!O233,0)</f>
        <v>0</v>
      </c>
      <c r="BJ222">
        <f>IF(ISNUMBER(Asistencia!P233),Asistencia!P233,0)</f>
        <v>0</v>
      </c>
      <c r="BK222" t="str">
        <f>IF(Asistencia!F233="","",Asistencia!F233)</f>
        <v/>
      </c>
      <c r="BL222" t="str">
        <f>IF(Asistencia!G233="","",Asistencia!G233)</f>
        <v/>
      </c>
      <c r="BM222" t="str">
        <f>IF(Asistencia!H233="","",Asistencia!H233)</f>
        <v/>
      </c>
      <c r="BN222" t="str">
        <f>IF(Asistencia!I233="","",Asistencia!I233)</f>
        <v/>
      </c>
      <c r="BO222" t="str">
        <f>IF(Asistencia!J233="","",Asistencia!J233)</f>
        <v/>
      </c>
      <c r="BP222" t="str">
        <f>IF(Asistencia!K233="","",Asistencia!K233)</f>
        <v/>
      </c>
      <c r="BQ222" t="str">
        <f>IF(Asistencia!L233="","",Asistencia!L233)</f>
        <v/>
      </c>
    </row>
    <row r="223" spans="1:69" x14ac:dyDescent="0.25">
      <c r="A223" s="46"/>
      <c r="B223" s="47"/>
      <c r="C223" s="47"/>
      <c r="D223" s="47"/>
      <c r="E223" s="46"/>
      <c r="F223" s="45"/>
      <c r="G223" s="44"/>
      <c r="H223" s="44"/>
      <c r="I223" s="44"/>
      <c r="J223" s="44"/>
      <c r="K223" s="44"/>
      <c r="L223" s="44"/>
      <c r="M223" s="43"/>
      <c r="N223" s="41"/>
      <c r="O223" s="41"/>
      <c r="P223" s="41"/>
      <c r="Q223" s="41"/>
      <c r="R223" s="41"/>
      <c r="S223" s="41"/>
      <c r="T223" s="48"/>
      <c r="U223" s="41"/>
      <c r="V223" s="41"/>
      <c r="W223" s="42"/>
      <c r="AA223" t="str">
        <f t="shared" si="88"/>
        <v/>
      </c>
      <c r="AB223" t="str">
        <f>IF(Asistencia!A234="","",Asistencia!A234)</f>
        <v/>
      </c>
      <c r="AC223" t="str">
        <f>IF(Asistencia!A234="","",SUBSTITUTE(SUBSTITUTE(SUBSTITUTE(SUBSTITUTE(SUBSTITUTE(SUBSTITUTE(SUBSTITUTE(UPPER(TRIM(Asistencia!A234)),"Á","A"),"É","E"),"Í","I"),"Ó","O"),"Ú","U"),"Ñ","N"),"  "," "))</f>
        <v/>
      </c>
      <c r="AD223" t="str">
        <f>IF(Asistencia!E234="","",Asistencia!E234)</f>
        <v/>
      </c>
      <c r="AE223" t="str">
        <f>IF(Asistencia!D234="","",UPPER(TRIM(Asistencia!D234)))</f>
        <v/>
      </c>
      <c r="AF223" t="s">
        <v>196</v>
      </c>
      <c r="AG223">
        <f>IF(AND(AA223&lt;&gt;"",COUNTIF($AA$5:AA223,AA223)=1),1,0)</f>
        <v>0</v>
      </c>
      <c r="AH223" t="str">
        <f>IF(AG223=1,SUM($AG$5:AG223),"")</f>
        <v/>
      </c>
      <c r="AI223">
        <f>IF(OR(EXACT(Asistencia!F234,"A"),EXACT(Asistencia!F234,"R"),EXACT(Asistencia!F234,"DL"),EXACT(Asistencia!F234,"FL"),EXACT(Asistencia!F234,"FE"),EXACT(Asistencia!F234,"PCS"),EXACT(Asistencia!F234,"V")),1,0)</f>
        <v>0</v>
      </c>
      <c r="AJ223">
        <f>IF(OR(EXACT(Asistencia!G234,"A"),EXACT(Asistencia!G234,"R"),EXACT(Asistencia!G234,"DL"),EXACT(Asistencia!G234,"FL"),EXACT(Asistencia!G234,"FE"),EXACT(Asistencia!G234,"PCS"),EXACT(Asistencia!G234,"V")),1,0)</f>
        <v>0</v>
      </c>
      <c r="AK223">
        <f>IF(OR(EXACT(Asistencia!H234,"A"),EXACT(Asistencia!H234,"R"),EXACT(Asistencia!H234,"DL"),EXACT(Asistencia!H234,"FL"),EXACT(Asistencia!H234,"FE"),EXACT(Asistencia!H234,"PCS"),EXACT(Asistencia!H234,"V")),1,0)</f>
        <v>0</v>
      </c>
      <c r="AL223">
        <f>IF(OR(EXACT(Asistencia!I234,"A"),EXACT(Asistencia!I234,"R"),EXACT(Asistencia!I234,"DL"),EXACT(Asistencia!I234,"FL"),EXACT(Asistencia!I234,"FE"),EXACT(Asistencia!I234,"PCS"),EXACT(Asistencia!I234,"V")),1,0)</f>
        <v>0</v>
      </c>
      <c r="AM223">
        <f>IF(OR(EXACT(Asistencia!J234,"A"),EXACT(Asistencia!J234,"R"),EXACT(Asistencia!J234,"DL"),EXACT(Asistencia!J234,"FL"),EXACT(Asistencia!J234,"FE"),EXACT(Asistencia!J234,"PCS"),EXACT(Asistencia!J234,"V")),1,0)</f>
        <v>0</v>
      </c>
      <c r="AN223">
        <f>IF(OR(EXACT(Asistencia!K234,"A"),EXACT(Asistencia!K234,"R"),EXACT(Asistencia!K234,"DL"),EXACT(Asistencia!K234,"FL"),EXACT(Asistencia!K234,"FE"),EXACT(Asistencia!K234,"PCS"),EXACT(Asistencia!K234,"V")),1,0)</f>
        <v>0</v>
      </c>
      <c r="AO223">
        <f>IF(OR(EXACT(Asistencia!L234,"A"),EXACT(Asistencia!L234,"R"),EXACT(Asistencia!L234,"DL"),EXACT(Asistencia!L234,"FL"),EXACT(Asistencia!L234,"FE"),EXACT(Asistencia!L234,"PCS"),EXACT(Asistencia!L234,"V")),1,0)</f>
        <v>0</v>
      </c>
      <c r="AP223">
        <f t="shared" si="89"/>
        <v>0</v>
      </c>
      <c r="AQ223">
        <f>IF(EXACT(Asistencia!F234,"FL"),1,0)</f>
        <v>0</v>
      </c>
      <c r="AR223">
        <f>IF(EXACT(Asistencia!G234,"FL"),1,0)</f>
        <v>0</v>
      </c>
      <c r="AS223">
        <f>IF(EXACT(Asistencia!H234,"FL"),1,0)</f>
        <v>0</v>
      </c>
      <c r="AT223">
        <f>IF(EXACT(Asistencia!I234,"FL"),1,0)</f>
        <v>0</v>
      </c>
      <c r="AU223">
        <f>IF(EXACT(Asistencia!J234,"FL"),1,0)</f>
        <v>0</v>
      </c>
      <c r="AV223">
        <f>IF(EXACT(Asistencia!K234,"FL"),1,0)</f>
        <v>0</v>
      </c>
      <c r="AW223">
        <f>IF(EXACT(Asistencia!L234,"FL"),1,0)</f>
        <v>0</v>
      </c>
      <c r="AX223">
        <f t="shared" si="90"/>
        <v>0</v>
      </c>
      <c r="AY223">
        <f>IF(EXACT(Asistencia!F234,"DL"),1,0)</f>
        <v>0</v>
      </c>
      <c r="AZ223">
        <f>IF(EXACT(Asistencia!G234,"DL"),1,0)</f>
        <v>0</v>
      </c>
      <c r="BA223">
        <f>IF(EXACT(Asistencia!H234,"DL"),1,0)</f>
        <v>0</v>
      </c>
      <c r="BB223">
        <f>IF(EXACT(Asistencia!I234,"DL"),1,0)</f>
        <v>0</v>
      </c>
      <c r="BC223">
        <f>IF(EXACT(Asistencia!J234,"DL"),1,0)</f>
        <v>0</v>
      </c>
      <c r="BD223">
        <f>IF(EXACT(Asistencia!K234,"DL"),1,0)</f>
        <v>0</v>
      </c>
      <c r="BE223">
        <f>IF(EXACT(Asistencia!L234,"DL"),1,0)</f>
        <v>0</v>
      </c>
      <c r="BF223">
        <f t="shared" si="91"/>
        <v>0</v>
      </c>
      <c r="BG223">
        <f>IF(ISNUMBER(Asistencia!M234),Asistencia!M234,0)</f>
        <v>0</v>
      </c>
      <c r="BH223">
        <f>IF(ISNUMBER(Asistencia!N234),Asistencia!N234,0)</f>
        <v>0</v>
      </c>
      <c r="BI223">
        <f>IF(ISNUMBER(Asistencia!O234),Asistencia!O234,0)</f>
        <v>0</v>
      </c>
      <c r="BJ223">
        <f>IF(ISNUMBER(Asistencia!P234),Asistencia!P234,0)</f>
        <v>0</v>
      </c>
      <c r="BK223" t="str">
        <f>IF(Asistencia!F234="","",Asistencia!F234)</f>
        <v/>
      </c>
      <c r="BL223" t="str">
        <f>IF(Asistencia!G234="","",Asistencia!G234)</f>
        <v/>
      </c>
      <c r="BM223" t="str">
        <f>IF(Asistencia!H234="","",Asistencia!H234)</f>
        <v/>
      </c>
      <c r="BN223" t="str">
        <f>IF(Asistencia!I234="","",Asistencia!I234)</f>
        <v/>
      </c>
      <c r="BO223" t="str">
        <f>IF(Asistencia!J234="","",Asistencia!J234)</f>
        <v/>
      </c>
      <c r="BP223" t="str">
        <f>IF(Asistencia!K234="","",Asistencia!K234)</f>
        <v/>
      </c>
      <c r="BQ223" t="str">
        <f>IF(Asistencia!L234="","",Asistencia!L234)</f>
        <v/>
      </c>
    </row>
    <row r="224" spans="1:69" x14ac:dyDescent="0.25">
      <c r="A224" s="46"/>
      <c r="B224" s="47"/>
      <c r="C224" s="47"/>
      <c r="D224" s="47"/>
      <c r="E224" s="46"/>
      <c r="F224" s="45"/>
      <c r="G224" s="44"/>
      <c r="H224" s="44"/>
      <c r="I224" s="44"/>
      <c r="J224" s="44"/>
      <c r="K224" s="44"/>
      <c r="L224" s="44"/>
      <c r="M224" s="43"/>
      <c r="N224" s="41"/>
      <c r="O224" s="41"/>
      <c r="P224" s="41"/>
      <c r="Q224" s="41"/>
      <c r="R224" s="41"/>
      <c r="S224" s="41"/>
      <c r="T224" s="48"/>
      <c r="U224" s="41"/>
      <c r="V224" s="41"/>
      <c r="W224" s="42"/>
      <c r="AA224" t="str">
        <f t="shared" si="88"/>
        <v/>
      </c>
      <c r="AB224" t="str">
        <f>IF(Asistencia!A235="","",Asistencia!A235)</f>
        <v/>
      </c>
      <c r="AC224" t="str">
        <f>IF(Asistencia!A235="","",SUBSTITUTE(SUBSTITUTE(SUBSTITUTE(SUBSTITUTE(SUBSTITUTE(SUBSTITUTE(SUBSTITUTE(UPPER(TRIM(Asistencia!A235)),"Á","A"),"É","E"),"Í","I"),"Ó","O"),"Ú","U"),"Ñ","N"),"  "," "))</f>
        <v/>
      </c>
      <c r="AD224" t="str">
        <f>IF(Asistencia!E235="","",Asistencia!E235)</f>
        <v/>
      </c>
      <c r="AE224" t="str">
        <f>IF(Asistencia!D235="","",UPPER(TRIM(Asistencia!D235)))</f>
        <v/>
      </c>
      <c r="AF224" t="s">
        <v>196</v>
      </c>
      <c r="AG224">
        <f>IF(AND(AA224&lt;&gt;"",COUNTIF($AA$5:AA224,AA224)=1),1,0)</f>
        <v>0</v>
      </c>
      <c r="AH224" t="str">
        <f>IF(AG224=1,SUM($AG$5:AG224),"")</f>
        <v/>
      </c>
      <c r="AI224">
        <f>IF(OR(EXACT(Asistencia!F235,"A"),EXACT(Asistencia!F235,"R"),EXACT(Asistencia!F235,"DL"),EXACT(Asistencia!F235,"FL"),EXACT(Asistencia!F235,"FE"),EXACT(Asistencia!F235,"PCS"),EXACT(Asistencia!F235,"V")),1,0)</f>
        <v>0</v>
      </c>
      <c r="AJ224">
        <f>IF(OR(EXACT(Asistencia!G235,"A"),EXACT(Asistencia!G235,"R"),EXACT(Asistencia!G235,"DL"),EXACT(Asistencia!G235,"FL"),EXACT(Asistencia!G235,"FE"),EXACT(Asistencia!G235,"PCS"),EXACT(Asistencia!G235,"V")),1,0)</f>
        <v>0</v>
      </c>
      <c r="AK224">
        <f>IF(OR(EXACT(Asistencia!H235,"A"),EXACT(Asistencia!H235,"R"),EXACT(Asistencia!H235,"DL"),EXACT(Asistencia!H235,"FL"),EXACT(Asistencia!H235,"FE"),EXACT(Asistencia!H235,"PCS"),EXACT(Asistencia!H235,"V")),1,0)</f>
        <v>0</v>
      </c>
      <c r="AL224">
        <f>IF(OR(EXACT(Asistencia!I235,"A"),EXACT(Asistencia!I235,"R"),EXACT(Asistencia!I235,"DL"),EXACT(Asistencia!I235,"FL"),EXACT(Asistencia!I235,"FE"),EXACT(Asistencia!I235,"PCS"),EXACT(Asistencia!I235,"V")),1,0)</f>
        <v>0</v>
      </c>
      <c r="AM224">
        <f>IF(OR(EXACT(Asistencia!J235,"A"),EXACT(Asistencia!J235,"R"),EXACT(Asistencia!J235,"DL"),EXACT(Asistencia!J235,"FL"),EXACT(Asistencia!J235,"FE"),EXACT(Asistencia!J235,"PCS"),EXACT(Asistencia!J235,"V")),1,0)</f>
        <v>0</v>
      </c>
      <c r="AN224">
        <f>IF(OR(EXACT(Asistencia!K235,"A"),EXACT(Asistencia!K235,"R"),EXACT(Asistencia!K235,"DL"),EXACT(Asistencia!K235,"FL"),EXACT(Asistencia!K235,"FE"),EXACT(Asistencia!K235,"PCS"),EXACT(Asistencia!K235,"V")),1,0)</f>
        <v>0</v>
      </c>
      <c r="AO224">
        <f>IF(OR(EXACT(Asistencia!L235,"A"),EXACT(Asistencia!L235,"R"),EXACT(Asistencia!L235,"DL"),EXACT(Asistencia!L235,"FL"),EXACT(Asistencia!L235,"FE"),EXACT(Asistencia!L235,"PCS"),EXACT(Asistencia!L235,"V")),1,0)</f>
        <v>0</v>
      </c>
      <c r="AP224">
        <f t="shared" si="89"/>
        <v>0</v>
      </c>
      <c r="AQ224">
        <f>IF(EXACT(Asistencia!F235,"FL"),1,0)</f>
        <v>0</v>
      </c>
      <c r="AR224">
        <f>IF(EXACT(Asistencia!G235,"FL"),1,0)</f>
        <v>0</v>
      </c>
      <c r="AS224">
        <f>IF(EXACT(Asistencia!H235,"FL"),1,0)</f>
        <v>0</v>
      </c>
      <c r="AT224">
        <f>IF(EXACT(Asistencia!I235,"FL"),1,0)</f>
        <v>0</v>
      </c>
      <c r="AU224">
        <f>IF(EXACT(Asistencia!J235,"FL"),1,0)</f>
        <v>0</v>
      </c>
      <c r="AV224">
        <f>IF(EXACT(Asistencia!K235,"FL"),1,0)</f>
        <v>0</v>
      </c>
      <c r="AW224">
        <f>IF(EXACT(Asistencia!L235,"FL"),1,0)</f>
        <v>0</v>
      </c>
      <c r="AX224">
        <f t="shared" si="90"/>
        <v>0</v>
      </c>
      <c r="AY224">
        <f>IF(EXACT(Asistencia!F235,"DL"),1,0)</f>
        <v>0</v>
      </c>
      <c r="AZ224">
        <f>IF(EXACT(Asistencia!G235,"DL"),1,0)</f>
        <v>0</v>
      </c>
      <c r="BA224">
        <f>IF(EXACT(Asistencia!H235,"DL"),1,0)</f>
        <v>0</v>
      </c>
      <c r="BB224">
        <f>IF(EXACT(Asistencia!I235,"DL"),1,0)</f>
        <v>0</v>
      </c>
      <c r="BC224">
        <f>IF(EXACT(Asistencia!J235,"DL"),1,0)</f>
        <v>0</v>
      </c>
      <c r="BD224">
        <f>IF(EXACT(Asistencia!K235,"DL"),1,0)</f>
        <v>0</v>
      </c>
      <c r="BE224">
        <f>IF(EXACT(Asistencia!L235,"DL"),1,0)</f>
        <v>0</v>
      </c>
      <c r="BF224">
        <f t="shared" si="91"/>
        <v>0</v>
      </c>
      <c r="BG224">
        <f>IF(ISNUMBER(Asistencia!M235),Asistencia!M235,0)</f>
        <v>0</v>
      </c>
      <c r="BH224">
        <f>IF(ISNUMBER(Asistencia!N235),Asistencia!N235,0)</f>
        <v>0</v>
      </c>
      <c r="BI224">
        <f>IF(ISNUMBER(Asistencia!O235),Asistencia!O235,0)</f>
        <v>0</v>
      </c>
      <c r="BJ224">
        <f>IF(ISNUMBER(Asistencia!P235),Asistencia!P235,0)</f>
        <v>0</v>
      </c>
      <c r="BK224" t="str">
        <f>IF(Asistencia!F235="","",Asistencia!F235)</f>
        <v/>
      </c>
      <c r="BL224" t="str">
        <f>IF(Asistencia!G235="","",Asistencia!G235)</f>
        <v/>
      </c>
      <c r="BM224" t="str">
        <f>IF(Asistencia!H235="","",Asistencia!H235)</f>
        <v/>
      </c>
      <c r="BN224" t="str">
        <f>IF(Asistencia!I235="","",Asistencia!I235)</f>
        <v/>
      </c>
      <c r="BO224" t="str">
        <f>IF(Asistencia!J235="","",Asistencia!J235)</f>
        <v/>
      </c>
      <c r="BP224" t="str">
        <f>IF(Asistencia!K235="","",Asistencia!K235)</f>
        <v/>
      </c>
      <c r="BQ224" t="str">
        <f>IF(Asistencia!L235="","",Asistencia!L235)</f>
        <v/>
      </c>
    </row>
    <row r="225" spans="1:69" x14ac:dyDescent="0.25">
      <c r="A225" s="46"/>
      <c r="B225" s="47"/>
      <c r="C225" s="47"/>
      <c r="D225" s="47"/>
      <c r="E225" s="46"/>
      <c r="F225" s="45"/>
      <c r="G225" s="44"/>
      <c r="H225" s="44"/>
      <c r="I225" s="44"/>
      <c r="J225" s="44"/>
      <c r="K225" s="44"/>
      <c r="L225" s="44"/>
      <c r="M225" s="43"/>
      <c r="N225" s="41"/>
      <c r="O225" s="41"/>
      <c r="P225" s="41"/>
      <c r="Q225" s="41"/>
      <c r="R225" s="41"/>
      <c r="S225" s="41"/>
      <c r="T225" s="48"/>
      <c r="U225" s="41"/>
      <c r="V225" s="41"/>
      <c r="W225" s="42"/>
      <c r="AA225" t="str">
        <f t="shared" si="88"/>
        <v/>
      </c>
      <c r="AB225" t="str">
        <f>IF(Asistencia!A236="","",Asistencia!A236)</f>
        <v/>
      </c>
      <c r="AC225" t="str">
        <f>IF(Asistencia!A236="","",SUBSTITUTE(SUBSTITUTE(SUBSTITUTE(SUBSTITUTE(SUBSTITUTE(SUBSTITUTE(SUBSTITUTE(UPPER(TRIM(Asistencia!A236)),"Á","A"),"É","E"),"Í","I"),"Ó","O"),"Ú","U"),"Ñ","N"),"  "," "))</f>
        <v/>
      </c>
      <c r="AD225" t="str">
        <f>IF(Asistencia!E236="","",Asistencia!E236)</f>
        <v/>
      </c>
      <c r="AE225" t="str">
        <f>IF(Asistencia!D236="","",UPPER(TRIM(Asistencia!D236)))</f>
        <v/>
      </c>
      <c r="AF225" t="s">
        <v>196</v>
      </c>
      <c r="AG225">
        <f>IF(AND(AA225&lt;&gt;"",COUNTIF($AA$5:AA225,AA225)=1),1,0)</f>
        <v>0</v>
      </c>
      <c r="AH225" t="str">
        <f>IF(AG225=1,SUM($AG$5:AG225),"")</f>
        <v/>
      </c>
      <c r="AI225">
        <f>IF(OR(EXACT(Asistencia!F236,"A"),EXACT(Asistencia!F236,"R"),EXACT(Asistencia!F236,"DL"),EXACT(Asistencia!F236,"FL"),EXACT(Asistencia!F236,"FE"),EXACT(Asistencia!F236,"PCS"),EXACT(Asistencia!F236,"V")),1,0)</f>
        <v>0</v>
      </c>
      <c r="AJ225">
        <f>IF(OR(EXACT(Asistencia!G236,"A"),EXACT(Asistencia!G236,"R"),EXACT(Asistencia!G236,"DL"),EXACT(Asistencia!G236,"FL"),EXACT(Asistencia!G236,"FE"),EXACT(Asistencia!G236,"PCS"),EXACT(Asistencia!G236,"V")),1,0)</f>
        <v>0</v>
      </c>
      <c r="AK225">
        <f>IF(OR(EXACT(Asistencia!H236,"A"),EXACT(Asistencia!H236,"R"),EXACT(Asistencia!H236,"DL"),EXACT(Asistencia!H236,"FL"),EXACT(Asistencia!H236,"FE"),EXACT(Asistencia!H236,"PCS"),EXACT(Asistencia!H236,"V")),1,0)</f>
        <v>0</v>
      </c>
      <c r="AL225">
        <f>IF(OR(EXACT(Asistencia!I236,"A"),EXACT(Asistencia!I236,"R"),EXACT(Asistencia!I236,"DL"),EXACT(Asistencia!I236,"FL"),EXACT(Asistencia!I236,"FE"),EXACT(Asistencia!I236,"PCS"),EXACT(Asistencia!I236,"V")),1,0)</f>
        <v>0</v>
      </c>
      <c r="AM225">
        <f>IF(OR(EXACT(Asistencia!J236,"A"),EXACT(Asistencia!J236,"R"),EXACT(Asistencia!J236,"DL"),EXACT(Asistencia!J236,"FL"),EXACT(Asistencia!J236,"FE"),EXACT(Asistencia!J236,"PCS"),EXACT(Asistencia!J236,"V")),1,0)</f>
        <v>0</v>
      </c>
      <c r="AN225">
        <f>IF(OR(EXACT(Asistencia!K236,"A"),EXACT(Asistencia!K236,"R"),EXACT(Asistencia!K236,"DL"),EXACT(Asistencia!K236,"FL"),EXACT(Asistencia!K236,"FE"),EXACT(Asistencia!K236,"PCS"),EXACT(Asistencia!K236,"V")),1,0)</f>
        <v>0</v>
      </c>
      <c r="AO225">
        <f>IF(OR(EXACT(Asistencia!L236,"A"),EXACT(Asistencia!L236,"R"),EXACT(Asistencia!L236,"DL"),EXACT(Asistencia!L236,"FL"),EXACT(Asistencia!L236,"FE"),EXACT(Asistencia!L236,"PCS"),EXACT(Asistencia!L236,"V")),1,0)</f>
        <v>0</v>
      </c>
      <c r="AP225">
        <f t="shared" si="89"/>
        <v>0</v>
      </c>
      <c r="AQ225">
        <f>IF(EXACT(Asistencia!F236,"FL"),1,0)</f>
        <v>0</v>
      </c>
      <c r="AR225">
        <f>IF(EXACT(Asistencia!G236,"FL"),1,0)</f>
        <v>0</v>
      </c>
      <c r="AS225">
        <f>IF(EXACT(Asistencia!H236,"FL"),1,0)</f>
        <v>0</v>
      </c>
      <c r="AT225">
        <f>IF(EXACT(Asistencia!I236,"FL"),1,0)</f>
        <v>0</v>
      </c>
      <c r="AU225">
        <f>IF(EXACT(Asistencia!J236,"FL"),1,0)</f>
        <v>0</v>
      </c>
      <c r="AV225">
        <f>IF(EXACT(Asistencia!K236,"FL"),1,0)</f>
        <v>0</v>
      </c>
      <c r="AW225">
        <f>IF(EXACT(Asistencia!L236,"FL"),1,0)</f>
        <v>0</v>
      </c>
      <c r="AX225">
        <f t="shared" si="90"/>
        <v>0</v>
      </c>
      <c r="AY225">
        <f>IF(EXACT(Asistencia!F236,"DL"),1,0)</f>
        <v>0</v>
      </c>
      <c r="AZ225">
        <f>IF(EXACT(Asistencia!G236,"DL"),1,0)</f>
        <v>0</v>
      </c>
      <c r="BA225">
        <f>IF(EXACT(Asistencia!H236,"DL"),1,0)</f>
        <v>0</v>
      </c>
      <c r="BB225">
        <f>IF(EXACT(Asistencia!I236,"DL"),1,0)</f>
        <v>0</v>
      </c>
      <c r="BC225">
        <f>IF(EXACT(Asistencia!J236,"DL"),1,0)</f>
        <v>0</v>
      </c>
      <c r="BD225">
        <f>IF(EXACT(Asistencia!K236,"DL"),1,0)</f>
        <v>0</v>
      </c>
      <c r="BE225">
        <f>IF(EXACT(Asistencia!L236,"DL"),1,0)</f>
        <v>0</v>
      </c>
      <c r="BF225">
        <f t="shared" si="91"/>
        <v>0</v>
      </c>
      <c r="BG225">
        <f>IF(ISNUMBER(Asistencia!M236),Asistencia!M236,0)</f>
        <v>0</v>
      </c>
      <c r="BH225">
        <f>IF(ISNUMBER(Asistencia!N236),Asistencia!N236,0)</f>
        <v>0</v>
      </c>
      <c r="BI225">
        <f>IF(ISNUMBER(Asistencia!O236),Asistencia!O236,0)</f>
        <v>0</v>
      </c>
      <c r="BJ225">
        <f>IF(ISNUMBER(Asistencia!P236),Asistencia!P236,0)</f>
        <v>0</v>
      </c>
      <c r="BK225" t="str">
        <f>IF(Asistencia!F236="","",Asistencia!F236)</f>
        <v/>
      </c>
      <c r="BL225" t="str">
        <f>IF(Asistencia!G236="","",Asistencia!G236)</f>
        <v/>
      </c>
      <c r="BM225" t="str">
        <f>IF(Asistencia!H236="","",Asistencia!H236)</f>
        <v/>
      </c>
      <c r="BN225" t="str">
        <f>IF(Asistencia!I236="","",Asistencia!I236)</f>
        <v/>
      </c>
      <c r="BO225" t="str">
        <f>IF(Asistencia!J236="","",Asistencia!J236)</f>
        <v/>
      </c>
      <c r="BP225" t="str">
        <f>IF(Asistencia!K236="","",Asistencia!K236)</f>
        <v/>
      </c>
      <c r="BQ225" t="str">
        <f>IF(Asistencia!L236="","",Asistencia!L236)</f>
        <v/>
      </c>
    </row>
    <row r="226" spans="1:69" x14ac:dyDescent="0.25">
      <c r="A226" s="46"/>
      <c r="B226" s="47"/>
      <c r="C226" s="47"/>
      <c r="D226" s="47"/>
      <c r="E226" s="46"/>
      <c r="F226" s="45"/>
      <c r="G226" s="44"/>
      <c r="H226" s="44"/>
      <c r="I226" s="44"/>
      <c r="J226" s="44"/>
      <c r="K226" s="44"/>
      <c r="L226" s="44"/>
      <c r="M226" s="43"/>
      <c r="N226" s="41"/>
      <c r="O226" s="41"/>
      <c r="P226" s="41"/>
      <c r="Q226" s="41"/>
      <c r="R226" s="41"/>
      <c r="S226" s="41"/>
      <c r="T226" s="48"/>
      <c r="U226" s="41"/>
      <c r="V226" s="41"/>
      <c r="W226" s="42"/>
      <c r="AA226" t="str">
        <f t="shared" si="88"/>
        <v/>
      </c>
      <c r="AB226" t="str">
        <f>IF(Asistencia!A237="","",Asistencia!A237)</f>
        <v/>
      </c>
      <c r="AC226" t="str">
        <f>IF(Asistencia!A237="","",SUBSTITUTE(SUBSTITUTE(SUBSTITUTE(SUBSTITUTE(SUBSTITUTE(SUBSTITUTE(SUBSTITUTE(UPPER(TRIM(Asistencia!A237)),"Á","A"),"É","E"),"Í","I"),"Ó","O"),"Ú","U"),"Ñ","N"),"  "," "))</f>
        <v/>
      </c>
      <c r="AD226" t="str">
        <f>IF(Asistencia!E237="","",Asistencia!E237)</f>
        <v/>
      </c>
      <c r="AE226" t="str">
        <f>IF(Asistencia!D237="","",UPPER(TRIM(Asistencia!D237)))</f>
        <v/>
      </c>
      <c r="AF226" t="s">
        <v>196</v>
      </c>
      <c r="AG226">
        <f>IF(AND(AA226&lt;&gt;"",COUNTIF($AA$5:AA226,AA226)=1),1,0)</f>
        <v>0</v>
      </c>
      <c r="AH226" t="str">
        <f>IF(AG226=1,SUM($AG$5:AG226),"")</f>
        <v/>
      </c>
      <c r="AI226">
        <f>IF(OR(EXACT(Asistencia!F237,"A"),EXACT(Asistencia!F237,"R"),EXACT(Asistencia!F237,"DL"),EXACT(Asistencia!F237,"FL"),EXACT(Asistencia!F237,"FE"),EXACT(Asistencia!F237,"PCS"),EXACT(Asistencia!F237,"V")),1,0)</f>
        <v>0</v>
      </c>
      <c r="AJ226">
        <f>IF(OR(EXACT(Asistencia!G237,"A"),EXACT(Asistencia!G237,"R"),EXACT(Asistencia!G237,"DL"),EXACT(Asistencia!G237,"FL"),EXACT(Asistencia!G237,"FE"),EXACT(Asistencia!G237,"PCS"),EXACT(Asistencia!G237,"V")),1,0)</f>
        <v>0</v>
      </c>
      <c r="AK226">
        <f>IF(OR(EXACT(Asistencia!H237,"A"),EXACT(Asistencia!H237,"R"),EXACT(Asistencia!H237,"DL"),EXACT(Asistencia!H237,"FL"),EXACT(Asistencia!H237,"FE"),EXACT(Asistencia!H237,"PCS"),EXACT(Asistencia!H237,"V")),1,0)</f>
        <v>0</v>
      </c>
      <c r="AL226">
        <f>IF(OR(EXACT(Asistencia!I237,"A"),EXACT(Asistencia!I237,"R"),EXACT(Asistencia!I237,"DL"),EXACT(Asistencia!I237,"FL"),EXACT(Asistencia!I237,"FE"),EXACT(Asistencia!I237,"PCS"),EXACT(Asistencia!I237,"V")),1,0)</f>
        <v>0</v>
      </c>
      <c r="AM226">
        <f>IF(OR(EXACT(Asistencia!J237,"A"),EXACT(Asistencia!J237,"R"),EXACT(Asistencia!J237,"DL"),EXACT(Asistencia!J237,"FL"),EXACT(Asistencia!J237,"FE"),EXACT(Asistencia!J237,"PCS"),EXACT(Asistencia!J237,"V")),1,0)</f>
        <v>0</v>
      </c>
      <c r="AN226">
        <f>IF(OR(EXACT(Asistencia!K237,"A"),EXACT(Asistencia!K237,"R"),EXACT(Asistencia!K237,"DL"),EXACT(Asistencia!K237,"FL"),EXACT(Asistencia!K237,"FE"),EXACT(Asistencia!K237,"PCS"),EXACT(Asistencia!K237,"V")),1,0)</f>
        <v>0</v>
      </c>
      <c r="AO226">
        <f>IF(OR(EXACT(Asistencia!L237,"A"),EXACT(Asistencia!L237,"R"),EXACT(Asistencia!L237,"DL"),EXACT(Asistencia!L237,"FL"),EXACT(Asistencia!L237,"FE"),EXACT(Asistencia!L237,"PCS"),EXACT(Asistencia!L237,"V")),1,0)</f>
        <v>0</v>
      </c>
      <c r="AP226">
        <f t="shared" si="89"/>
        <v>0</v>
      </c>
      <c r="AQ226">
        <f>IF(EXACT(Asistencia!F237,"FL"),1,0)</f>
        <v>0</v>
      </c>
      <c r="AR226">
        <f>IF(EXACT(Asistencia!G237,"FL"),1,0)</f>
        <v>0</v>
      </c>
      <c r="AS226">
        <f>IF(EXACT(Asistencia!H237,"FL"),1,0)</f>
        <v>0</v>
      </c>
      <c r="AT226">
        <f>IF(EXACT(Asistencia!I237,"FL"),1,0)</f>
        <v>0</v>
      </c>
      <c r="AU226">
        <f>IF(EXACT(Asistencia!J237,"FL"),1,0)</f>
        <v>0</v>
      </c>
      <c r="AV226">
        <f>IF(EXACT(Asistencia!K237,"FL"),1,0)</f>
        <v>0</v>
      </c>
      <c r="AW226">
        <f>IF(EXACT(Asistencia!L237,"FL"),1,0)</f>
        <v>0</v>
      </c>
      <c r="AX226">
        <f t="shared" si="90"/>
        <v>0</v>
      </c>
      <c r="AY226">
        <f>IF(EXACT(Asistencia!F237,"DL"),1,0)</f>
        <v>0</v>
      </c>
      <c r="AZ226">
        <f>IF(EXACT(Asistencia!G237,"DL"),1,0)</f>
        <v>0</v>
      </c>
      <c r="BA226">
        <f>IF(EXACT(Asistencia!H237,"DL"),1,0)</f>
        <v>0</v>
      </c>
      <c r="BB226">
        <f>IF(EXACT(Asistencia!I237,"DL"),1,0)</f>
        <v>0</v>
      </c>
      <c r="BC226">
        <f>IF(EXACT(Asistencia!J237,"DL"),1,0)</f>
        <v>0</v>
      </c>
      <c r="BD226">
        <f>IF(EXACT(Asistencia!K237,"DL"),1,0)</f>
        <v>0</v>
      </c>
      <c r="BE226">
        <f>IF(EXACT(Asistencia!L237,"DL"),1,0)</f>
        <v>0</v>
      </c>
      <c r="BF226">
        <f t="shared" si="91"/>
        <v>0</v>
      </c>
      <c r="BG226">
        <f>IF(ISNUMBER(Asistencia!M237),Asistencia!M237,0)</f>
        <v>0</v>
      </c>
      <c r="BH226">
        <f>IF(ISNUMBER(Asistencia!N237),Asistencia!N237,0)</f>
        <v>0</v>
      </c>
      <c r="BI226">
        <f>IF(ISNUMBER(Asistencia!O237),Asistencia!O237,0)</f>
        <v>0</v>
      </c>
      <c r="BJ226">
        <f>IF(ISNUMBER(Asistencia!P237),Asistencia!P237,0)</f>
        <v>0</v>
      </c>
      <c r="BK226" t="str">
        <f>IF(Asistencia!F237="","",Asistencia!F237)</f>
        <v/>
      </c>
      <c r="BL226" t="str">
        <f>IF(Asistencia!G237="","",Asistencia!G237)</f>
        <v/>
      </c>
      <c r="BM226" t="str">
        <f>IF(Asistencia!H237="","",Asistencia!H237)</f>
        <v/>
      </c>
      <c r="BN226" t="str">
        <f>IF(Asistencia!I237="","",Asistencia!I237)</f>
        <v/>
      </c>
      <c r="BO226" t="str">
        <f>IF(Asistencia!J237="","",Asistencia!J237)</f>
        <v/>
      </c>
      <c r="BP226" t="str">
        <f>IF(Asistencia!K237="","",Asistencia!K237)</f>
        <v/>
      </c>
      <c r="BQ226" t="str">
        <f>IF(Asistencia!L237="","",Asistencia!L237)</f>
        <v/>
      </c>
    </row>
    <row r="227" spans="1:69" x14ac:dyDescent="0.25">
      <c r="A227" s="46"/>
      <c r="B227" s="47"/>
      <c r="C227" s="47"/>
      <c r="D227" s="47"/>
      <c r="E227" s="46"/>
      <c r="F227" s="45"/>
      <c r="G227" s="44"/>
      <c r="H227" s="44"/>
      <c r="I227" s="44"/>
      <c r="J227" s="44"/>
      <c r="K227" s="44"/>
      <c r="L227" s="44"/>
      <c r="M227" s="43"/>
      <c r="N227" s="41"/>
      <c r="O227" s="41"/>
      <c r="P227" s="41"/>
      <c r="Q227" s="41"/>
      <c r="R227" s="41"/>
      <c r="S227" s="41"/>
      <c r="T227" s="48"/>
      <c r="U227" s="41"/>
      <c r="V227" s="41"/>
      <c r="W227" s="42"/>
      <c r="AA227" t="str">
        <f t="shared" si="88"/>
        <v/>
      </c>
      <c r="AB227" t="str">
        <f>IF(Asistencia!A238="","",Asistencia!A238)</f>
        <v/>
      </c>
      <c r="AC227" t="str">
        <f>IF(Asistencia!A238="","",SUBSTITUTE(SUBSTITUTE(SUBSTITUTE(SUBSTITUTE(SUBSTITUTE(SUBSTITUTE(SUBSTITUTE(UPPER(TRIM(Asistencia!A238)),"Á","A"),"É","E"),"Í","I"),"Ó","O"),"Ú","U"),"Ñ","N"),"  "," "))</f>
        <v/>
      </c>
      <c r="AD227" t="str">
        <f>IF(Asistencia!E238="","",Asistencia!E238)</f>
        <v/>
      </c>
      <c r="AE227" t="str">
        <f>IF(Asistencia!D238="","",UPPER(TRIM(Asistencia!D238)))</f>
        <v/>
      </c>
      <c r="AF227" t="s">
        <v>196</v>
      </c>
      <c r="AG227">
        <f>IF(AND(AA227&lt;&gt;"",COUNTIF($AA$5:AA227,AA227)=1),1,0)</f>
        <v>0</v>
      </c>
      <c r="AH227" t="str">
        <f>IF(AG227=1,SUM($AG$5:AG227),"")</f>
        <v/>
      </c>
      <c r="AI227">
        <f>IF(OR(EXACT(Asistencia!F238,"A"),EXACT(Asistencia!F238,"R"),EXACT(Asistencia!F238,"DL"),EXACT(Asistencia!F238,"FL"),EXACT(Asistencia!F238,"FE"),EXACT(Asistencia!F238,"PCS"),EXACT(Asistencia!F238,"V")),1,0)</f>
        <v>0</v>
      </c>
      <c r="AJ227">
        <f>IF(OR(EXACT(Asistencia!G238,"A"),EXACT(Asistencia!G238,"R"),EXACT(Asistencia!G238,"DL"),EXACT(Asistencia!G238,"FL"),EXACT(Asistencia!G238,"FE"),EXACT(Asistencia!G238,"PCS"),EXACT(Asistencia!G238,"V")),1,0)</f>
        <v>0</v>
      </c>
      <c r="AK227">
        <f>IF(OR(EXACT(Asistencia!H238,"A"),EXACT(Asistencia!H238,"R"),EXACT(Asistencia!H238,"DL"),EXACT(Asistencia!H238,"FL"),EXACT(Asistencia!H238,"FE"),EXACT(Asistencia!H238,"PCS"),EXACT(Asistencia!H238,"V")),1,0)</f>
        <v>0</v>
      </c>
      <c r="AL227">
        <f>IF(OR(EXACT(Asistencia!I238,"A"),EXACT(Asistencia!I238,"R"),EXACT(Asistencia!I238,"DL"),EXACT(Asistencia!I238,"FL"),EXACT(Asistencia!I238,"FE"),EXACT(Asistencia!I238,"PCS"),EXACT(Asistencia!I238,"V")),1,0)</f>
        <v>0</v>
      </c>
      <c r="AM227">
        <f>IF(OR(EXACT(Asistencia!J238,"A"),EXACT(Asistencia!J238,"R"),EXACT(Asistencia!J238,"DL"),EXACT(Asistencia!J238,"FL"),EXACT(Asistencia!J238,"FE"),EXACT(Asistencia!J238,"PCS"),EXACT(Asistencia!J238,"V")),1,0)</f>
        <v>0</v>
      </c>
      <c r="AN227">
        <f>IF(OR(EXACT(Asistencia!K238,"A"),EXACT(Asistencia!K238,"R"),EXACT(Asistencia!K238,"DL"),EXACT(Asistencia!K238,"FL"),EXACT(Asistencia!K238,"FE"),EXACT(Asistencia!K238,"PCS"),EXACT(Asistencia!K238,"V")),1,0)</f>
        <v>0</v>
      </c>
      <c r="AO227">
        <f>IF(OR(EXACT(Asistencia!L238,"A"),EXACT(Asistencia!L238,"R"),EXACT(Asistencia!L238,"DL"),EXACT(Asistencia!L238,"FL"),EXACT(Asistencia!L238,"FE"),EXACT(Asistencia!L238,"PCS"),EXACT(Asistencia!L238,"V")),1,0)</f>
        <v>0</v>
      </c>
      <c r="AP227">
        <f t="shared" si="89"/>
        <v>0</v>
      </c>
      <c r="AQ227">
        <f>IF(EXACT(Asistencia!F238,"FL"),1,0)</f>
        <v>0</v>
      </c>
      <c r="AR227">
        <f>IF(EXACT(Asistencia!G238,"FL"),1,0)</f>
        <v>0</v>
      </c>
      <c r="AS227">
        <f>IF(EXACT(Asistencia!H238,"FL"),1,0)</f>
        <v>0</v>
      </c>
      <c r="AT227">
        <f>IF(EXACT(Asistencia!I238,"FL"),1,0)</f>
        <v>0</v>
      </c>
      <c r="AU227">
        <f>IF(EXACT(Asistencia!J238,"FL"),1,0)</f>
        <v>0</v>
      </c>
      <c r="AV227">
        <f>IF(EXACT(Asistencia!K238,"FL"),1,0)</f>
        <v>0</v>
      </c>
      <c r="AW227">
        <f>IF(EXACT(Asistencia!L238,"FL"),1,0)</f>
        <v>0</v>
      </c>
      <c r="AX227">
        <f t="shared" si="90"/>
        <v>0</v>
      </c>
      <c r="AY227">
        <f>IF(EXACT(Asistencia!F238,"DL"),1,0)</f>
        <v>0</v>
      </c>
      <c r="AZ227">
        <f>IF(EXACT(Asistencia!G238,"DL"),1,0)</f>
        <v>0</v>
      </c>
      <c r="BA227">
        <f>IF(EXACT(Asistencia!H238,"DL"),1,0)</f>
        <v>0</v>
      </c>
      <c r="BB227">
        <f>IF(EXACT(Asistencia!I238,"DL"),1,0)</f>
        <v>0</v>
      </c>
      <c r="BC227">
        <f>IF(EXACT(Asistencia!J238,"DL"),1,0)</f>
        <v>0</v>
      </c>
      <c r="BD227">
        <f>IF(EXACT(Asistencia!K238,"DL"),1,0)</f>
        <v>0</v>
      </c>
      <c r="BE227">
        <f>IF(EXACT(Asistencia!L238,"DL"),1,0)</f>
        <v>0</v>
      </c>
      <c r="BF227">
        <f t="shared" si="91"/>
        <v>0</v>
      </c>
      <c r="BG227">
        <f>IF(ISNUMBER(Asistencia!M238),Asistencia!M238,0)</f>
        <v>0</v>
      </c>
      <c r="BH227">
        <f>IF(ISNUMBER(Asistencia!N238),Asistencia!N238,0)</f>
        <v>0</v>
      </c>
      <c r="BI227">
        <f>IF(ISNUMBER(Asistencia!O238),Asistencia!O238,0)</f>
        <v>0</v>
      </c>
      <c r="BJ227">
        <f>IF(ISNUMBER(Asistencia!P238),Asistencia!P238,0)</f>
        <v>0</v>
      </c>
      <c r="BK227" t="str">
        <f>IF(Asistencia!F238="","",Asistencia!F238)</f>
        <v/>
      </c>
      <c r="BL227" t="str">
        <f>IF(Asistencia!G238="","",Asistencia!G238)</f>
        <v/>
      </c>
      <c r="BM227" t="str">
        <f>IF(Asistencia!H238="","",Asistencia!H238)</f>
        <v/>
      </c>
      <c r="BN227" t="str">
        <f>IF(Asistencia!I238="","",Asistencia!I238)</f>
        <v/>
      </c>
      <c r="BO227" t="str">
        <f>IF(Asistencia!J238="","",Asistencia!J238)</f>
        <v/>
      </c>
      <c r="BP227" t="str">
        <f>IF(Asistencia!K238="","",Asistencia!K238)</f>
        <v/>
      </c>
      <c r="BQ227" t="str">
        <f>IF(Asistencia!L238="","",Asistencia!L238)</f>
        <v/>
      </c>
    </row>
    <row r="228" spans="1:69" x14ac:dyDescent="0.25">
      <c r="A228" s="46"/>
      <c r="B228" s="47"/>
      <c r="C228" s="47"/>
      <c r="D228" s="47"/>
      <c r="E228" s="46"/>
      <c r="F228" s="45"/>
      <c r="G228" s="44"/>
      <c r="H228" s="44"/>
      <c r="I228" s="44"/>
      <c r="J228" s="44"/>
      <c r="K228" s="44"/>
      <c r="L228" s="44"/>
      <c r="M228" s="43"/>
      <c r="N228" s="41"/>
      <c r="O228" s="41"/>
      <c r="P228" s="41"/>
      <c r="Q228" s="41"/>
      <c r="R228" s="41"/>
      <c r="S228" s="41"/>
      <c r="T228" s="48"/>
      <c r="U228" s="41"/>
      <c r="V228" s="41"/>
      <c r="W228" s="42"/>
      <c r="AA228" t="str">
        <f t="shared" si="88"/>
        <v/>
      </c>
      <c r="AB228" t="str">
        <f>IF(Asistencia!A239="","",Asistencia!A239)</f>
        <v/>
      </c>
      <c r="AC228" t="str">
        <f>IF(Asistencia!A239="","",SUBSTITUTE(SUBSTITUTE(SUBSTITUTE(SUBSTITUTE(SUBSTITUTE(SUBSTITUTE(SUBSTITUTE(UPPER(TRIM(Asistencia!A239)),"Á","A"),"É","E"),"Í","I"),"Ó","O"),"Ú","U"),"Ñ","N"),"  "," "))</f>
        <v/>
      </c>
      <c r="AD228" t="str">
        <f>IF(Asistencia!E239="","",Asistencia!E239)</f>
        <v/>
      </c>
      <c r="AE228" t="str">
        <f>IF(Asistencia!D239="","",UPPER(TRIM(Asistencia!D239)))</f>
        <v/>
      </c>
      <c r="AF228" t="s">
        <v>196</v>
      </c>
      <c r="AG228">
        <f>IF(AND(AA228&lt;&gt;"",COUNTIF($AA$5:AA228,AA228)=1),1,0)</f>
        <v>0</v>
      </c>
      <c r="AH228" t="str">
        <f>IF(AG228=1,SUM($AG$5:AG228),"")</f>
        <v/>
      </c>
      <c r="AI228">
        <f>IF(OR(EXACT(Asistencia!F239,"A"),EXACT(Asistencia!F239,"R"),EXACT(Asistencia!F239,"DL"),EXACT(Asistencia!F239,"FL"),EXACT(Asistencia!F239,"FE"),EXACT(Asistencia!F239,"PCS"),EXACT(Asistencia!F239,"V")),1,0)</f>
        <v>0</v>
      </c>
      <c r="AJ228">
        <f>IF(OR(EXACT(Asistencia!G239,"A"),EXACT(Asistencia!G239,"R"),EXACT(Asistencia!G239,"DL"),EXACT(Asistencia!G239,"FL"),EXACT(Asistencia!G239,"FE"),EXACT(Asistencia!G239,"PCS"),EXACT(Asistencia!G239,"V")),1,0)</f>
        <v>0</v>
      </c>
      <c r="AK228">
        <f>IF(OR(EXACT(Asistencia!H239,"A"),EXACT(Asistencia!H239,"R"),EXACT(Asistencia!H239,"DL"),EXACT(Asistencia!H239,"FL"),EXACT(Asistencia!H239,"FE"),EXACT(Asistencia!H239,"PCS"),EXACT(Asistencia!H239,"V")),1,0)</f>
        <v>0</v>
      </c>
      <c r="AL228">
        <f>IF(OR(EXACT(Asistencia!I239,"A"),EXACT(Asistencia!I239,"R"),EXACT(Asistencia!I239,"DL"),EXACT(Asistencia!I239,"FL"),EXACT(Asistencia!I239,"FE"),EXACT(Asistencia!I239,"PCS"),EXACT(Asistencia!I239,"V")),1,0)</f>
        <v>0</v>
      </c>
      <c r="AM228">
        <f>IF(OR(EXACT(Asistencia!J239,"A"),EXACT(Asistencia!J239,"R"),EXACT(Asistencia!J239,"DL"),EXACT(Asistencia!J239,"FL"),EXACT(Asistencia!J239,"FE"),EXACT(Asistencia!J239,"PCS"),EXACT(Asistencia!J239,"V")),1,0)</f>
        <v>0</v>
      </c>
      <c r="AN228">
        <f>IF(OR(EXACT(Asistencia!K239,"A"),EXACT(Asistencia!K239,"R"),EXACT(Asistencia!K239,"DL"),EXACT(Asistencia!K239,"FL"),EXACT(Asistencia!K239,"FE"),EXACT(Asistencia!K239,"PCS"),EXACT(Asistencia!K239,"V")),1,0)</f>
        <v>0</v>
      </c>
      <c r="AO228">
        <f>IF(OR(EXACT(Asistencia!L239,"A"),EXACT(Asistencia!L239,"R"),EXACT(Asistencia!L239,"DL"),EXACT(Asistencia!L239,"FL"),EXACT(Asistencia!L239,"FE"),EXACT(Asistencia!L239,"PCS"),EXACT(Asistencia!L239,"V")),1,0)</f>
        <v>0</v>
      </c>
      <c r="AP228">
        <f t="shared" si="89"/>
        <v>0</v>
      </c>
      <c r="AQ228">
        <f>IF(EXACT(Asistencia!F239,"FL"),1,0)</f>
        <v>0</v>
      </c>
      <c r="AR228">
        <f>IF(EXACT(Asistencia!G239,"FL"),1,0)</f>
        <v>0</v>
      </c>
      <c r="AS228">
        <f>IF(EXACT(Asistencia!H239,"FL"),1,0)</f>
        <v>0</v>
      </c>
      <c r="AT228">
        <f>IF(EXACT(Asistencia!I239,"FL"),1,0)</f>
        <v>0</v>
      </c>
      <c r="AU228">
        <f>IF(EXACT(Asistencia!J239,"FL"),1,0)</f>
        <v>0</v>
      </c>
      <c r="AV228">
        <f>IF(EXACT(Asistencia!K239,"FL"),1,0)</f>
        <v>0</v>
      </c>
      <c r="AW228">
        <f>IF(EXACT(Asistencia!L239,"FL"),1,0)</f>
        <v>0</v>
      </c>
      <c r="AX228">
        <f t="shared" si="90"/>
        <v>0</v>
      </c>
      <c r="AY228">
        <f>IF(EXACT(Asistencia!F239,"DL"),1,0)</f>
        <v>0</v>
      </c>
      <c r="AZ228">
        <f>IF(EXACT(Asistencia!G239,"DL"),1,0)</f>
        <v>0</v>
      </c>
      <c r="BA228">
        <f>IF(EXACT(Asistencia!H239,"DL"),1,0)</f>
        <v>0</v>
      </c>
      <c r="BB228">
        <f>IF(EXACT(Asistencia!I239,"DL"),1,0)</f>
        <v>0</v>
      </c>
      <c r="BC228">
        <f>IF(EXACT(Asistencia!J239,"DL"),1,0)</f>
        <v>0</v>
      </c>
      <c r="BD228">
        <f>IF(EXACT(Asistencia!K239,"DL"),1,0)</f>
        <v>0</v>
      </c>
      <c r="BE228">
        <f>IF(EXACT(Asistencia!L239,"DL"),1,0)</f>
        <v>0</v>
      </c>
      <c r="BF228">
        <f t="shared" si="91"/>
        <v>0</v>
      </c>
      <c r="BG228">
        <f>IF(ISNUMBER(Asistencia!M239),Asistencia!M239,0)</f>
        <v>0</v>
      </c>
      <c r="BH228">
        <f>IF(ISNUMBER(Asistencia!N239),Asistencia!N239,0)</f>
        <v>0</v>
      </c>
      <c r="BI228">
        <f>IF(ISNUMBER(Asistencia!O239),Asistencia!O239,0)</f>
        <v>0</v>
      </c>
      <c r="BJ228">
        <f>IF(ISNUMBER(Asistencia!P239),Asistencia!P239,0)</f>
        <v>0</v>
      </c>
      <c r="BK228" t="str">
        <f>IF(Asistencia!F239="","",Asistencia!F239)</f>
        <v/>
      </c>
      <c r="BL228" t="str">
        <f>IF(Asistencia!G239="","",Asistencia!G239)</f>
        <v/>
      </c>
      <c r="BM228" t="str">
        <f>IF(Asistencia!H239="","",Asistencia!H239)</f>
        <v/>
      </c>
      <c r="BN228" t="str">
        <f>IF(Asistencia!I239="","",Asistencia!I239)</f>
        <v/>
      </c>
      <c r="BO228" t="str">
        <f>IF(Asistencia!J239="","",Asistencia!J239)</f>
        <v/>
      </c>
      <c r="BP228" t="str">
        <f>IF(Asistencia!K239="","",Asistencia!K239)</f>
        <v/>
      </c>
      <c r="BQ228" t="str">
        <f>IF(Asistencia!L239="","",Asistencia!L239)</f>
        <v/>
      </c>
    </row>
    <row r="229" spans="1:69" x14ac:dyDescent="0.25">
      <c r="A229" s="46"/>
      <c r="B229" s="47"/>
      <c r="C229" s="47"/>
      <c r="D229" s="47"/>
      <c r="E229" s="46"/>
      <c r="F229" s="45"/>
      <c r="G229" s="44"/>
      <c r="H229" s="44"/>
      <c r="I229" s="44"/>
      <c r="J229" s="44"/>
      <c r="K229" s="44"/>
      <c r="L229" s="44"/>
      <c r="M229" s="43"/>
      <c r="N229" s="41"/>
      <c r="O229" s="41"/>
      <c r="P229" s="41"/>
      <c r="Q229" s="41"/>
      <c r="R229" s="41"/>
      <c r="S229" s="41"/>
      <c r="T229" s="48"/>
      <c r="U229" s="41"/>
      <c r="V229" s="41"/>
      <c r="W229" s="42"/>
      <c r="AA229" t="str">
        <f t="shared" si="88"/>
        <v/>
      </c>
      <c r="AB229" t="str">
        <f>IF(Asistencia!A240="","",Asistencia!A240)</f>
        <v/>
      </c>
      <c r="AC229" t="str">
        <f>IF(Asistencia!A240="","",SUBSTITUTE(SUBSTITUTE(SUBSTITUTE(SUBSTITUTE(SUBSTITUTE(SUBSTITUTE(SUBSTITUTE(UPPER(TRIM(Asistencia!A240)),"Á","A"),"É","E"),"Í","I"),"Ó","O"),"Ú","U"),"Ñ","N"),"  "," "))</f>
        <v/>
      </c>
      <c r="AD229" t="str">
        <f>IF(Asistencia!E240="","",Asistencia!E240)</f>
        <v/>
      </c>
      <c r="AE229" t="str">
        <f>IF(Asistencia!D240="","",UPPER(TRIM(Asistencia!D240)))</f>
        <v/>
      </c>
      <c r="AF229" t="s">
        <v>196</v>
      </c>
      <c r="AG229">
        <f>IF(AND(AA229&lt;&gt;"",COUNTIF($AA$5:AA229,AA229)=1),1,0)</f>
        <v>0</v>
      </c>
      <c r="AH229" t="str">
        <f>IF(AG229=1,SUM($AG$5:AG229),"")</f>
        <v/>
      </c>
      <c r="AI229">
        <f>IF(OR(EXACT(Asistencia!F240,"A"),EXACT(Asistencia!F240,"R"),EXACT(Asistencia!F240,"DL"),EXACT(Asistencia!F240,"FL"),EXACT(Asistencia!F240,"FE"),EXACT(Asistencia!F240,"PCS"),EXACT(Asistencia!F240,"V")),1,0)</f>
        <v>0</v>
      </c>
      <c r="AJ229">
        <f>IF(OR(EXACT(Asistencia!G240,"A"),EXACT(Asistencia!G240,"R"),EXACT(Asistencia!G240,"DL"),EXACT(Asistencia!G240,"FL"),EXACT(Asistencia!G240,"FE"),EXACT(Asistencia!G240,"PCS"),EXACT(Asistencia!G240,"V")),1,0)</f>
        <v>0</v>
      </c>
      <c r="AK229">
        <f>IF(OR(EXACT(Asistencia!H240,"A"),EXACT(Asistencia!H240,"R"),EXACT(Asistencia!H240,"DL"),EXACT(Asistencia!H240,"FL"),EXACT(Asistencia!H240,"FE"),EXACT(Asistencia!H240,"PCS"),EXACT(Asistencia!H240,"V")),1,0)</f>
        <v>0</v>
      </c>
      <c r="AL229">
        <f>IF(OR(EXACT(Asistencia!I240,"A"),EXACT(Asistencia!I240,"R"),EXACT(Asistencia!I240,"DL"),EXACT(Asistencia!I240,"FL"),EXACT(Asistencia!I240,"FE"),EXACT(Asistencia!I240,"PCS"),EXACT(Asistencia!I240,"V")),1,0)</f>
        <v>0</v>
      </c>
      <c r="AM229">
        <f>IF(OR(EXACT(Asistencia!J240,"A"),EXACT(Asistencia!J240,"R"),EXACT(Asistencia!J240,"DL"),EXACT(Asistencia!J240,"FL"),EXACT(Asistencia!J240,"FE"),EXACT(Asistencia!J240,"PCS"),EXACT(Asistencia!J240,"V")),1,0)</f>
        <v>0</v>
      </c>
      <c r="AN229">
        <f>IF(OR(EXACT(Asistencia!K240,"A"),EXACT(Asistencia!K240,"R"),EXACT(Asistencia!K240,"DL"),EXACT(Asistencia!K240,"FL"),EXACT(Asistencia!K240,"FE"),EXACT(Asistencia!K240,"PCS"),EXACT(Asistencia!K240,"V")),1,0)</f>
        <v>0</v>
      </c>
      <c r="AO229">
        <f>IF(OR(EXACT(Asistencia!L240,"A"),EXACT(Asistencia!L240,"R"),EXACT(Asistencia!L240,"DL"),EXACT(Asistencia!L240,"FL"),EXACT(Asistencia!L240,"FE"),EXACT(Asistencia!L240,"PCS"),EXACT(Asistencia!L240,"V")),1,0)</f>
        <v>0</v>
      </c>
      <c r="AP229">
        <f t="shared" si="89"/>
        <v>0</v>
      </c>
      <c r="AQ229">
        <f>IF(EXACT(Asistencia!F240,"FL"),1,0)</f>
        <v>0</v>
      </c>
      <c r="AR229">
        <f>IF(EXACT(Asistencia!G240,"FL"),1,0)</f>
        <v>0</v>
      </c>
      <c r="AS229">
        <f>IF(EXACT(Asistencia!H240,"FL"),1,0)</f>
        <v>0</v>
      </c>
      <c r="AT229">
        <f>IF(EXACT(Asistencia!I240,"FL"),1,0)</f>
        <v>0</v>
      </c>
      <c r="AU229">
        <f>IF(EXACT(Asistencia!J240,"FL"),1,0)</f>
        <v>0</v>
      </c>
      <c r="AV229">
        <f>IF(EXACT(Asistencia!K240,"FL"),1,0)</f>
        <v>0</v>
      </c>
      <c r="AW229">
        <f>IF(EXACT(Asistencia!L240,"FL"),1,0)</f>
        <v>0</v>
      </c>
      <c r="AX229">
        <f t="shared" si="90"/>
        <v>0</v>
      </c>
      <c r="AY229">
        <f>IF(EXACT(Asistencia!F240,"DL"),1,0)</f>
        <v>0</v>
      </c>
      <c r="AZ229">
        <f>IF(EXACT(Asistencia!G240,"DL"),1,0)</f>
        <v>0</v>
      </c>
      <c r="BA229">
        <f>IF(EXACT(Asistencia!H240,"DL"),1,0)</f>
        <v>0</v>
      </c>
      <c r="BB229">
        <f>IF(EXACT(Asistencia!I240,"DL"),1,0)</f>
        <v>0</v>
      </c>
      <c r="BC229">
        <f>IF(EXACT(Asistencia!J240,"DL"),1,0)</f>
        <v>0</v>
      </c>
      <c r="BD229">
        <f>IF(EXACT(Asistencia!K240,"DL"),1,0)</f>
        <v>0</v>
      </c>
      <c r="BE229">
        <f>IF(EXACT(Asistencia!L240,"DL"),1,0)</f>
        <v>0</v>
      </c>
      <c r="BF229">
        <f t="shared" si="91"/>
        <v>0</v>
      </c>
      <c r="BG229">
        <f>IF(ISNUMBER(Asistencia!M240),Asistencia!M240,0)</f>
        <v>0</v>
      </c>
      <c r="BH229">
        <f>IF(ISNUMBER(Asistencia!N240),Asistencia!N240,0)</f>
        <v>0</v>
      </c>
      <c r="BI229">
        <f>IF(ISNUMBER(Asistencia!O240),Asistencia!O240,0)</f>
        <v>0</v>
      </c>
      <c r="BJ229">
        <f>IF(ISNUMBER(Asistencia!P240),Asistencia!P240,0)</f>
        <v>0</v>
      </c>
      <c r="BK229" t="str">
        <f>IF(Asistencia!F240="","",Asistencia!F240)</f>
        <v/>
      </c>
      <c r="BL229" t="str">
        <f>IF(Asistencia!G240="","",Asistencia!G240)</f>
        <v/>
      </c>
      <c r="BM229" t="str">
        <f>IF(Asistencia!H240="","",Asistencia!H240)</f>
        <v/>
      </c>
      <c r="BN229" t="str">
        <f>IF(Asistencia!I240="","",Asistencia!I240)</f>
        <v/>
      </c>
      <c r="BO229" t="str">
        <f>IF(Asistencia!J240="","",Asistencia!J240)</f>
        <v/>
      </c>
      <c r="BP229" t="str">
        <f>IF(Asistencia!K240="","",Asistencia!K240)</f>
        <v/>
      </c>
      <c r="BQ229" t="str">
        <f>IF(Asistencia!L240="","",Asistencia!L240)</f>
        <v/>
      </c>
    </row>
    <row r="230" spans="1:69" x14ac:dyDescent="0.25">
      <c r="A230" s="46"/>
      <c r="B230" s="47"/>
      <c r="C230" s="47"/>
      <c r="D230" s="47"/>
      <c r="E230" s="46"/>
      <c r="F230" s="45"/>
      <c r="G230" s="44"/>
      <c r="H230" s="44"/>
      <c r="I230" s="44"/>
      <c r="J230" s="44"/>
      <c r="K230" s="44"/>
      <c r="L230" s="44"/>
      <c r="M230" s="43"/>
      <c r="N230" s="41"/>
      <c r="O230" s="41"/>
      <c r="P230" s="41"/>
      <c r="Q230" s="41"/>
      <c r="R230" s="41"/>
      <c r="S230" s="41"/>
      <c r="T230" s="48"/>
      <c r="U230" s="41"/>
      <c r="V230" s="41"/>
      <c r="W230" s="42"/>
      <c r="AA230" t="str">
        <f t="shared" si="88"/>
        <v/>
      </c>
      <c r="AB230" t="str">
        <f>IF(Asistencia!A241="","",Asistencia!A241)</f>
        <v/>
      </c>
      <c r="AC230" t="str">
        <f>IF(Asistencia!A241="","",SUBSTITUTE(SUBSTITUTE(SUBSTITUTE(SUBSTITUTE(SUBSTITUTE(SUBSTITUTE(SUBSTITUTE(UPPER(TRIM(Asistencia!A241)),"Á","A"),"É","E"),"Í","I"),"Ó","O"),"Ú","U"),"Ñ","N"),"  "," "))</f>
        <v/>
      </c>
      <c r="AD230" t="str">
        <f>IF(Asistencia!E241="","",Asistencia!E241)</f>
        <v/>
      </c>
      <c r="AE230" t="str">
        <f>IF(Asistencia!D241="","",UPPER(TRIM(Asistencia!D241)))</f>
        <v/>
      </c>
      <c r="AF230" t="s">
        <v>196</v>
      </c>
      <c r="AG230">
        <f>IF(AND(AA230&lt;&gt;"",COUNTIF($AA$5:AA230,AA230)=1),1,0)</f>
        <v>0</v>
      </c>
      <c r="AH230" t="str">
        <f>IF(AG230=1,SUM($AG$5:AG230),"")</f>
        <v/>
      </c>
      <c r="AI230">
        <f>IF(OR(EXACT(Asistencia!F241,"A"),EXACT(Asistencia!F241,"R"),EXACT(Asistencia!F241,"DL"),EXACT(Asistencia!F241,"FL"),EXACT(Asistencia!F241,"FE"),EXACT(Asistencia!F241,"PCS"),EXACT(Asistencia!F241,"V")),1,0)</f>
        <v>0</v>
      </c>
      <c r="AJ230">
        <f>IF(OR(EXACT(Asistencia!G241,"A"),EXACT(Asistencia!G241,"R"),EXACT(Asistencia!G241,"DL"),EXACT(Asistencia!G241,"FL"),EXACT(Asistencia!G241,"FE"),EXACT(Asistencia!G241,"PCS"),EXACT(Asistencia!G241,"V")),1,0)</f>
        <v>0</v>
      </c>
      <c r="AK230">
        <f>IF(OR(EXACT(Asistencia!H241,"A"),EXACT(Asistencia!H241,"R"),EXACT(Asistencia!H241,"DL"),EXACT(Asistencia!H241,"FL"),EXACT(Asistencia!H241,"FE"),EXACT(Asistencia!H241,"PCS"),EXACT(Asistencia!H241,"V")),1,0)</f>
        <v>0</v>
      </c>
      <c r="AL230">
        <f>IF(OR(EXACT(Asistencia!I241,"A"),EXACT(Asistencia!I241,"R"),EXACT(Asistencia!I241,"DL"),EXACT(Asistencia!I241,"FL"),EXACT(Asistencia!I241,"FE"),EXACT(Asistencia!I241,"PCS"),EXACT(Asistencia!I241,"V")),1,0)</f>
        <v>0</v>
      </c>
      <c r="AM230">
        <f>IF(OR(EXACT(Asistencia!J241,"A"),EXACT(Asistencia!J241,"R"),EXACT(Asistencia!J241,"DL"),EXACT(Asistencia!J241,"FL"),EXACT(Asistencia!J241,"FE"),EXACT(Asistencia!J241,"PCS"),EXACT(Asistencia!J241,"V")),1,0)</f>
        <v>0</v>
      </c>
      <c r="AN230">
        <f>IF(OR(EXACT(Asistencia!K241,"A"),EXACT(Asistencia!K241,"R"),EXACT(Asistencia!K241,"DL"),EXACT(Asistencia!K241,"FL"),EXACT(Asistencia!K241,"FE"),EXACT(Asistencia!K241,"PCS"),EXACT(Asistencia!K241,"V")),1,0)</f>
        <v>0</v>
      </c>
      <c r="AO230">
        <f>IF(OR(EXACT(Asistencia!L241,"A"),EXACT(Asistencia!L241,"R"),EXACT(Asistencia!L241,"DL"),EXACT(Asistencia!L241,"FL"),EXACT(Asistencia!L241,"FE"),EXACT(Asistencia!L241,"PCS"),EXACT(Asistencia!L241,"V")),1,0)</f>
        <v>0</v>
      </c>
      <c r="AP230">
        <f t="shared" si="89"/>
        <v>0</v>
      </c>
      <c r="AQ230">
        <f>IF(EXACT(Asistencia!F241,"FL"),1,0)</f>
        <v>0</v>
      </c>
      <c r="AR230">
        <f>IF(EXACT(Asistencia!G241,"FL"),1,0)</f>
        <v>0</v>
      </c>
      <c r="AS230">
        <f>IF(EXACT(Asistencia!H241,"FL"),1,0)</f>
        <v>0</v>
      </c>
      <c r="AT230">
        <f>IF(EXACT(Asistencia!I241,"FL"),1,0)</f>
        <v>0</v>
      </c>
      <c r="AU230">
        <f>IF(EXACT(Asistencia!J241,"FL"),1,0)</f>
        <v>0</v>
      </c>
      <c r="AV230">
        <f>IF(EXACT(Asistencia!K241,"FL"),1,0)</f>
        <v>0</v>
      </c>
      <c r="AW230">
        <f>IF(EXACT(Asistencia!L241,"FL"),1,0)</f>
        <v>0</v>
      </c>
      <c r="AX230">
        <f t="shared" si="90"/>
        <v>0</v>
      </c>
      <c r="AY230">
        <f>IF(EXACT(Asistencia!F241,"DL"),1,0)</f>
        <v>0</v>
      </c>
      <c r="AZ230">
        <f>IF(EXACT(Asistencia!G241,"DL"),1,0)</f>
        <v>0</v>
      </c>
      <c r="BA230">
        <f>IF(EXACT(Asistencia!H241,"DL"),1,0)</f>
        <v>0</v>
      </c>
      <c r="BB230">
        <f>IF(EXACT(Asistencia!I241,"DL"),1,0)</f>
        <v>0</v>
      </c>
      <c r="BC230">
        <f>IF(EXACT(Asistencia!J241,"DL"),1,0)</f>
        <v>0</v>
      </c>
      <c r="BD230">
        <f>IF(EXACT(Asistencia!K241,"DL"),1,0)</f>
        <v>0</v>
      </c>
      <c r="BE230">
        <f>IF(EXACT(Asistencia!L241,"DL"),1,0)</f>
        <v>0</v>
      </c>
      <c r="BF230">
        <f t="shared" si="91"/>
        <v>0</v>
      </c>
      <c r="BG230">
        <f>IF(ISNUMBER(Asistencia!M241),Asistencia!M241,0)</f>
        <v>0</v>
      </c>
      <c r="BH230">
        <f>IF(ISNUMBER(Asistencia!N241),Asistencia!N241,0)</f>
        <v>0</v>
      </c>
      <c r="BI230">
        <f>IF(ISNUMBER(Asistencia!O241),Asistencia!O241,0)</f>
        <v>0</v>
      </c>
      <c r="BJ230">
        <f>IF(ISNUMBER(Asistencia!P241),Asistencia!P241,0)</f>
        <v>0</v>
      </c>
      <c r="BK230" t="str">
        <f>IF(Asistencia!F241="","",Asistencia!F241)</f>
        <v/>
      </c>
      <c r="BL230" t="str">
        <f>IF(Asistencia!G241="","",Asistencia!G241)</f>
        <v/>
      </c>
      <c r="BM230" t="str">
        <f>IF(Asistencia!H241="","",Asistencia!H241)</f>
        <v/>
      </c>
      <c r="BN230" t="str">
        <f>IF(Asistencia!I241="","",Asistencia!I241)</f>
        <v/>
      </c>
      <c r="BO230" t="str">
        <f>IF(Asistencia!J241="","",Asistencia!J241)</f>
        <v/>
      </c>
      <c r="BP230" t="str">
        <f>IF(Asistencia!K241="","",Asistencia!K241)</f>
        <v/>
      </c>
      <c r="BQ230" t="str">
        <f>IF(Asistencia!L241="","",Asistencia!L241)</f>
        <v/>
      </c>
    </row>
    <row r="231" spans="1:69" x14ac:dyDescent="0.25">
      <c r="A231" s="46"/>
      <c r="B231" s="47"/>
      <c r="C231" s="47"/>
      <c r="D231" s="47"/>
      <c r="E231" s="46"/>
      <c r="F231" s="45"/>
      <c r="G231" s="44"/>
      <c r="H231" s="44"/>
      <c r="I231" s="44"/>
      <c r="J231" s="44"/>
      <c r="K231" s="44"/>
      <c r="L231" s="44"/>
      <c r="M231" s="43"/>
      <c r="N231" s="41"/>
      <c r="O231" s="41"/>
      <c r="P231" s="41"/>
      <c r="Q231" s="41"/>
      <c r="R231" s="41"/>
      <c r="S231" s="41"/>
      <c r="T231" s="48"/>
      <c r="U231" s="41"/>
      <c r="V231" s="41"/>
      <c r="W231" s="42"/>
      <c r="AA231" t="str">
        <f t="shared" si="88"/>
        <v/>
      </c>
      <c r="AB231" t="str">
        <f>IF(Asistencia!A242="","",Asistencia!A242)</f>
        <v/>
      </c>
      <c r="AC231" t="str">
        <f>IF(Asistencia!A242="","",SUBSTITUTE(SUBSTITUTE(SUBSTITUTE(SUBSTITUTE(SUBSTITUTE(SUBSTITUTE(SUBSTITUTE(UPPER(TRIM(Asistencia!A242)),"Á","A"),"É","E"),"Í","I"),"Ó","O"),"Ú","U"),"Ñ","N"),"  "," "))</f>
        <v/>
      </c>
      <c r="AD231" t="str">
        <f>IF(Asistencia!E242="","",Asistencia!E242)</f>
        <v/>
      </c>
      <c r="AE231" t="str">
        <f>IF(Asistencia!D242="","",UPPER(TRIM(Asistencia!D242)))</f>
        <v/>
      </c>
      <c r="AF231" t="s">
        <v>196</v>
      </c>
      <c r="AG231">
        <f>IF(AND(AA231&lt;&gt;"",COUNTIF($AA$5:AA231,AA231)=1),1,0)</f>
        <v>0</v>
      </c>
      <c r="AH231" t="str">
        <f>IF(AG231=1,SUM($AG$5:AG231),"")</f>
        <v/>
      </c>
      <c r="AI231">
        <f>IF(OR(EXACT(Asistencia!F242,"A"),EXACT(Asistencia!F242,"R"),EXACT(Asistencia!F242,"DL"),EXACT(Asistencia!F242,"FL"),EXACT(Asistencia!F242,"FE"),EXACT(Asistencia!F242,"PCS"),EXACT(Asistencia!F242,"V")),1,0)</f>
        <v>0</v>
      </c>
      <c r="AJ231">
        <f>IF(OR(EXACT(Asistencia!G242,"A"),EXACT(Asistencia!G242,"R"),EXACT(Asistencia!G242,"DL"),EXACT(Asistencia!G242,"FL"),EXACT(Asistencia!G242,"FE"),EXACT(Asistencia!G242,"PCS"),EXACT(Asistencia!G242,"V")),1,0)</f>
        <v>0</v>
      </c>
      <c r="AK231">
        <f>IF(OR(EXACT(Asistencia!H242,"A"),EXACT(Asistencia!H242,"R"),EXACT(Asistencia!H242,"DL"),EXACT(Asistencia!H242,"FL"),EXACT(Asistencia!H242,"FE"),EXACT(Asistencia!H242,"PCS"),EXACT(Asistencia!H242,"V")),1,0)</f>
        <v>0</v>
      </c>
      <c r="AL231">
        <f>IF(OR(EXACT(Asistencia!I242,"A"),EXACT(Asistencia!I242,"R"),EXACT(Asistencia!I242,"DL"),EXACT(Asistencia!I242,"FL"),EXACT(Asistencia!I242,"FE"),EXACT(Asistencia!I242,"PCS"),EXACT(Asistencia!I242,"V")),1,0)</f>
        <v>0</v>
      </c>
      <c r="AM231">
        <f>IF(OR(EXACT(Asistencia!J242,"A"),EXACT(Asistencia!J242,"R"),EXACT(Asistencia!J242,"DL"),EXACT(Asistencia!J242,"FL"),EXACT(Asistencia!J242,"FE"),EXACT(Asistencia!J242,"PCS"),EXACT(Asistencia!J242,"V")),1,0)</f>
        <v>0</v>
      </c>
      <c r="AN231">
        <f>IF(OR(EXACT(Asistencia!K242,"A"),EXACT(Asistencia!K242,"R"),EXACT(Asistencia!K242,"DL"),EXACT(Asistencia!K242,"FL"),EXACT(Asistencia!K242,"FE"),EXACT(Asistencia!K242,"PCS"),EXACT(Asistencia!K242,"V")),1,0)</f>
        <v>0</v>
      </c>
      <c r="AO231">
        <f>IF(OR(EXACT(Asistencia!L242,"A"),EXACT(Asistencia!L242,"R"),EXACT(Asistencia!L242,"DL"),EXACT(Asistencia!L242,"FL"),EXACT(Asistencia!L242,"FE"),EXACT(Asistencia!L242,"PCS"),EXACT(Asistencia!L242,"V")),1,0)</f>
        <v>0</v>
      </c>
      <c r="AP231">
        <f t="shared" si="89"/>
        <v>0</v>
      </c>
      <c r="AQ231">
        <f>IF(EXACT(Asistencia!F242,"FL"),1,0)</f>
        <v>0</v>
      </c>
      <c r="AR231">
        <f>IF(EXACT(Asistencia!G242,"FL"),1,0)</f>
        <v>0</v>
      </c>
      <c r="AS231">
        <f>IF(EXACT(Asistencia!H242,"FL"),1,0)</f>
        <v>0</v>
      </c>
      <c r="AT231">
        <f>IF(EXACT(Asistencia!I242,"FL"),1,0)</f>
        <v>0</v>
      </c>
      <c r="AU231">
        <f>IF(EXACT(Asistencia!J242,"FL"),1,0)</f>
        <v>0</v>
      </c>
      <c r="AV231">
        <f>IF(EXACT(Asistencia!K242,"FL"),1,0)</f>
        <v>0</v>
      </c>
      <c r="AW231">
        <f>IF(EXACT(Asistencia!L242,"FL"),1,0)</f>
        <v>0</v>
      </c>
      <c r="AX231">
        <f t="shared" si="90"/>
        <v>0</v>
      </c>
      <c r="AY231">
        <f>IF(EXACT(Asistencia!F242,"DL"),1,0)</f>
        <v>0</v>
      </c>
      <c r="AZ231">
        <f>IF(EXACT(Asistencia!G242,"DL"),1,0)</f>
        <v>0</v>
      </c>
      <c r="BA231">
        <f>IF(EXACT(Asistencia!H242,"DL"),1,0)</f>
        <v>0</v>
      </c>
      <c r="BB231">
        <f>IF(EXACT(Asistencia!I242,"DL"),1,0)</f>
        <v>0</v>
      </c>
      <c r="BC231">
        <f>IF(EXACT(Asistencia!J242,"DL"),1,0)</f>
        <v>0</v>
      </c>
      <c r="BD231">
        <f>IF(EXACT(Asistencia!K242,"DL"),1,0)</f>
        <v>0</v>
      </c>
      <c r="BE231">
        <f>IF(EXACT(Asistencia!L242,"DL"),1,0)</f>
        <v>0</v>
      </c>
      <c r="BF231">
        <f t="shared" si="91"/>
        <v>0</v>
      </c>
      <c r="BG231">
        <f>IF(ISNUMBER(Asistencia!M242),Asistencia!M242,0)</f>
        <v>0</v>
      </c>
      <c r="BH231">
        <f>IF(ISNUMBER(Asistencia!N242),Asistencia!N242,0)</f>
        <v>0</v>
      </c>
      <c r="BI231">
        <f>IF(ISNUMBER(Asistencia!O242),Asistencia!O242,0)</f>
        <v>0</v>
      </c>
      <c r="BJ231">
        <f>IF(ISNUMBER(Asistencia!P242),Asistencia!P242,0)</f>
        <v>0</v>
      </c>
      <c r="BK231" t="str">
        <f>IF(Asistencia!F242="","",Asistencia!F242)</f>
        <v/>
      </c>
      <c r="BL231" t="str">
        <f>IF(Asistencia!G242="","",Asistencia!G242)</f>
        <v/>
      </c>
      <c r="BM231" t="str">
        <f>IF(Asistencia!H242="","",Asistencia!H242)</f>
        <v/>
      </c>
      <c r="BN231" t="str">
        <f>IF(Asistencia!I242="","",Asistencia!I242)</f>
        <v/>
      </c>
      <c r="BO231" t="str">
        <f>IF(Asistencia!J242="","",Asistencia!J242)</f>
        <v/>
      </c>
      <c r="BP231" t="str">
        <f>IF(Asistencia!K242="","",Asistencia!K242)</f>
        <v/>
      </c>
      <c r="BQ231" t="str">
        <f>IF(Asistencia!L242="","",Asistencia!L242)</f>
        <v/>
      </c>
    </row>
    <row r="232" spans="1:69" x14ac:dyDescent="0.25">
      <c r="A232" s="46"/>
      <c r="B232" s="47"/>
      <c r="C232" s="47"/>
      <c r="D232" s="47"/>
      <c r="E232" s="46"/>
      <c r="F232" s="45"/>
      <c r="G232" s="44"/>
      <c r="H232" s="44"/>
      <c r="I232" s="44"/>
      <c r="J232" s="44"/>
      <c r="K232" s="44"/>
      <c r="L232" s="44"/>
      <c r="M232" s="43"/>
      <c r="N232" s="41"/>
      <c r="O232" s="41"/>
      <c r="P232" s="41"/>
      <c r="Q232" s="41"/>
      <c r="R232" s="41"/>
      <c r="S232" s="41"/>
      <c r="T232" s="48"/>
      <c r="U232" s="41"/>
      <c r="V232" s="41"/>
      <c r="W232" s="42"/>
      <c r="AA232" t="str">
        <f t="shared" si="88"/>
        <v/>
      </c>
      <c r="AB232" t="str">
        <f>IF(Asistencia!A243="","",Asistencia!A243)</f>
        <v/>
      </c>
      <c r="AC232" t="str">
        <f>IF(Asistencia!A243="","",SUBSTITUTE(SUBSTITUTE(SUBSTITUTE(SUBSTITUTE(SUBSTITUTE(SUBSTITUTE(SUBSTITUTE(UPPER(TRIM(Asistencia!A243)),"Á","A"),"É","E"),"Í","I"),"Ó","O"),"Ú","U"),"Ñ","N"),"  "," "))</f>
        <v/>
      </c>
      <c r="AD232" t="str">
        <f>IF(Asistencia!E243="","",Asistencia!E243)</f>
        <v/>
      </c>
      <c r="AE232" t="str">
        <f>IF(Asistencia!D243="","",UPPER(TRIM(Asistencia!D243)))</f>
        <v/>
      </c>
      <c r="AF232" t="s">
        <v>196</v>
      </c>
      <c r="AG232">
        <f>IF(AND(AA232&lt;&gt;"",COUNTIF($AA$5:AA232,AA232)=1),1,0)</f>
        <v>0</v>
      </c>
      <c r="AH232" t="str">
        <f>IF(AG232=1,SUM($AG$5:AG232),"")</f>
        <v/>
      </c>
      <c r="AI232">
        <f>IF(OR(EXACT(Asistencia!F243,"A"),EXACT(Asistencia!F243,"R"),EXACT(Asistencia!F243,"DL"),EXACT(Asistencia!F243,"FL"),EXACT(Asistencia!F243,"FE"),EXACT(Asistencia!F243,"PCS"),EXACT(Asistencia!F243,"V")),1,0)</f>
        <v>0</v>
      </c>
      <c r="AJ232">
        <f>IF(OR(EXACT(Asistencia!G243,"A"),EXACT(Asistencia!G243,"R"),EXACT(Asistencia!G243,"DL"),EXACT(Asistencia!G243,"FL"),EXACT(Asistencia!G243,"FE"),EXACT(Asistencia!G243,"PCS"),EXACT(Asistencia!G243,"V")),1,0)</f>
        <v>0</v>
      </c>
      <c r="AK232">
        <f>IF(OR(EXACT(Asistencia!H243,"A"),EXACT(Asistencia!H243,"R"),EXACT(Asistencia!H243,"DL"),EXACT(Asistencia!H243,"FL"),EXACT(Asistencia!H243,"FE"),EXACT(Asistencia!H243,"PCS"),EXACT(Asistencia!H243,"V")),1,0)</f>
        <v>0</v>
      </c>
      <c r="AL232">
        <f>IF(OR(EXACT(Asistencia!I243,"A"),EXACT(Asistencia!I243,"R"),EXACT(Asistencia!I243,"DL"),EXACT(Asistencia!I243,"FL"),EXACT(Asistencia!I243,"FE"),EXACT(Asistencia!I243,"PCS"),EXACT(Asistencia!I243,"V")),1,0)</f>
        <v>0</v>
      </c>
      <c r="AM232">
        <f>IF(OR(EXACT(Asistencia!J243,"A"),EXACT(Asistencia!J243,"R"),EXACT(Asistencia!J243,"DL"),EXACT(Asistencia!J243,"FL"),EXACT(Asistencia!J243,"FE"),EXACT(Asistencia!J243,"PCS"),EXACT(Asistencia!J243,"V")),1,0)</f>
        <v>0</v>
      </c>
      <c r="AN232">
        <f>IF(OR(EXACT(Asistencia!K243,"A"),EXACT(Asistencia!K243,"R"),EXACT(Asistencia!K243,"DL"),EXACT(Asistencia!K243,"FL"),EXACT(Asistencia!K243,"FE"),EXACT(Asistencia!K243,"PCS"),EXACT(Asistencia!K243,"V")),1,0)</f>
        <v>0</v>
      </c>
      <c r="AO232">
        <f>IF(OR(EXACT(Asistencia!L243,"A"),EXACT(Asistencia!L243,"R"),EXACT(Asistencia!L243,"DL"),EXACT(Asistencia!L243,"FL"),EXACT(Asistencia!L243,"FE"),EXACT(Asistencia!L243,"PCS"),EXACT(Asistencia!L243,"V")),1,0)</f>
        <v>0</v>
      </c>
      <c r="AP232">
        <f t="shared" si="89"/>
        <v>0</v>
      </c>
      <c r="AQ232">
        <f>IF(EXACT(Asistencia!F243,"FL"),1,0)</f>
        <v>0</v>
      </c>
      <c r="AR232">
        <f>IF(EXACT(Asistencia!G243,"FL"),1,0)</f>
        <v>0</v>
      </c>
      <c r="AS232">
        <f>IF(EXACT(Asistencia!H243,"FL"),1,0)</f>
        <v>0</v>
      </c>
      <c r="AT232">
        <f>IF(EXACT(Asistencia!I243,"FL"),1,0)</f>
        <v>0</v>
      </c>
      <c r="AU232">
        <f>IF(EXACT(Asistencia!J243,"FL"),1,0)</f>
        <v>0</v>
      </c>
      <c r="AV232">
        <f>IF(EXACT(Asistencia!K243,"FL"),1,0)</f>
        <v>0</v>
      </c>
      <c r="AW232">
        <f>IF(EXACT(Asistencia!L243,"FL"),1,0)</f>
        <v>0</v>
      </c>
      <c r="AX232">
        <f t="shared" si="90"/>
        <v>0</v>
      </c>
      <c r="AY232">
        <f>IF(EXACT(Asistencia!F243,"DL"),1,0)</f>
        <v>0</v>
      </c>
      <c r="AZ232">
        <f>IF(EXACT(Asistencia!G243,"DL"),1,0)</f>
        <v>0</v>
      </c>
      <c r="BA232">
        <f>IF(EXACT(Asistencia!H243,"DL"),1,0)</f>
        <v>0</v>
      </c>
      <c r="BB232">
        <f>IF(EXACT(Asistencia!I243,"DL"),1,0)</f>
        <v>0</v>
      </c>
      <c r="BC232">
        <f>IF(EXACT(Asistencia!J243,"DL"),1,0)</f>
        <v>0</v>
      </c>
      <c r="BD232">
        <f>IF(EXACT(Asistencia!K243,"DL"),1,0)</f>
        <v>0</v>
      </c>
      <c r="BE232">
        <f>IF(EXACT(Asistencia!L243,"DL"),1,0)</f>
        <v>0</v>
      </c>
      <c r="BF232">
        <f t="shared" si="91"/>
        <v>0</v>
      </c>
      <c r="BG232">
        <f>IF(ISNUMBER(Asistencia!M243),Asistencia!M243,0)</f>
        <v>0</v>
      </c>
      <c r="BH232">
        <f>IF(ISNUMBER(Asistencia!N243),Asistencia!N243,0)</f>
        <v>0</v>
      </c>
      <c r="BI232">
        <f>IF(ISNUMBER(Asistencia!O243),Asistencia!O243,0)</f>
        <v>0</v>
      </c>
      <c r="BJ232">
        <f>IF(ISNUMBER(Asistencia!P243),Asistencia!P243,0)</f>
        <v>0</v>
      </c>
      <c r="BK232" t="str">
        <f>IF(Asistencia!F243="","",Asistencia!F243)</f>
        <v/>
      </c>
      <c r="BL232" t="str">
        <f>IF(Asistencia!G243="","",Asistencia!G243)</f>
        <v/>
      </c>
      <c r="BM232" t="str">
        <f>IF(Asistencia!H243="","",Asistencia!H243)</f>
        <v/>
      </c>
      <c r="BN232" t="str">
        <f>IF(Asistencia!I243="","",Asistencia!I243)</f>
        <v/>
      </c>
      <c r="BO232" t="str">
        <f>IF(Asistencia!J243="","",Asistencia!J243)</f>
        <v/>
      </c>
      <c r="BP232" t="str">
        <f>IF(Asistencia!K243="","",Asistencia!K243)</f>
        <v/>
      </c>
      <c r="BQ232" t="str">
        <f>IF(Asistencia!L243="","",Asistencia!L243)</f>
        <v/>
      </c>
    </row>
    <row r="233" spans="1:69" x14ac:dyDescent="0.25">
      <c r="A233" s="46"/>
      <c r="B233" s="47"/>
      <c r="C233" s="47"/>
      <c r="D233" s="47"/>
      <c r="E233" s="46"/>
      <c r="F233" s="45"/>
      <c r="G233" s="44"/>
      <c r="H233" s="44"/>
      <c r="I233" s="44"/>
      <c r="J233" s="44"/>
      <c r="K233" s="44"/>
      <c r="L233" s="44"/>
      <c r="M233" s="43"/>
      <c r="N233" s="41"/>
      <c r="O233" s="41"/>
      <c r="P233" s="41"/>
      <c r="Q233" s="41"/>
      <c r="R233" s="41"/>
      <c r="S233" s="41"/>
      <c r="T233" s="48"/>
      <c r="U233" s="41"/>
      <c r="V233" s="41"/>
      <c r="W233" s="42"/>
      <c r="AA233" t="str">
        <f t="shared" si="88"/>
        <v/>
      </c>
      <c r="AB233" t="str">
        <f>IF(Asistencia!A244="","",Asistencia!A244)</f>
        <v/>
      </c>
      <c r="AC233" t="str">
        <f>IF(Asistencia!A244="","",SUBSTITUTE(SUBSTITUTE(SUBSTITUTE(SUBSTITUTE(SUBSTITUTE(SUBSTITUTE(SUBSTITUTE(UPPER(TRIM(Asistencia!A244)),"Á","A"),"É","E"),"Í","I"),"Ó","O"),"Ú","U"),"Ñ","N"),"  "," "))</f>
        <v/>
      </c>
      <c r="AD233" t="str">
        <f>IF(Asistencia!E244="","",Asistencia!E244)</f>
        <v/>
      </c>
      <c r="AE233" t="str">
        <f>IF(Asistencia!D244="","",UPPER(TRIM(Asistencia!D244)))</f>
        <v/>
      </c>
      <c r="AF233" t="s">
        <v>196</v>
      </c>
      <c r="AG233">
        <f>IF(AND(AA233&lt;&gt;"",COUNTIF($AA$5:AA233,AA233)=1),1,0)</f>
        <v>0</v>
      </c>
      <c r="AH233" t="str">
        <f>IF(AG233=1,SUM($AG$5:AG233),"")</f>
        <v/>
      </c>
      <c r="AI233">
        <f>IF(OR(EXACT(Asistencia!F244,"A"),EXACT(Asistencia!F244,"R"),EXACT(Asistencia!F244,"DL"),EXACT(Asistencia!F244,"FL"),EXACT(Asistencia!F244,"FE"),EXACT(Asistencia!F244,"PCS"),EXACT(Asistencia!F244,"V")),1,0)</f>
        <v>0</v>
      </c>
      <c r="AJ233">
        <f>IF(OR(EXACT(Asistencia!G244,"A"),EXACT(Asistencia!G244,"R"),EXACT(Asistencia!G244,"DL"),EXACT(Asistencia!G244,"FL"),EXACT(Asistencia!G244,"FE"),EXACT(Asistencia!G244,"PCS"),EXACT(Asistencia!G244,"V")),1,0)</f>
        <v>0</v>
      </c>
      <c r="AK233">
        <f>IF(OR(EXACT(Asistencia!H244,"A"),EXACT(Asistencia!H244,"R"),EXACT(Asistencia!H244,"DL"),EXACT(Asistencia!H244,"FL"),EXACT(Asistencia!H244,"FE"),EXACT(Asistencia!H244,"PCS"),EXACT(Asistencia!H244,"V")),1,0)</f>
        <v>0</v>
      </c>
      <c r="AL233">
        <f>IF(OR(EXACT(Asistencia!I244,"A"),EXACT(Asistencia!I244,"R"),EXACT(Asistencia!I244,"DL"),EXACT(Asistencia!I244,"FL"),EXACT(Asistencia!I244,"FE"),EXACT(Asistencia!I244,"PCS"),EXACT(Asistencia!I244,"V")),1,0)</f>
        <v>0</v>
      </c>
      <c r="AM233">
        <f>IF(OR(EXACT(Asistencia!J244,"A"),EXACT(Asistencia!J244,"R"),EXACT(Asistencia!J244,"DL"),EXACT(Asistencia!J244,"FL"),EXACT(Asistencia!J244,"FE"),EXACT(Asistencia!J244,"PCS"),EXACT(Asistencia!J244,"V")),1,0)</f>
        <v>0</v>
      </c>
      <c r="AN233">
        <f>IF(OR(EXACT(Asistencia!K244,"A"),EXACT(Asistencia!K244,"R"),EXACT(Asistencia!K244,"DL"),EXACT(Asistencia!K244,"FL"),EXACT(Asistencia!K244,"FE"),EXACT(Asistencia!K244,"PCS"),EXACT(Asistencia!K244,"V")),1,0)</f>
        <v>0</v>
      </c>
      <c r="AO233">
        <f>IF(OR(EXACT(Asistencia!L244,"A"),EXACT(Asistencia!L244,"R"),EXACT(Asistencia!L244,"DL"),EXACT(Asistencia!L244,"FL"),EXACT(Asistencia!L244,"FE"),EXACT(Asistencia!L244,"PCS"),EXACT(Asistencia!L244,"V")),1,0)</f>
        <v>0</v>
      </c>
      <c r="AP233">
        <f t="shared" si="89"/>
        <v>0</v>
      </c>
      <c r="AQ233">
        <f>IF(EXACT(Asistencia!F244,"FL"),1,0)</f>
        <v>0</v>
      </c>
      <c r="AR233">
        <f>IF(EXACT(Asistencia!G244,"FL"),1,0)</f>
        <v>0</v>
      </c>
      <c r="AS233">
        <f>IF(EXACT(Asistencia!H244,"FL"),1,0)</f>
        <v>0</v>
      </c>
      <c r="AT233">
        <f>IF(EXACT(Asistencia!I244,"FL"),1,0)</f>
        <v>0</v>
      </c>
      <c r="AU233">
        <f>IF(EXACT(Asistencia!J244,"FL"),1,0)</f>
        <v>0</v>
      </c>
      <c r="AV233">
        <f>IF(EXACT(Asistencia!K244,"FL"),1,0)</f>
        <v>0</v>
      </c>
      <c r="AW233">
        <f>IF(EXACT(Asistencia!L244,"FL"),1,0)</f>
        <v>0</v>
      </c>
      <c r="AX233">
        <f t="shared" si="90"/>
        <v>0</v>
      </c>
      <c r="AY233">
        <f>IF(EXACT(Asistencia!F244,"DL"),1,0)</f>
        <v>0</v>
      </c>
      <c r="AZ233">
        <f>IF(EXACT(Asistencia!G244,"DL"),1,0)</f>
        <v>0</v>
      </c>
      <c r="BA233">
        <f>IF(EXACT(Asistencia!H244,"DL"),1,0)</f>
        <v>0</v>
      </c>
      <c r="BB233">
        <f>IF(EXACT(Asistencia!I244,"DL"),1,0)</f>
        <v>0</v>
      </c>
      <c r="BC233">
        <f>IF(EXACT(Asistencia!J244,"DL"),1,0)</f>
        <v>0</v>
      </c>
      <c r="BD233">
        <f>IF(EXACT(Asistencia!K244,"DL"),1,0)</f>
        <v>0</v>
      </c>
      <c r="BE233">
        <f>IF(EXACT(Asistencia!L244,"DL"),1,0)</f>
        <v>0</v>
      </c>
      <c r="BF233">
        <f t="shared" si="91"/>
        <v>0</v>
      </c>
      <c r="BG233">
        <f>IF(ISNUMBER(Asistencia!M244),Asistencia!M244,0)</f>
        <v>0</v>
      </c>
      <c r="BH233">
        <f>IF(ISNUMBER(Asistencia!N244),Asistencia!N244,0)</f>
        <v>0</v>
      </c>
      <c r="BI233">
        <f>IF(ISNUMBER(Asistencia!O244),Asistencia!O244,0)</f>
        <v>0</v>
      </c>
      <c r="BJ233">
        <f>IF(ISNUMBER(Asistencia!P244),Asistencia!P244,0)</f>
        <v>0</v>
      </c>
      <c r="BK233" t="str">
        <f>IF(Asistencia!F244="","",Asistencia!F244)</f>
        <v/>
      </c>
      <c r="BL233" t="str">
        <f>IF(Asistencia!G244="","",Asistencia!G244)</f>
        <v/>
      </c>
      <c r="BM233" t="str">
        <f>IF(Asistencia!H244="","",Asistencia!H244)</f>
        <v/>
      </c>
      <c r="BN233" t="str">
        <f>IF(Asistencia!I244="","",Asistencia!I244)</f>
        <v/>
      </c>
      <c r="BO233" t="str">
        <f>IF(Asistencia!J244="","",Asistencia!J244)</f>
        <v/>
      </c>
      <c r="BP233" t="str">
        <f>IF(Asistencia!K244="","",Asistencia!K244)</f>
        <v/>
      </c>
      <c r="BQ233" t="str">
        <f>IF(Asistencia!L244="","",Asistencia!L244)</f>
        <v/>
      </c>
    </row>
    <row r="234" spans="1:69" x14ac:dyDescent="0.25">
      <c r="A234" s="46"/>
      <c r="B234" s="47"/>
      <c r="C234" s="47"/>
      <c r="D234" s="47"/>
      <c r="E234" s="46"/>
      <c r="F234" s="45"/>
      <c r="G234" s="44"/>
      <c r="H234" s="44"/>
      <c r="I234" s="44"/>
      <c r="J234" s="44"/>
      <c r="K234" s="44"/>
      <c r="L234" s="44"/>
      <c r="M234" s="43"/>
      <c r="N234" s="41"/>
      <c r="O234" s="41"/>
      <c r="P234" s="41"/>
      <c r="Q234" s="41"/>
      <c r="R234" s="41"/>
      <c r="S234" s="41"/>
      <c r="T234" s="48"/>
      <c r="U234" s="41"/>
      <c r="V234" s="41"/>
      <c r="W234" s="42"/>
      <c r="AA234" t="str">
        <f t="shared" si="88"/>
        <v/>
      </c>
      <c r="AB234" t="str">
        <f>IF(Asistencia!A245="","",Asistencia!A245)</f>
        <v/>
      </c>
      <c r="AC234" t="str">
        <f>IF(Asistencia!A245="","",SUBSTITUTE(SUBSTITUTE(SUBSTITUTE(SUBSTITUTE(SUBSTITUTE(SUBSTITUTE(SUBSTITUTE(UPPER(TRIM(Asistencia!A245)),"Á","A"),"É","E"),"Í","I"),"Ó","O"),"Ú","U"),"Ñ","N"),"  "," "))</f>
        <v/>
      </c>
      <c r="AD234" t="str">
        <f>IF(Asistencia!E245="","",Asistencia!E245)</f>
        <v/>
      </c>
      <c r="AE234" t="str">
        <f>IF(Asistencia!D245="","",UPPER(TRIM(Asistencia!D245)))</f>
        <v/>
      </c>
      <c r="AF234" t="s">
        <v>196</v>
      </c>
      <c r="AG234">
        <f>IF(AND(AA234&lt;&gt;"",COUNTIF($AA$5:AA234,AA234)=1),1,0)</f>
        <v>0</v>
      </c>
      <c r="AH234" t="str">
        <f>IF(AG234=1,SUM($AG$5:AG234),"")</f>
        <v/>
      </c>
      <c r="AI234">
        <f>IF(OR(EXACT(Asistencia!F245,"A"),EXACT(Asistencia!F245,"R"),EXACT(Asistencia!F245,"DL"),EXACT(Asistencia!F245,"FL"),EXACT(Asistencia!F245,"FE"),EXACT(Asistencia!F245,"PCS"),EXACT(Asistencia!F245,"V")),1,0)</f>
        <v>0</v>
      </c>
      <c r="AJ234">
        <f>IF(OR(EXACT(Asistencia!G245,"A"),EXACT(Asistencia!G245,"R"),EXACT(Asistencia!G245,"DL"),EXACT(Asistencia!G245,"FL"),EXACT(Asistencia!G245,"FE"),EXACT(Asistencia!G245,"PCS"),EXACT(Asistencia!G245,"V")),1,0)</f>
        <v>0</v>
      </c>
      <c r="AK234">
        <f>IF(OR(EXACT(Asistencia!H245,"A"),EXACT(Asistencia!H245,"R"),EXACT(Asistencia!H245,"DL"),EXACT(Asistencia!H245,"FL"),EXACT(Asistencia!H245,"FE"),EXACT(Asistencia!H245,"PCS"),EXACT(Asistencia!H245,"V")),1,0)</f>
        <v>0</v>
      </c>
      <c r="AL234">
        <f>IF(OR(EXACT(Asistencia!I245,"A"),EXACT(Asistencia!I245,"R"),EXACT(Asistencia!I245,"DL"),EXACT(Asistencia!I245,"FL"),EXACT(Asistencia!I245,"FE"),EXACT(Asistencia!I245,"PCS"),EXACT(Asistencia!I245,"V")),1,0)</f>
        <v>0</v>
      </c>
      <c r="AM234">
        <f>IF(OR(EXACT(Asistencia!J245,"A"),EXACT(Asistencia!J245,"R"),EXACT(Asistencia!J245,"DL"),EXACT(Asistencia!J245,"FL"),EXACT(Asistencia!J245,"FE"),EXACT(Asistencia!J245,"PCS"),EXACT(Asistencia!J245,"V")),1,0)</f>
        <v>0</v>
      </c>
      <c r="AN234">
        <f>IF(OR(EXACT(Asistencia!K245,"A"),EXACT(Asistencia!K245,"R"),EXACT(Asistencia!K245,"DL"),EXACT(Asistencia!K245,"FL"),EXACT(Asistencia!K245,"FE"),EXACT(Asistencia!K245,"PCS"),EXACT(Asistencia!K245,"V")),1,0)</f>
        <v>0</v>
      </c>
      <c r="AO234">
        <f>IF(OR(EXACT(Asistencia!L245,"A"),EXACT(Asistencia!L245,"R"),EXACT(Asistencia!L245,"DL"),EXACT(Asistencia!L245,"FL"),EXACT(Asistencia!L245,"FE"),EXACT(Asistencia!L245,"PCS"),EXACT(Asistencia!L245,"V")),1,0)</f>
        <v>0</v>
      </c>
      <c r="AP234">
        <f t="shared" si="89"/>
        <v>0</v>
      </c>
      <c r="AQ234">
        <f>IF(EXACT(Asistencia!F245,"FL"),1,0)</f>
        <v>0</v>
      </c>
      <c r="AR234">
        <f>IF(EXACT(Asistencia!G245,"FL"),1,0)</f>
        <v>0</v>
      </c>
      <c r="AS234">
        <f>IF(EXACT(Asistencia!H245,"FL"),1,0)</f>
        <v>0</v>
      </c>
      <c r="AT234">
        <f>IF(EXACT(Asistencia!I245,"FL"),1,0)</f>
        <v>0</v>
      </c>
      <c r="AU234">
        <f>IF(EXACT(Asistencia!J245,"FL"),1,0)</f>
        <v>0</v>
      </c>
      <c r="AV234">
        <f>IF(EXACT(Asistencia!K245,"FL"),1,0)</f>
        <v>0</v>
      </c>
      <c r="AW234">
        <f>IF(EXACT(Asistencia!L245,"FL"),1,0)</f>
        <v>0</v>
      </c>
      <c r="AX234">
        <f t="shared" si="90"/>
        <v>0</v>
      </c>
      <c r="AY234">
        <f>IF(EXACT(Asistencia!F245,"DL"),1,0)</f>
        <v>0</v>
      </c>
      <c r="AZ234">
        <f>IF(EXACT(Asistencia!G245,"DL"),1,0)</f>
        <v>0</v>
      </c>
      <c r="BA234">
        <f>IF(EXACT(Asistencia!H245,"DL"),1,0)</f>
        <v>0</v>
      </c>
      <c r="BB234">
        <f>IF(EXACT(Asistencia!I245,"DL"),1,0)</f>
        <v>0</v>
      </c>
      <c r="BC234">
        <f>IF(EXACT(Asistencia!J245,"DL"),1,0)</f>
        <v>0</v>
      </c>
      <c r="BD234">
        <f>IF(EXACT(Asistencia!K245,"DL"),1,0)</f>
        <v>0</v>
      </c>
      <c r="BE234">
        <f>IF(EXACT(Asistencia!L245,"DL"),1,0)</f>
        <v>0</v>
      </c>
      <c r="BF234">
        <f t="shared" si="91"/>
        <v>0</v>
      </c>
      <c r="BG234">
        <f>IF(ISNUMBER(Asistencia!M245),Asistencia!M245,0)</f>
        <v>0</v>
      </c>
      <c r="BH234">
        <f>IF(ISNUMBER(Asistencia!N245),Asistencia!N245,0)</f>
        <v>0</v>
      </c>
      <c r="BI234">
        <f>IF(ISNUMBER(Asistencia!O245),Asistencia!O245,0)</f>
        <v>0</v>
      </c>
      <c r="BJ234">
        <f>IF(ISNUMBER(Asistencia!P245),Asistencia!P245,0)</f>
        <v>0</v>
      </c>
      <c r="BK234" t="str">
        <f>IF(Asistencia!F245="","",Asistencia!F245)</f>
        <v/>
      </c>
      <c r="BL234" t="str">
        <f>IF(Asistencia!G245="","",Asistencia!G245)</f>
        <v/>
      </c>
      <c r="BM234" t="str">
        <f>IF(Asistencia!H245="","",Asistencia!H245)</f>
        <v/>
      </c>
      <c r="BN234" t="str">
        <f>IF(Asistencia!I245="","",Asistencia!I245)</f>
        <v/>
      </c>
      <c r="BO234" t="str">
        <f>IF(Asistencia!J245="","",Asistencia!J245)</f>
        <v/>
      </c>
      <c r="BP234" t="str">
        <f>IF(Asistencia!K245="","",Asistencia!K245)</f>
        <v/>
      </c>
      <c r="BQ234" t="str">
        <f>IF(Asistencia!L245="","",Asistencia!L245)</f>
        <v/>
      </c>
    </row>
    <row r="235" spans="1:69" x14ac:dyDescent="0.25">
      <c r="A235" s="46"/>
      <c r="B235" s="47"/>
      <c r="C235" s="47"/>
      <c r="D235" s="47"/>
      <c r="E235" s="46"/>
      <c r="F235" s="45"/>
      <c r="G235" s="44"/>
      <c r="H235" s="44"/>
      <c r="I235" s="44"/>
      <c r="J235" s="44"/>
      <c r="K235" s="44"/>
      <c r="L235" s="44"/>
      <c r="M235" s="43"/>
      <c r="N235" s="41"/>
      <c r="O235" s="41"/>
      <c r="P235" s="41"/>
      <c r="Q235" s="41"/>
      <c r="R235" s="41"/>
      <c r="S235" s="41"/>
      <c r="T235" s="48"/>
      <c r="U235" s="41"/>
      <c r="V235" s="41"/>
      <c r="W235" s="42"/>
      <c r="AA235" t="str">
        <f t="shared" si="88"/>
        <v/>
      </c>
      <c r="AB235" t="str">
        <f>IF(Asistencia!A246="","",Asistencia!A246)</f>
        <v/>
      </c>
      <c r="AC235" t="str">
        <f>IF(Asistencia!A246="","",SUBSTITUTE(SUBSTITUTE(SUBSTITUTE(SUBSTITUTE(SUBSTITUTE(SUBSTITUTE(SUBSTITUTE(UPPER(TRIM(Asistencia!A246)),"Á","A"),"É","E"),"Í","I"),"Ó","O"),"Ú","U"),"Ñ","N"),"  "," "))</f>
        <v/>
      </c>
      <c r="AD235" t="str">
        <f>IF(Asistencia!E246="","",Asistencia!E246)</f>
        <v/>
      </c>
      <c r="AE235" t="str">
        <f>IF(Asistencia!D246="","",UPPER(TRIM(Asistencia!D246)))</f>
        <v/>
      </c>
      <c r="AF235" t="s">
        <v>196</v>
      </c>
      <c r="AG235">
        <f>IF(AND(AA235&lt;&gt;"",COUNTIF($AA$5:AA235,AA235)=1),1,0)</f>
        <v>0</v>
      </c>
      <c r="AH235" t="str">
        <f>IF(AG235=1,SUM($AG$5:AG235),"")</f>
        <v/>
      </c>
      <c r="AI235">
        <f>IF(OR(EXACT(Asistencia!F246,"A"),EXACT(Asistencia!F246,"R"),EXACT(Asistencia!F246,"DL"),EXACT(Asistencia!F246,"FL"),EXACT(Asistencia!F246,"FE"),EXACT(Asistencia!F246,"PCS"),EXACT(Asistencia!F246,"V")),1,0)</f>
        <v>0</v>
      </c>
      <c r="AJ235">
        <f>IF(OR(EXACT(Asistencia!G246,"A"),EXACT(Asistencia!G246,"R"),EXACT(Asistencia!G246,"DL"),EXACT(Asistencia!G246,"FL"),EXACT(Asistencia!G246,"FE"),EXACT(Asistencia!G246,"PCS"),EXACT(Asistencia!G246,"V")),1,0)</f>
        <v>0</v>
      </c>
      <c r="AK235">
        <f>IF(OR(EXACT(Asistencia!H246,"A"),EXACT(Asistencia!H246,"R"),EXACT(Asistencia!H246,"DL"),EXACT(Asistencia!H246,"FL"),EXACT(Asistencia!H246,"FE"),EXACT(Asistencia!H246,"PCS"),EXACT(Asistencia!H246,"V")),1,0)</f>
        <v>0</v>
      </c>
      <c r="AL235">
        <f>IF(OR(EXACT(Asistencia!I246,"A"),EXACT(Asistencia!I246,"R"),EXACT(Asistencia!I246,"DL"),EXACT(Asistencia!I246,"FL"),EXACT(Asistencia!I246,"FE"),EXACT(Asistencia!I246,"PCS"),EXACT(Asistencia!I246,"V")),1,0)</f>
        <v>0</v>
      </c>
      <c r="AM235">
        <f>IF(OR(EXACT(Asistencia!J246,"A"),EXACT(Asistencia!J246,"R"),EXACT(Asistencia!J246,"DL"),EXACT(Asistencia!J246,"FL"),EXACT(Asistencia!J246,"FE"),EXACT(Asistencia!J246,"PCS"),EXACT(Asistencia!J246,"V")),1,0)</f>
        <v>0</v>
      </c>
      <c r="AN235">
        <f>IF(OR(EXACT(Asistencia!K246,"A"),EXACT(Asistencia!K246,"R"),EXACT(Asistencia!K246,"DL"),EXACT(Asistencia!K246,"FL"),EXACT(Asistencia!K246,"FE"),EXACT(Asistencia!K246,"PCS"),EXACT(Asistencia!K246,"V")),1,0)</f>
        <v>0</v>
      </c>
      <c r="AO235">
        <f>IF(OR(EXACT(Asistencia!L246,"A"),EXACT(Asistencia!L246,"R"),EXACT(Asistencia!L246,"DL"),EXACT(Asistencia!L246,"FL"),EXACT(Asistencia!L246,"FE"),EXACT(Asistencia!L246,"PCS"),EXACT(Asistencia!L246,"V")),1,0)</f>
        <v>0</v>
      </c>
      <c r="AP235">
        <f t="shared" si="89"/>
        <v>0</v>
      </c>
      <c r="AQ235">
        <f>IF(EXACT(Asistencia!F246,"FL"),1,0)</f>
        <v>0</v>
      </c>
      <c r="AR235">
        <f>IF(EXACT(Asistencia!G246,"FL"),1,0)</f>
        <v>0</v>
      </c>
      <c r="AS235">
        <f>IF(EXACT(Asistencia!H246,"FL"),1,0)</f>
        <v>0</v>
      </c>
      <c r="AT235">
        <f>IF(EXACT(Asistencia!I246,"FL"),1,0)</f>
        <v>0</v>
      </c>
      <c r="AU235">
        <f>IF(EXACT(Asistencia!J246,"FL"),1,0)</f>
        <v>0</v>
      </c>
      <c r="AV235">
        <f>IF(EXACT(Asistencia!K246,"FL"),1,0)</f>
        <v>0</v>
      </c>
      <c r="AW235">
        <f>IF(EXACT(Asistencia!L246,"FL"),1,0)</f>
        <v>0</v>
      </c>
      <c r="AX235">
        <f t="shared" si="90"/>
        <v>0</v>
      </c>
      <c r="AY235">
        <f>IF(EXACT(Asistencia!F246,"DL"),1,0)</f>
        <v>0</v>
      </c>
      <c r="AZ235">
        <f>IF(EXACT(Asistencia!G246,"DL"),1,0)</f>
        <v>0</v>
      </c>
      <c r="BA235">
        <f>IF(EXACT(Asistencia!H246,"DL"),1,0)</f>
        <v>0</v>
      </c>
      <c r="BB235">
        <f>IF(EXACT(Asistencia!I246,"DL"),1,0)</f>
        <v>0</v>
      </c>
      <c r="BC235">
        <f>IF(EXACT(Asistencia!J246,"DL"),1,0)</f>
        <v>0</v>
      </c>
      <c r="BD235">
        <f>IF(EXACT(Asistencia!K246,"DL"),1,0)</f>
        <v>0</v>
      </c>
      <c r="BE235">
        <f>IF(EXACT(Asistencia!L246,"DL"),1,0)</f>
        <v>0</v>
      </c>
      <c r="BF235">
        <f t="shared" si="91"/>
        <v>0</v>
      </c>
      <c r="BG235">
        <f>IF(ISNUMBER(Asistencia!M246),Asistencia!M246,0)</f>
        <v>0</v>
      </c>
      <c r="BH235">
        <f>IF(ISNUMBER(Asistencia!N246),Asistencia!N246,0)</f>
        <v>0</v>
      </c>
      <c r="BI235">
        <f>IF(ISNUMBER(Asistencia!O246),Asistencia!O246,0)</f>
        <v>0</v>
      </c>
      <c r="BJ235">
        <f>IF(ISNUMBER(Asistencia!P246),Asistencia!P246,0)</f>
        <v>0</v>
      </c>
      <c r="BK235" t="str">
        <f>IF(Asistencia!F246="","",Asistencia!F246)</f>
        <v/>
      </c>
      <c r="BL235" t="str">
        <f>IF(Asistencia!G246="","",Asistencia!G246)</f>
        <v/>
      </c>
      <c r="BM235" t="str">
        <f>IF(Asistencia!H246="","",Asistencia!H246)</f>
        <v/>
      </c>
      <c r="BN235" t="str">
        <f>IF(Asistencia!I246="","",Asistencia!I246)</f>
        <v/>
      </c>
      <c r="BO235" t="str">
        <f>IF(Asistencia!J246="","",Asistencia!J246)</f>
        <v/>
      </c>
      <c r="BP235" t="str">
        <f>IF(Asistencia!K246="","",Asistencia!K246)</f>
        <v/>
      </c>
      <c r="BQ235" t="str">
        <f>IF(Asistencia!L246="","",Asistencia!L246)</f>
        <v/>
      </c>
    </row>
    <row r="236" spans="1:69" x14ac:dyDescent="0.25">
      <c r="A236" s="46"/>
      <c r="B236" s="47"/>
      <c r="C236" s="47"/>
      <c r="D236" s="47"/>
      <c r="E236" s="46"/>
      <c r="F236" s="45"/>
      <c r="G236" s="44"/>
      <c r="H236" s="44"/>
      <c r="I236" s="44"/>
      <c r="J236" s="44"/>
      <c r="K236" s="44"/>
      <c r="L236" s="44"/>
      <c r="M236" s="43"/>
      <c r="N236" s="41"/>
      <c r="O236" s="41"/>
      <c r="P236" s="41"/>
      <c r="Q236" s="41"/>
      <c r="R236" s="41"/>
      <c r="S236" s="41"/>
      <c r="T236" s="48"/>
      <c r="U236" s="41"/>
      <c r="V236" s="41"/>
      <c r="W236" s="42"/>
      <c r="AA236" t="str">
        <f t="shared" si="88"/>
        <v/>
      </c>
      <c r="AB236" t="str">
        <f>IF(Asistencia!A247="","",Asistencia!A247)</f>
        <v/>
      </c>
      <c r="AC236" t="str">
        <f>IF(Asistencia!A247="","",SUBSTITUTE(SUBSTITUTE(SUBSTITUTE(SUBSTITUTE(SUBSTITUTE(SUBSTITUTE(SUBSTITUTE(UPPER(TRIM(Asistencia!A247)),"Á","A"),"É","E"),"Í","I"),"Ó","O"),"Ú","U"),"Ñ","N"),"  "," "))</f>
        <v/>
      </c>
      <c r="AD236" t="str">
        <f>IF(Asistencia!E247="","",Asistencia!E247)</f>
        <v/>
      </c>
      <c r="AE236" t="str">
        <f>IF(Asistencia!D247="","",UPPER(TRIM(Asistencia!D247)))</f>
        <v/>
      </c>
      <c r="AF236" t="s">
        <v>196</v>
      </c>
      <c r="AG236">
        <f>IF(AND(AA236&lt;&gt;"",COUNTIF($AA$5:AA236,AA236)=1),1,0)</f>
        <v>0</v>
      </c>
      <c r="AH236" t="str">
        <f>IF(AG236=1,SUM($AG$5:AG236),"")</f>
        <v/>
      </c>
      <c r="AI236">
        <f>IF(OR(EXACT(Asistencia!F247,"A"),EXACT(Asistencia!F247,"R"),EXACT(Asistencia!F247,"DL"),EXACT(Asistencia!F247,"FL"),EXACT(Asistencia!F247,"FE"),EXACT(Asistencia!F247,"PCS"),EXACT(Asistencia!F247,"V")),1,0)</f>
        <v>0</v>
      </c>
      <c r="AJ236">
        <f>IF(OR(EXACT(Asistencia!G247,"A"),EXACT(Asistencia!G247,"R"),EXACT(Asistencia!G247,"DL"),EXACT(Asistencia!G247,"FL"),EXACT(Asistencia!G247,"FE"),EXACT(Asistencia!G247,"PCS"),EXACT(Asistencia!G247,"V")),1,0)</f>
        <v>0</v>
      </c>
      <c r="AK236">
        <f>IF(OR(EXACT(Asistencia!H247,"A"),EXACT(Asistencia!H247,"R"),EXACT(Asistencia!H247,"DL"),EXACT(Asistencia!H247,"FL"),EXACT(Asistencia!H247,"FE"),EXACT(Asistencia!H247,"PCS"),EXACT(Asistencia!H247,"V")),1,0)</f>
        <v>0</v>
      </c>
      <c r="AL236">
        <f>IF(OR(EXACT(Asistencia!I247,"A"),EXACT(Asistencia!I247,"R"),EXACT(Asistencia!I247,"DL"),EXACT(Asistencia!I247,"FL"),EXACT(Asistencia!I247,"FE"),EXACT(Asistencia!I247,"PCS"),EXACT(Asistencia!I247,"V")),1,0)</f>
        <v>0</v>
      </c>
      <c r="AM236">
        <f>IF(OR(EXACT(Asistencia!J247,"A"),EXACT(Asistencia!J247,"R"),EXACT(Asistencia!J247,"DL"),EXACT(Asistencia!J247,"FL"),EXACT(Asistencia!J247,"FE"),EXACT(Asistencia!J247,"PCS"),EXACT(Asistencia!J247,"V")),1,0)</f>
        <v>0</v>
      </c>
      <c r="AN236">
        <f>IF(OR(EXACT(Asistencia!K247,"A"),EXACT(Asistencia!K247,"R"),EXACT(Asistencia!K247,"DL"),EXACT(Asistencia!K247,"FL"),EXACT(Asistencia!K247,"FE"),EXACT(Asistencia!K247,"PCS"),EXACT(Asistencia!K247,"V")),1,0)</f>
        <v>0</v>
      </c>
      <c r="AO236">
        <f>IF(OR(EXACT(Asistencia!L247,"A"),EXACT(Asistencia!L247,"R"),EXACT(Asistencia!L247,"DL"),EXACT(Asistencia!L247,"FL"),EXACT(Asistencia!L247,"FE"),EXACT(Asistencia!L247,"PCS"),EXACT(Asistencia!L247,"V")),1,0)</f>
        <v>0</v>
      </c>
      <c r="AP236">
        <f t="shared" si="89"/>
        <v>0</v>
      </c>
      <c r="AQ236">
        <f>IF(EXACT(Asistencia!F247,"FL"),1,0)</f>
        <v>0</v>
      </c>
      <c r="AR236">
        <f>IF(EXACT(Asistencia!G247,"FL"),1,0)</f>
        <v>0</v>
      </c>
      <c r="AS236">
        <f>IF(EXACT(Asistencia!H247,"FL"),1,0)</f>
        <v>0</v>
      </c>
      <c r="AT236">
        <f>IF(EXACT(Asistencia!I247,"FL"),1,0)</f>
        <v>0</v>
      </c>
      <c r="AU236">
        <f>IF(EXACT(Asistencia!J247,"FL"),1,0)</f>
        <v>0</v>
      </c>
      <c r="AV236">
        <f>IF(EXACT(Asistencia!K247,"FL"),1,0)</f>
        <v>0</v>
      </c>
      <c r="AW236">
        <f>IF(EXACT(Asistencia!L247,"FL"),1,0)</f>
        <v>0</v>
      </c>
      <c r="AX236">
        <f t="shared" si="90"/>
        <v>0</v>
      </c>
      <c r="AY236">
        <f>IF(EXACT(Asistencia!F247,"DL"),1,0)</f>
        <v>0</v>
      </c>
      <c r="AZ236">
        <f>IF(EXACT(Asistencia!G247,"DL"),1,0)</f>
        <v>0</v>
      </c>
      <c r="BA236">
        <f>IF(EXACT(Asistencia!H247,"DL"),1,0)</f>
        <v>0</v>
      </c>
      <c r="BB236">
        <f>IF(EXACT(Asistencia!I247,"DL"),1,0)</f>
        <v>0</v>
      </c>
      <c r="BC236">
        <f>IF(EXACT(Asistencia!J247,"DL"),1,0)</f>
        <v>0</v>
      </c>
      <c r="BD236">
        <f>IF(EXACT(Asistencia!K247,"DL"),1,0)</f>
        <v>0</v>
      </c>
      <c r="BE236">
        <f>IF(EXACT(Asistencia!L247,"DL"),1,0)</f>
        <v>0</v>
      </c>
      <c r="BF236">
        <f t="shared" si="91"/>
        <v>0</v>
      </c>
      <c r="BG236">
        <f>IF(ISNUMBER(Asistencia!M247),Asistencia!M247,0)</f>
        <v>0</v>
      </c>
      <c r="BH236">
        <f>IF(ISNUMBER(Asistencia!N247),Asistencia!N247,0)</f>
        <v>0</v>
      </c>
      <c r="BI236">
        <f>IF(ISNUMBER(Asistencia!O247),Asistencia!O247,0)</f>
        <v>0</v>
      </c>
      <c r="BJ236">
        <f>IF(ISNUMBER(Asistencia!P247),Asistencia!P247,0)</f>
        <v>0</v>
      </c>
      <c r="BK236" t="str">
        <f>IF(Asistencia!F247="","",Asistencia!F247)</f>
        <v/>
      </c>
      <c r="BL236" t="str">
        <f>IF(Asistencia!G247="","",Asistencia!G247)</f>
        <v/>
      </c>
      <c r="BM236" t="str">
        <f>IF(Asistencia!H247="","",Asistencia!H247)</f>
        <v/>
      </c>
      <c r="BN236" t="str">
        <f>IF(Asistencia!I247="","",Asistencia!I247)</f>
        <v/>
      </c>
      <c r="BO236" t="str">
        <f>IF(Asistencia!J247="","",Asistencia!J247)</f>
        <v/>
      </c>
      <c r="BP236" t="str">
        <f>IF(Asistencia!K247="","",Asistencia!K247)</f>
        <v/>
      </c>
      <c r="BQ236" t="str">
        <f>IF(Asistencia!L247="","",Asistencia!L247)</f>
        <v/>
      </c>
    </row>
    <row r="237" spans="1:69" x14ac:dyDescent="0.25">
      <c r="A237" s="46"/>
      <c r="B237" s="47"/>
      <c r="C237" s="47"/>
      <c r="D237" s="47"/>
      <c r="E237" s="46"/>
      <c r="F237" s="45"/>
      <c r="G237" s="44"/>
      <c r="H237" s="44"/>
      <c r="I237" s="44"/>
      <c r="J237" s="44"/>
      <c r="K237" s="44"/>
      <c r="L237" s="44"/>
      <c r="M237" s="43"/>
      <c r="N237" s="41"/>
      <c r="O237" s="41"/>
      <c r="P237" s="41"/>
      <c r="Q237" s="41"/>
      <c r="R237" s="41"/>
      <c r="S237" s="41"/>
      <c r="T237" s="48"/>
      <c r="U237" s="41"/>
      <c r="V237" s="41"/>
      <c r="W237" s="42"/>
      <c r="AA237" t="str">
        <f t="shared" si="88"/>
        <v/>
      </c>
      <c r="AB237" t="str">
        <f>IF(Asistencia!A248="","",Asistencia!A248)</f>
        <v/>
      </c>
      <c r="AC237" t="str">
        <f>IF(Asistencia!A248="","",SUBSTITUTE(SUBSTITUTE(SUBSTITUTE(SUBSTITUTE(SUBSTITUTE(SUBSTITUTE(SUBSTITUTE(UPPER(TRIM(Asistencia!A248)),"Á","A"),"É","E"),"Í","I"),"Ó","O"),"Ú","U"),"Ñ","N"),"  "," "))</f>
        <v/>
      </c>
      <c r="AD237" t="str">
        <f>IF(Asistencia!E248="","",Asistencia!E248)</f>
        <v/>
      </c>
      <c r="AE237" t="str">
        <f>IF(Asistencia!D248="","",UPPER(TRIM(Asistencia!D248)))</f>
        <v/>
      </c>
      <c r="AF237" t="s">
        <v>196</v>
      </c>
      <c r="AG237">
        <f>IF(AND(AA237&lt;&gt;"",COUNTIF($AA$5:AA237,AA237)=1),1,0)</f>
        <v>0</v>
      </c>
      <c r="AH237" t="str">
        <f>IF(AG237=1,SUM($AG$5:AG237),"")</f>
        <v/>
      </c>
      <c r="AI237">
        <f>IF(OR(EXACT(Asistencia!F248,"A"),EXACT(Asistencia!F248,"R"),EXACT(Asistencia!F248,"DL"),EXACT(Asistencia!F248,"FL"),EXACT(Asistencia!F248,"FE"),EXACT(Asistencia!F248,"PCS"),EXACT(Asistencia!F248,"V")),1,0)</f>
        <v>0</v>
      </c>
      <c r="AJ237">
        <f>IF(OR(EXACT(Asistencia!G248,"A"),EXACT(Asistencia!G248,"R"),EXACT(Asistencia!G248,"DL"),EXACT(Asistencia!G248,"FL"),EXACT(Asistencia!G248,"FE"),EXACT(Asistencia!G248,"PCS"),EXACT(Asistencia!G248,"V")),1,0)</f>
        <v>0</v>
      </c>
      <c r="AK237">
        <f>IF(OR(EXACT(Asistencia!H248,"A"),EXACT(Asistencia!H248,"R"),EXACT(Asistencia!H248,"DL"),EXACT(Asistencia!H248,"FL"),EXACT(Asistencia!H248,"FE"),EXACT(Asistencia!H248,"PCS"),EXACT(Asistencia!H248,"V")),1,0)</f>
        <v>0</v>
      </c>
      <c r="AL237">
        <f>IF(OR(EXACT(Asistencia!I248,"A"),EXACT(Asistencia!I248,"R"),EXACT(Asistencia!I248,"DL"),EXACT(Asistencia!I248,"FL"),EXACT(Asistencia!I248,"FE"),EXACT(Asistencia!I248,"PCS"),EXACT(Asistencia!I248,"V")),1,0)</f>
        <v>0</v>
      </c>
      <c r="AM237">
        <f>IF(OR(EXACT(Asistencia!J248,"A"),EXACT(Asistencia!J248,"R"),EXACT(Asistencia!J248,"DL"),EXACT(Asistencia!J248,"FL"),EXACT(Asistencia!J248,"FE"),EXACT(Asistencia!J248,"PCS"),EXACT(Asistencia!J248,"V")),1,0)</f>
        <v>0</v>
      </c>
      <c r="AN237">
        <f>IF(OR(EXACT(Asistencia!K248,"A"),EXACT(Asistencia!K248,"R"),EXACT(Asistencia!K248,"DL"),EXACT(Asistencia!K248,"FL"),EXACT(Asistencia!K248,"FE"),EXACT(Asistencia!K248,"PCS"),EXACT(Asistencia!K248,"V")),1,0)</f>
        <v>0</v>
      </c>
      <c r="AO237">
        <f>IF(OR(EXACT(Asistencia!L248,"A"),EXACT(Asistencia!L248,"R"),EXACT(Asistencia!L248,"DL"),EXACT(Asistencia!L248,"FL"),EXACT(Asistencia!L248,"FE"),EXACT(Asistencia!L248,"PCS"),EXACT(Asistencia!L248,"V")),1,0)</f>
        <v>0</v>
      </c>
      <c r="AP237">
        <f t="shared" si="89"/>
        <v>0</v>
      </c>
      <c r="AQ237">
        <f>IF(EXACT(Asistencia!F248,"FL"),1,0)</f>
        <v>0</v>
      </c>
      <c r="AR237">
        <f>IF(EXACT(Asistencia!G248,"FL"),1,0)</f>
        <v>0</v>
      </c>
      <c r="AS237">
        <f>IF(EXACT(Asistencia!H248,"FL"),1,0)</f>
        <v>0</v>
      </c>
      <c r="AT237">
        <f>IF(EXACT(Asistencia!I248,"FL"),1,0)</f>
        <v>0</v>
      </c>
      <c r="AU237">
        <f>IF(EXACT(Asistencia!J248,"FL"),1,0)</f>
        <v>0</v>
      </c>
      <c r="AV237">
        <f>IF(EXACT(Asistencia!K248,"FL"),1,0)</f>
        <v>0</v>
      </c>
      <c r="AW237">
        <f>IF(EXACT(Asistencia!L248,"FL"),1,0)</f>
        <v>0</v>
      </c>
      <c r="AX237">
        <f t="shared" si="90"/>
        <v>0</v>
      </c>
      <c r="AY237">
        <f>IF(EXACT(Asistencia!F248,"DL"),1,0)</f>
        <v>0</v>
      </c>
      <c r="AZ237">
        <f>IF(EXACT(Asistencia!G248,"DL"),1,0)</f>
        <v>0</v>
      </c>
      <c r="BA237">
        <f>IF(EXACT(Asistencia!H248,"DL"),1,0)</f>
        <v>0</v>
      </c>
      <c r="BB237">
        <f>IF(EXACT(Asistencia!I248,"DL"),1,0)</f>
        <v>0</v>
      </c>
      <c r="BC237">
        <f>IF(EXACT(Asistencia!J248,"DL"),1,0)</f>
        <v>0</v>
      </c>
      <c r="BD237">
        <f>IF(EXACT(Asistencia!K248,"DL"),1,0)</f>
        <v>0</v>
      </c>
      <c r="BE237">
        <f>IF(EXACT(Asistencia!L248,"DL"),1,0)</f>
        <v>0</v>
      </c>
      <c r="BF237">
        <f t="shared" si="91"/>
        <v>0</v>
      </c>
      <c r="BG237">
        <f>IF(ISNUMBER(Asistencia!M248),Asistencia!M248,0)</f>
        <v>0</v>
      </c>
      <c r="BH237">
        <f>IF(ISNUMBER(Asistencia!N248),Asistencia!N248,0)</f>
        <v>0</v>
      </c>
      <c r="BI237">
        <f>IF(ISNUMBER(Asistencia!O248),Asistencia!O248,0)</f>
        <v>0</v>
      </c>
      <c r="BJ237">
        <f>IF(ISNUMBER(Asistencia!P248),Asistencia!P248,0)</f>
        <v>0</v>
      </c>
      <c r="BK237" t="str">
        <f>IF(Asistencia!F248="","",Asistencia!F248)</f>
        <v/>
      </c>
      <c r="BL237" t="str">
        <f>IF(Asistencia!G248="","",Asistencia!G248)</f>
        <v/>
      </c>
      <c r="BM237" t="str">
        <f>IF(Asistencia!H248="","",Asistencia!H248)</f>
        <v/>
      </c>
      <c r="BN237" t="str">
        <f>IF(Asistencia!I248="","",Asistencia!I248)</f>
        <v/>
      </c>
      <c r="BO237" t="str">
        <f>IF(Asistencia!J248="","",Asistencia!J248)</f>
        <v/>
      </c>
      <c r="BP237" t="str">
        <f>IF(Asistencia!K248="","",Asistencia!K248)</f>
        <v/>
      </c>
      <c r="BQ237" t="str">
        <f>IF(Asistencia!L248="","",Asistencia!L248)</f>
        <v/>
      </c>
    </row>
    <row r="238" spans="1:69" x14ac:dyDescent="0.25">
      <c r="A238" s="46"/>
      <c r="B238" s="47"/>
      <c r="C238" s="47"/>
      <c r="D238" s="47"/>
      <c r="E238" s="46"/>
      <c r="F238" s="45"/>
      <c r="G238" s="44"/>
      <c r="H238" s="44"/>
      <c r="I238" s="44"/>
      <c r="J238" s="44"/>
      <c r="K238" s="44"/>
      <c r="L238" s="44"/>
      <c r="M238" s="43"/>
      <c r="N238" s="41"/>
      <c r="O238" s="41"/>
      <c r="P238" s="41"/>
      <c r="Q238" s="41"/>
      <c r="R238" s="41"/>
      <c r="S238" s="41"/>
      <c r="T238" s="48"/>
      <c r="U238" s="41"/>
      <c r="V238" s="41"/>
      <c r="W238" s="42"/>
      <c r="AA238" t="str">
        <f t="shared" si="88"/>
        <v/>
      </c>
      <c r="AB238" t="str">
        <f>IF(Asistencia!A249="","",Asistencia!A249)</f>
        <v/>
      </c>
      <c r="AC238" t="str">
        <f>IF(Asistencia!A249="","",SUBSTITUTE(SUBSTITUTE(SUBSTITUTE(SUBSTITUTE(SUBSTITUTE(SUBSTITUTE(SUBSTITUTE(UPPER(TRIM(Asistencia!A249)),"Á","A"),"É","E"),"Í","I"),"Ó","O"),"Ú","U"),"Ñ","N"),"  "," "))</f>
        <v/>
      </c>
      <c r="AD238" t="str">
        <f>IF(Asistencia!E249="","",Asistencia!E249)</f>
        <v/>
      </c>
      <c r="AE238" t="str">
        <f>IF(Asistencia!D249="","",UPPER(TRIM(Asistencia!D249)))</f>
        <v/>
      </c>
      <c r="AF238" t="s">
        <v>196</v>
      </c>
      <c r="AG238">
        <f>IF(AND(AA238&lt;&gt;"",COUNTIF($AA$5:AA238,AA238)=1),1,0)</f>
        <v>0</v>
      </c>
      <c r="AH238" t="str">
        <f>IF(AG238=1,SUM($AG$5:AG238),"")</f>
        <v/>
      </c>
      <c r="AI238">
        <f>IF(OR(EXACT(Asistencia!F249,"A"),EXACT(Asistencia!F249,"R"),EXACT(Asistencia!F249,"DL"),EXACT(Asistencia!F249,"FL"),EXACT(Asistencia!F249,"FE"),EXACT(Asistencia!F249,"PCS"),EXACT(Asistencia!F249,"V")),1,0)</f>
        <v>0</v>
      </c>
      <c r="AJ238">
        <f>IF(OR(EXACT(Asistencia!G249,"A"),EXACT(Asistencia!G249,"R"),EXACT(Asistencia!G249,"DL"),EXACT(Asistencia!G249,"FL"),EXACT(Asistencia!G249,"FE"),EXACT(Asistencia!G249,"PCS"),EXACT(Asistencia!G249,"V")),1,0)</f>
        <v>0</v>
      </c>
      <c r="AK238">
        <f>IF(OR(EXACT(Asistencia!H249,"A"),EXACT(Asistencia!H249,"R"),EXACT(Asistencia!H249,"DL"),EXACT(Asistencia!H249,"FL"),EXACT(Asistencia!H249,"FE"),EXACT(Asistencia!H249,"PCS"),EXACT(Asistencia!H249,"V")),1,0)</f>
        <v>0</v>
      </c>
      <c r="AL238">
        <f>IF(OR(EXACT(Asistencia!I249,"A"),EXACT(Asistencia!I249,"R"),EXACT(Asistencia!I249,"DL"),EXACT(Asistencia!I249,"FL"),EXACT(Asistencia!I249,"FE"),EXACT(Asistencia!I249,"PCS"),EXACT(Asistencia!I249,"V")),1,0)</f>
        <v>0</v>
      </c>
      <c r="AM238">
        <f>IF(OR(EXACT(Asistencia!J249,"A"),EXACT(Asistencia!J249,"R"),EXACT(Asistencia!J249,"DL"),EXACT(Asistencia!J249,"FL"),EXACT(Asistencia!J249,"FE"),EXACT(Asistencia!J249,"PCS"),EXACT(Asistencia!J249,"V")),1,0)</f>
        <v>0</v>
      </c>
      <c r="AN238">
        <f>IF(OR(EXACT(Asistencia!K249,"A"),EXACT(Asistencia!K249,"R"),EXACT(Asistencia!K249,"DL"),EXACT(Asistencia!K249,"FL"),EXACT(Asistencia!K249,"FE"),EXACT(Asistencia!K249,"PCS"),EXACT(Asistencia!K249,"V")),1,0)</f>
        <v>0</v>
      </c>
      <c r="AO238">
        <f>IF(OR(EXACT(Asistencia!L249,"A"),EXACT(Asistencia!L249,"R"),EXACT(Asistencia!L249,"DL"),EXACT(Asistencia!L249,"FL"),EXACT(Asistencia!L249,"FE"),EXACT(Asistencia!L249,"PCS"),EXACT(Asistencia!L249,"V")),1,0)</f>
        <v>0</v>
      </c>
      <c r="AP238">
        <f t="shared" si="89"/>
        <v>0</v>
      </c>
      <c r="AQ238">
        <f>IF(EXACT(Asistencia!F249,"FL"),1,0)</f>
        <v>0</v>
      </c>
      <c r="AR238">
        <f>IF(EXACT(Asistencia!G249,"FL"),1,0)</f>
        <v>0</v>
      </c>
      <c r="AS238">
        <f>IF(EXACT(Asistencia!H249,"FL"),1,0)</f>
        <v>0</v>
      </c>
      <c r="AT238">
        <f>IF(EXACT(Asistencia!I249,"FL"),1,0)</f>
        <v>0</v>
      </c>
      <c r="AU238">
        <f>IF(EXACT(Asistencia!J249,"FL"),1,0)</f>
        <v>0</v>
      </c>
      <c r="AV238">
        <f>IF(EXACT(Asistencia!K249,"FL"),1,0)</f>
        <v>0</v>
      </c>
      <c r="AW238">
        <f>IF(EXACT(Asistencia!L249,"FL"),1,0)</f>
        <v>0</v>
      </c>
      <c r="AX238">
        <f t="shared" si="90"/>
        <v>0</v>
      </c>
      <c r="AY238">
        <f>IF(EXACT(Asistencia!F249,"DL"),1,0)</f>
        <v>0</v>
      </c>
      <c r="AZ238">
        <f>IF(EXACT(Asistencia!G249,"DL"),1,0)</f>
        <v>0</v>
      </c>
      <c r="BA238">
        <f>IF(EXACT(Asistencia!H249,"DL"),1,0)</f>
        <v>0</v>
      </c>
      <c r="BB238">
        <f>IF(EXACT(Asistencia!I249,"DL"),1,0)</f>
        <v>0</v>
      </c>
      <c r="BC238">
        <f>IF(EXACT(Asistencia!J249,"DL"),1,0)</f>
        <v>0</v>
      </c>
      <c r="BD238">
        <f>IF(EXACT(Asistencia!K249,"DL"),1,0)</f>
        <v>0</v>
      </c>
      <c r="BE238">
        <f>IF(EXACT(Asistencia!L249,"DL"),1,0)</f>
        <v>0</v>
      </c>
      <c r="BF238">
        <f t="shared" si="91"/>
        <v>0</v>
      </c>
      <c r="BG238">
        <f>IF(ISNUMBER(Asistencia!M249),Asistencia!M249,0)</f>
        <v>0</v>
      </c>
      <c r="BH238">
        <f>IF(ISNUMBER(Asistencia!N249),Asistencia!N249,0)</f>
        <v>0</v>
      </c>
      <c r="BI238">
        <f>IF(ISNUMBER(Asistencia!O249),Asistencia!O249,0)</f>
        <v>0</v>
      </c>
      <c r="BJ238">
        <f>IF(ISNUMBER(Asistencia!P249),Asistencia!P249,0)</f>
        <v>0</v>
      </c>
      <c r="BK238" t="str">
        <f>IF(Asistencia!F249="","",Asistencia!F249)</f>
        <v/>
      </c>
      <c r="BL238" t="str">
        <f>IF(Asistencia!G249="","",Asistencia!G249)</f>
        <v/>
      </c>
      <c r="BM238" t="str">
        <f>IF(Asistencia!H249="","",Asistencia!H249)</f>
        <v/>
      </c>
      <c r="BN238" t="str">
        <f>IF(Asistencia!I249="","",Asistencia!I249)</f>
        <v/>
      </c>
      <c r="BO238" t="str">
        <f>IF(Asistencia!J249="","",Asistencia!J249)</f>
        <v/>
      </c>
      <c r="BP238" t="str">
        <f>IF(Asistencia!K249="","",Asistencia!K249)</f>
        <v/>
      </c>
      <c r="BQ238" t="str">
        <f>IF(Asistencia!L249="","",Asistencia!L249)</f>
        <v/>
      </c>
    </row>
    <row r="239" spans="1:69" x14ac:dyDescent="0.25">
      <c r="A239" s="46"/>
      <c r="B239" s="47"/>
      <c r="C239" s="47"/>
      <c r="D239" s="47"/>
      <c r="E239" s="46"/>
      <c r="F239" s="45"/>
      <c r="G239" s="44"/>
      <c r="H239" s="44"/>
      <c r="I239" s="44"/>
      <c r="J239" s="44"/>
      <c r="K239" s="44"/>
      <c r="L239" s="44"/>
      <c r="M239" s="43"/>
      <c r="N239" s="41"/>
      <c r="O239" s="41"/>
      <c r="P239" s="41"/>
      <c r="Q239" s="41"/>
      <c r="R239" s="41"/>
      <c r="S239" s="41"/>
      <c r="T239" s="48"/>
      <c r="U239" s="41"/>
      <c r="V239" s="41"/>
      <c r="W239" s="42"/>
      <c r="AA239" t="str">
        <f t="shared" si="88"/>
        <v/>
      </c>
      <c r="AB239" t="str">
        <f>IF(Asistencia!A250="","",Asistencia!A250)</f>
        <v/>
      </c>
      <c r="AC239" t="str">
        <f>IF(Asistencia!A250="","",SUBSTITUTE(SUBSTITUTE(SUBSTITUTE(SUBSTITUTE(SUBSTITUTE(SUBSTITUTE(SUBSTITUTE(UPPER(TRIM(Asistencia!A250)),"Á","A"),"É","E"),"Í","I"),"Ó","O"),"Ú","U"),"Ñ","N"),"  "," "))</f>
        <v/>
      </c>
      <c r="AD239" t="str">
        <f>IF(Asistencia!E250="","",Asistencia!E250)</f>
        <v/>
      </c>
      <c r="AE239" t="str">
        <f>IF(Asistencia!D250="","",UPPER(TRIM(Asistencia!D250)))</f>
        <v/>
      </c>
      <c r="AF239" t="s">
        <v>196</v>
      </c>
      <c r="AG239">
        <f>IF(AND(AA239&lt;&gt;"",COUNTIF($AA$5:AA239,AA239)=1),1,0)</f>
        <v>0</v>
      </c>
      <c r="AH239" t="str">
        <f>IF(AG239=1,SUM($AG$5:AG239),"")</f>
        <v/>
      </c>
      <c r="AI239">
        <f>IF(OR(EXACT(Asistencia!F250,"A"),EXACT(Asistencia!F250,"R"),EXACT(Asistencia!F250,"DL"),EXACT(Asistencia!F250,"FL"),EXACT(Asistencia!F250,"FE"),EXACT(Asistencia!F250,"PCS"),EXACT(Asistencia!F250,"V")),1,0)</f>
        <v>0</v>
      </c>
      <c r="AJ239">
        <f>IF(OR(EXACT(Asistencia!G250,"A"),EXACT(Asistencia!G250,"R"),EXACT(Asistencia!G250,"DL"),EXACT(Asistencia!G250,"FL"),EXACT(Asistencia!G250,"FE"),EXACT(Asistencia!G250,"PCS"),EXACT(Asistencia!G250,"V")),1,0)</f>
        <v>0</v>
      </c>
      <c r="AK239">
        <f>IF(OR(EXACT(Asistencia!H250,"A"),EXACT(Asistencia!H250,"R"),EXACT(Asistencia!H250,"DL"),EXACT(Asistencia!H250,"FL"),EXACT(Asistencia!H250,"FE"),EXACT(Asistencia!H250,"PCS"),EXACT(Asistencia!H250,"V")),1,0)</f>
        <v>0</v>
      </c>
      <c r="AL239">
        <f>IF(OR(EXACT(Asistencia!I250,"A"),EXACT(Asistencia!I250,"R"),EXACT(Asistencia!I250,"DL"),EXACT(Asistencia!I250,"FL"),EXACT(Asistencia!I250,"FE"),EXACT(Asistencia!I250,"PCS"),EXACT(Asistencia!I250,"V")),1,0)</f>
        <v>0</v>
      </c>
      <c r="AM239">
        <f>IF(OR(EXACT(Asistencia!J250,"A"),EXACT(Asistencia!J250,"R"),EXACT(Asistencia!J250,"DL"),EXACT(Asistencia!J250,"FL"),EXACT(Asistencia!J250,"FE"),EXACT(Asistencia!J250,"PCS"),EXACT(Asistencia!J250,"V")),1,0)</f>
        <v>0</v>
      </c>
      <c r="AN239">
        <f>IF(OR(EXACT(Asistencia!K250,"A"),EXACT(Asistencia!K250,"R"),EXACT(Asistencia!K250,"DL"),EXACT(Asistencia!K250,"FL"),EXACT(Asistencia!K250,"FE"),EXACT(Asistencia!K250,"PCS"),EXACT(Asistencia!K250,"V")),1,0)</f>
        <v>0</v>
      </c>
      <c r="AO239">
        <f>IF(OR(EXACT(Asistencia!L250,"A"),EXACT(Asistencia!L250,"R"),EXACT(Asistencia!L250,"DL"),EXACT(Asistencia!L250,"FL"),EXACT(Asistencia!L250,"FE"),EXACT(Asistencia!L250,"PCS"),EXACT(Asistencia!L250,"V")),1,0)</f>
        <v>0</v>
      </c>
      <c r="AP239">
        <f t="shared" si="89"/>
        <v>0</v>
      </c>
      <c r="AQ239">
        <f>IF(EXACT(Asistencia!F250,"FL"),1,0)</f>
        <v>0</v>
      </c>
      <c r="AR239">
        <f>IF(EXACT(Asistencia!G250,"FL"),1,0)</f>
        <v>0</v>
      </c>
      <c r="AS239">
        <f>IF(EXACT(Asistencia!H250,"FL"),1,0)</f>
        <v>0</v>
      </c>
      <c r="AT239">
        <f>IF(EXACT(Asistencia!I250,"FL"),1,0)</f>
        <v>0</v>
      </c>
      <c r="AU239">
        <f>IF(EXACT(Asistencia!J250,"FL"),1,0)</f>
        <v>0</v>
      </c>
      <c r="AV239">
        <f>IF(EXACT(Asistencia!K250,"FL"),1,0)</f>
        <v>0</v>
      </c>
      <c r="AW239">
        <f>IF(EXACT(Asistencia!L250,"FL"),1,0)</f>
        <v>0</v>
      </c>
      <c r="AX239">
        <f t="shared" si="90"/>
        <v>0</v>
      </c>
      <c r="AY239">
        <f>IF(EXACT(Asistencia!F250,"DL"),1,0)</f>
        <v>0</v>
      </c>
      <c r="AZ239">
        <f>IF(EXACT(Asistencia!G250,"DL"),1,0)</f>
        <v>0</v>
      </c>
      <c r="BA239">
        <f>IF(EXACT(Asistencia!H250,"DL"),1,0)</f>
        <v>0</v>
      </c>
      <c r="BB239">
        <f>IF(EXACT(Asistencia!I250,"DL"),1,0)</f>
        <v>0</v>
      </c>
      <c r="BC239">
        <f>IF(EXACT(Asistencia!J250,"DL"),1,0)</f>
        <v>0</v>
      </c>
      <c r="BD239">
        <f>IF(EXACT(Asistencia!K250,"DL"),1,0)</f>
        <v>0</v>
      </c>
      <c r="BE239">
        <f>IF(EXACT(Asistencia!L250,"DL"),1,0)</f>
        <v>0</v>
      </c>
      <c r="BF239">
        <f t="shared" si="91"/>
        <v>0</v>
      </c>
      <c r="BG239">
        <f>IF(ISNUMBER(Asistencia!M250),Asistencia!M250,0)</f>
        <v>0</v>
      </c>
      <c r="BH239">
        <f>IF(ISNUMBER(Asistencia!N250),Asistencia!N250,0)</f>
        <v>0</v>
      </c>
      <c r="BI239">
        <f>IF(ISNUMBER(Asistencia!O250),Asistencia!O250,0)</f>
        <v>0</v>
      </c>
      <c r="BJ239">
        <f>IF(ISNUMBER(Asistencia!P250),Asistencia!P250,0)</f>
        <v>0</v>
      </c>
      <c r="BK239" t="str">
        <f>IF(Asistencia!F250="","",Asistencia!F250)</f>
        <v/>
      </c>
      <c r="BL239" t="str">
        <f>IF(Asistencia!G250="","",Asistencia!G250)</f>
        <v/>
      </c>
      <c r="BM239" t="str">
        <f>IF(Asistencia!H250="","",Asistencia!H250)</f>
        <v/>
      </c>
      <c r="BN239" t="str">
        <f>IF(Asistencia!I250="","",Asistencia!I250)</f>
        <v/>
      </c>
      <c r="BO239" t="str">
        <f>IF(Asistencia!J250="","",Asistencia!J250)</f>
        <v/>
      </c>
      <c r="BP239" t="str">
        <f>IF(Asistencia!K250="","",Asistencia!K250)</f>
        <v/>
      </c>
      <c r="BQ239" t="str">
        <f>IF(Asistencia!L250="","",Asistencia!L250)</f>
        <v/>
      </c>
    </row>
    <row r="240" spans="1:69" x14ac:dyDescent="0.25">
      <c r="A240" s="46"/>
      <c r="B240" s="47"/>
      <c r="C240" s="47"/>
      <c r="D240" s="47"/>
      <c r="E240" s="46"/>
      <c r="F240" s="45"/>
      <c r="G240" s="44"/>
      <c r="H240" s="44"/>
      <c r="I240" s="44"/>
      <c r="J240" s="44"/>
      <c r="K240" s="44"/>
      <c r="L240" s="44"/>
      <c r="M240" s="43"/>
      <c r="N240" s="41"/>
      <c r="O240" s="41"/>
      <c r="P240" s="41"/>
      <c r="Q240" s="41"/>
      <c r="R240" s="41"/>
      <c r="S240" s="41"/>
      <c r="T240" s="48"/>
      <c r="U240" s="41"/>
      <c r="V240" s="41"/>
      <c r="W240" s="42"/>
      <c r="AA240" t="str">
        <f t="shared" si="88"/>
        <v/>
      </c>
      <c r="AB240" t="str">
        <f>IF(Asistencia!A251="","",Asistencia!A251)</f>
        <v/>
      </c>
      <c r="AC240" t="str">
        <f>IF(Asistencia!A251="","",SUBSTITUTE(SUBSTITUTE(SUBSTITUTE(SUBSTITUTE(SUBSTITUTE(SUBSTITUTE(SUBSTITUTE(UPPER(TRIM(Asistencia!A251)),"Á","A"),"É","E"),"Í","I"),"Ó","O"),"Ú","U"),"Ñ","N"),"  "," "))</f>
        <v/>
      </c>
      <c r="AD240" t="str">
        <f>IF(Asistencia!E251="","",Asistencia!E251)</f>
        <v/>
      </c>
      <c r="AE240" t="str">
        <f>IF(Asistencia!D251="","",UPPER(TRIM(Asistencia!D251)))</f>
        <v/>
      </c>
      <c r="AF240" t="s">
        <v>196</v>
      </c>
      <c r="AG240">
        <f>IF(AND(AA240&lt;&gt;"",COUNTIF($AA$5:AA240,AA240)=1),1,0)</f>
        <v>0</v>
      </c>
      <c r="AH240" t="str">
        <f>IF(AG240=1,SUM($AG$5:AG240),"")</f>
        <v/>
      </c>
      <c r="AI240">
        <f>IF(OR(EXACT(Asistencia!F251,"A"),EXACT(Asistencia!F251,"R"),EXACT(Asistencia!F251,"DL"),EXACT(Asistencia!F251,"FL"),EXACT(Asistencia!F251,"FE"),EXACT(Asistencia!F251,"PCS"),EXACT(Asistencia!F251,"V")),1,0)</f>
        <v>0</v>
      </c>
      <c r="AJ240">
        <f>IF(OR(EXACT(Asistencia!G251,"A"),EXACT(Asistencia!G251,"R"),EXACT(Asistencia!G251,"DL"),EXACT(Asistencia!G251,"FL"),EXACT(Asistencia!G251,"FE"),EXACT(Asistencia!G251,"PCS"),EXACT(Asistencia!G251,"V")),1,0)</f>
        <v>0</v>
      </c>
      <c r="AK240">
        <f>IF(OR(EXACT(Asistencia!H251,"A"),EXACT(Asistencia!H251,"R"),EXACT(Asistencia!H251,"DL"),EXACT(Asistencia!H251,"FL"),EXACT(Asistencia!H251,"FE"),EXACT(Asistencia!H251,"PCS"),EXACT(Asistencia!H251,"V")),1,0)</f>
        <v>0</v>
      </c>
      <c r="AL240">
        <f>IF(OR(EXACT(Asistencia!I251,"A"),EXACT(Asistencia!I251,"R"),EXACT(Asistencia!I251,"DL"),EXACT(Asistencia!I251,"FL"),EXACT(Asistencia!I251,"FE"),EXACT(Asistencia!I251,"PCS"),EXACT(Asistencia!I251,"V")),1,0)</f>
        <v>0</v>
      </c>
      <c r="AM240">
        <f>IF(OR(EXACT(Asistencia!J251,"A"),EXACT(Asistencia!J251,"R"),EXACT(Asistencia!J251,"DL"),EXACT(Asistencia!J251,"FL"),EXACT(Asistencia!J251,"FE"),EXACT(Asistencia!J251,"PCS"),EXACT(Asistencia!J251,"V")),1,0)</f>
        <v>0</v>
      </c>
      <c r="AN240">
        <f>IF(OR(EXACT(Asistencia!K251,"A"),EXACT(Asistencia!K251,"R"),EXACT(Asistencia!K251,"DL"),EXACT(Asistencia!K251,"FL"),EXACT(Asistencia!K251,"FE"),EXACT(Asistencia!K251,"PCS"),EXACT(Asistencia!K251,"V")),1,0)</f>
        <v>0</v>
      </c>
      <c r="AO240">
        <f>IF(OR(EXACT(Asistencia!L251,"A"),EXACT(Asistencia!L251,"R"),EXACT(Asistencia!L251,"DL"),EXACT(Asistencia!L251,"FL"),EXACT(Asistencia!L251,"FE"),EXACT(Asistencia!L251,"PCS"),EXACT(Asistencia!L251,"V")),1,0)</f>
        <v>0</v>
      </c>
      <c r="AP240">
        <f t="shared" si="89"/>
        <v>0</v>
      </c>
      <c r="AQ240">
        <f>IF(EXACT(Asistencia!F251,"FL"),1,0)</f>
        <v>0</v>
      </c>
      <c r="AR240">
        <f>IF(EXACT(Asistencia!G251,"FL"),1,0)</f>
        <v>0</v>
      </c>
      <c r="AS240">
        <f>IF(EXACT(Asistencia!H251,"FL"),1,0)</f>
        <v>0</v>
      </c>
      <c r="AT240">
        <f>IF(EXACT(Asistencia!I251,"FL"),1,0)</f>
        <v>0</v>
      </c>
      <c r="AU240">
        <f>IF(EXACT(Asistencia!J251,"FL"),1,0)</f>
        <v>0</v>
      </c>
      <c r="AV240">
        <f>IF(EXACT(Asistencia!K251,"FL"),1,0)</f>
        <v>0</v>
      </c>
      <c r="AW240">
        <f>IF(EXACT(Asistencia!L251,"FL"),1,0)</f>
        <v>0</v>
      </c>
      <c r="AX240">
        <f t="shared" si="90"/>
        <v>0</v>
      </c>
      <c r="AY240">
        <f>IF(EXACT(Asistencia!F251,"DL"),1,0)</f>
        <v>0</v>
      </c>
      <c r="AZ240">
        <f>IF(EXACT(Asistencia!G251,"DL"),1,0)</f>
        <v>0</v>
      </c>
      <c r="BA240">
        <f>IF(EXACT(Asistencia!H251,"DL"),1,0)</f>
        <v>0</v>
      </c>
      <c r="BB240">
        <f>IF(EXACT(Asistencia!I251,"DL"),1,0)</f>
        <v>0</v>
      </c>
      <c r="BC240">
        <f>IF(EXACT(Asistencia!J251,"DL"),1,0)</f>
        <v>0</v>
      </c>
      <c r="BD240">
        <f>IF(EXACT(Asistencia!K251,"DL"),1,0)</f>
        <v>0</v>
      </c>
      <c r="BE240">
        <f>IF(EXACT(Asistencia!L251,"DL"),1,0)</f>
        <v>0</v>
      </c>
      <c r="BF240">
        <f t="shared" si="91"/>
        <v>0</v>
      </c>
      <c r="BG240">
        <f>IF(ISNUMBER(Asistencia!M251),Asistencia!M251,0)</f>
        <v>0</v>
      </c>
      <c r="BH240">
        <f>IF(ISNUMBER(Asistencia!N251),Asistencia!N251,0)</f>
        <v>0</v>
      </c>
      <c r="BI240">
        <f>IF(ISNUMBER(Asistencia!O251),Asistencia!O251,0)</f>
        <v>0</v>
      </c>
      <c r="BJ240">
        <f>IF(ISNUMBER(Asistencia!P251),Asistencia!P251,0)</f>
        <v>0</v>
      </c>
      <c r="BK240" t="str">
        <f>IF(Asistencia!F251="","",Asistencia!F251)</f>
        <v/>
      </c>
      <c r="BL240" t="str">
        <f>IF(Asistencia!G251="","",Asistencia!G251)</f>
        <v/>
      </c>
      <c r="BM240" t="str">
        <f>IF(Asistencia!H251="","",Asistencia!H251)</f>
        <v/>
      </c>
      <c r="BN240" t="str">
        <f>IF(Asistencia!I251="","",Asistencia!I251)</f>
        <v/>
      </c>
      <c r="BO240" t="str">
        <f>IF(Asistencia!J251="","",Asistencia!J251)</f>
        <v/>
      </c>
      <c r="BP240" t="str">
        <f>IF(Asistencia!K251="","",Asistencia!K251)</f>
        <v/>
      </c>
      <c r="BQ240" t="str">
        <f>IF(Asistencia!L251="","",Asistencia!L251)</f>
        <v/>
      </c>
    </row>
    <row r="241" spans="1:69" x14ac:dyDescent="0.25">
      <c r="A241" s="46"/>
      <c r="B241" s="47"/>
      <c r="C241" s="47"/>
      <c r="D241" s="47"/>
      <c r="E241" s="46"/>
      <c r="F241" s="45"/>
      <c r="G241" s="44"/>
      <c r="H241" s="44"/>
      <c r="I241" s="44"/>
      <c r="J241" s="44"/>
      <c r="K241" s="44"/>
      <c r="L241" s="44"/>
      <c r="M241" s="43"/>
      <c r="N241" s="41"/>
      <c r="O241" s="41"/>
      <c r="P241" s="41"/>
      <c r="Q241" s="41"/>
      <c r="R241" s="41"/>
      <c r="S241" s="41"/>
      <c r="T241" s="48"/>
      <c r="U241" s="41"/>
      <c r="V241" s="41"/>
      <c r="W241" s="42"/>
      <c r="AA241" t="str">
        <f t="shared" si="88"/>
        <v/>
      </c>
      <c r="AB241" t="str">
        <f>IF(Asistencia!A252="","",Asistencia!A252)</f>
        <v/>
      </c>
      <c r="AC241" t="str">
        <f>IF(Asistencia!A252="","",SUBSTITUTE(SUBSTITUTE(SUBSTITUTE(SUBSTITUTE(SUBSTITUTE(SUBSTITUTE(SUBSTITUTE(UPPER(TRIM(Asistencia!A252)),"Á","A"),"É","E"),"Í","I"),"Ó","O"),"Ú","U"),"Ñ","N"),"  "," "))</f>
        <v/>
      </c>
      <c r="AD241" t="str">
        <f>IF(Asistencia!E252="","",Asistencia!E252)</f>
        <v/>
      </c>
      <c r="AE241" t="str">
        <f>IF(Asistencia!D252="","",UPPER(TRIM(Asistencia!D252)))</f>
        <v/>
      </c>
      <c r="AF241" t="s">
        <v>196</v>
      </c>
      <c r="AG241">
        <f>IF(AND(AA241&lt;&gt;"",COUNTIF($AA$5:AA241,AA241)=1),1,0)</f>
        <v>0</v>
      </c>
      <c r="AH241" t="str">
        <f>IF(AG241=1,SUM($AG$5:AG241),"")</f>
        <v/>
      </c>
      <c r="AI241">
        <f>IF(OR(EXACT(Asistencia!F252,"A"),EXACT(Asistencia!F252,"R"),EXACT(Asistencia!F252,"DL"),EXACT(Asistencia!F252,"FL"),EXACT(Asistencia!F252,"FE"),EXACT(Asistencia!F252,"PCS"),EXACT(Asistencia!F252,"V")),1,0)</f>
        <v>0</v>
      </c>
      <c r="AJ241">
        <f>IF(OR(EXACT(Asistencia!G252,"A"),EXACT(Asistencia!G252,"R"),EXACT(Asistencia!G252,"DL"),EXACT(Asistencia!G252,"FL"),EXACT(Asistencia!G252,"FE"),EXACT(Asistencia!G252,"PCS"),EXACT(Asistencia!G252,"V")),1,0)</f>
        <v>0</v>
      </c>
      <c r="AK241">
        <f>IF(OR(EXACT(Asistencia!H252,"A"),EXACT(Asistencia!H252,"R"),EXACT(Asistencia!H252,"DL"),EXACT(Asistencia!H252,"FL"),EXACT(Asistencia!H252,"FE"),EXACT(Asistencia!H252,"PCS"),EXACT(Asistencia!H252,"V")),1,0)</f>
        <v>0</v>
      </c>
      <c r="AL241">
        <f>IF(OR(EXACT(Asistencia!I252,"A"),EXACT(Asistencia!I252,"R"),EXACT(Asistencia!I252,"DL"),EXACT(Asistencia!I252,"FL"),EXACT(Asistencia!I252,"FE"),EXACT(Asistencia!I252,"PCS"),EXACT(Asistencia!I252,"V")),1,0)</f>
        <v>0</v>
      </c>
      <c r="AM241">
        <f>IF(OR(EXACT(Asistencia!J252,"A"),EXACT(Asistencia!J252,"R"),EXACT(Asistencia!J252,"DL"),EXACT(Asistencia!J252,"FL"),EXACT(Asistencia!J252,"FE"),EXACT(Asistencia!J252,"PCS"),EXACT(Asistencia!J252,"V")),1,0)</f>
        <v>0</v>
      </c>
      <c r="AN241">
        <f>IF(OR(EXACT(Asistencia!K252,"A"),EXACT(Asistencia!K252,"R"),EXACT(Asistencia!K252,"DL"),EXACT(Asistencia!K252,"FL"),EXACT(Asistencia!K252,"FE"),EXACT(Asistencia!K252,"PCS"),EXACT(Asistencia!K252,"V")),1,0)</f>
        <v>0</v>
      </c>
      <c r="AO241">
        <f>IF(OR(EXACT(Asistencia!L252,"A"),EXACT(Asistencia!L252,"R"),EXACT(Asistencia!L252,"DL"),EXACT(Asistencia!L252,"FL"),EXACT(Asistencia!L252,"FE"),EXACT(Asistencia!L252,"PCS"),EXACT(Asistencia!L252,"V")),1,0)</f>
        <v>0</v>
      </c>
      <c r="AP241">
        <f t="shared" si="89"/>
        <v>0</v>
      </c>
      <c r="AQ241">
        <f>IF(EXACT(Asistencia!F252,"FL"),1,0)</f>
        <v>0</v>
      </c>
      <c r="AR241">
        <f>IF(EXACT(Asistencia!G252,"FL"),1,0)</f>
        <v>0</v>
      </c>
      <c r="AS241">
        <f>IF(EXACT(Asistencia!H252,"FL"),1,0)</f>
        <v>0</v>
      </c>
      <c r="AT241">
        <f>IF(EXACT(Asistencia!I252,"FL"),1,0)</f>
        <v>0</v>
      </c>
      <c r="AU241">
        <f>IF(EXACT(Asistencia!J252,"FL"),1,0)</f>
        <v>0</v>
      </c>
      <c r="AV241">
        <f>IF(EXACT(Asistencia!K252,"FL"),1,0)</f>
        <v>0</v>
      </c>
      <c r="AW241">
        <f>IF(EXACT(Asistencia!L252,"FL"),1,0)</f>
        <v>0</v>
      </c>
      <c r="AX241">
        <f t="shared" si="90"/>
        <v>0</v>
      </c>
      <c r="AY241">
        <f>IF(EXACT(Asistencia!F252,"DL"),1,0)</f>
        <v>0</v>
      </c>
      <c r="AZ241">
        <f>IF(EXACT(Asistencia!G252,"DL"),1,0)</f>
        <v>0</v>
      </c>
      <c r="BA241">
        <f>IF(EXACT(Asistencia!H252,"DL"),1,0)</f>
        <v>0</v>
      </c>
      <c r="BB241">
        <f>IF(EXACT(Asistencia!I252,"DL"),1,0)</f>
        <v>0</v>
      </c>
      <c r="BC241">
        <f>IF(EXACT(Asistencia!J252,"DL"),1,0)</f>
        <v>0</v>
      </c>
      <c r="BD241">
        <f>IF(EXACT(Asistencia!K252,"DL"),1,0)</f>
        <v>0</v>
      </c>
      <c r="BE241">
        <f>IF(EXACT(Asistencia!L252,"DL"),1,0)</f>
        <v>0</v>
      </c>
      <c r="BF241">
        <f t="shared" si="91"/>
        <v>0</v>
      </c>
      <c r="BG241">
        <f>IF(ISNUMBER(Asistencia!M252),Asistencia!M252,0)</f>
        <v>0</v>
      </c>
      <c r="BH241">
        <f>IF(ISNUMBER(Asistencia!N252),Asistencia!N252,0)</f>
        <v>0</v>
      </c>
      <c r="BI241">
        <f>IF(ISNUMBER(Asistencia!O252),Asistencia!O252,0)</f>
        <v>0</v>
      </c>
      <c r="BJ241">
        <f>IF(ISNUMBER(Asistencia!P252),Asistencia!P252,0)</f>
        <v>0</v>
      </c>
      <c r="BK241" t="str">
        <f>IF(Asistencia!F252="","",Asistencia!F252)</f>
        <v/>
      </c>
      <c r="BL241" t="str">
        <f>IF(Asistencia!G252="","",Asistencia!G252)</f>
        <v/>
      </c>
      <c r="BM241" t="str">
        <f>IF(Asistencia!H252="","",Asistencia!H252)</f>
        <v/>
      </c>
      <c r="BN241" t="str">
        <f>IF(Asistencia!I252="","",Asistencia!I252)</f>
        <v/>
      </c>
      <c r="BO241" t="str">
        <f>IF(Asistencia!J252="","",Asistencia!J252)</f>
        <v/>
      </c>
      <c r="BP241" t="str">
        <f>IF(Asistencia!K252="","",Asistencia!K252)</f>
        <v/>
      </c>
      <c r="BQ241" t="str">
        <f>IF(Asistencia!L252="","",Asistencia!L252)</f>
        <v/>
      </c>
    </row>
    <row r="242" spans="1:69" x14ac:dyDescent="0.25">
      <c r="A242" s="46"/>
      <c r="B242" s="47"/>
      <c r="C242" s="47"/>
      <c r="D242" s="47"/>
      <c r="E242" s="46"/>
      <c r="F242" s="45"/>
      <c r="G242" s="44"/>
      <c r="H242" s="44"/>
      <c r="I242" s="44"/>
      <c r="J242" s="44"/>
      <c r="K242" s="44"/>
      <c r="L242" s="44"/>
      <c r="M242" s="43"/>
      <c r="N242" s="41"/>
      <c r="O242" s="41"/>
      <c r="P242" s="41"/>
      <c r="Q242" s="41"/>
      <c r="R242" s="41"/>
      <c r="S242" s="41"/>
      <c r="T242" s="48"/>
      <c r="U242" s="41"/>
      <c r="V242" s="41"/>
      <c r="W242" s="42"/>
      <c r="AA242" t="str">
        <f t="shared" si="88"/>
        <v/>
      </c>
      <c r="AB242" t="str">
        <f>IF(Asistencia!A253="","",Asistencia!A253)</f>
        <v/>
      </c>
      <c r="AC242" t="str">
        <f>IF(Asistencia!A253="","",SUBSTITUTE(SUBSTITUTE(SUBSTITUTE(SUBSTITUTE(SUBSTITUTE(SUBSTITUTE(SUBSTITUTE(UPPER(TRIM(Asistencia!A253)),"Á","A"),"É","E"),"Í","I"),"Ó","O"),"Ú","U"),"Ñ","N"),"  "," "))</f>
        <v/>
      </c>
      <c r="AD242" t="str">
        <f>IF(Asistencia!E253="","",Asistencia!E253)</f>
        <v/>
      </c>
      <c r="AE242" t="str">
        <f>IF(Asistencia!D253="","",UPPER(TRIM(Asistencia!D253)))</f>
        <v/>
      </c>
      <c r="AF242" t="s">
        <v>196</v>
      </c>
      <c r="AG242">
        <f>IF(AND(AA242&lt;&gt;"",COUNTIF($AA$5:AA242,AA242)=1),1,0)</f>
        <v>0</v>
      </c>
      <c r="AH242" t="str">
        <f>IF(AG242=1,SUM($AG$5:AG242),"")</f>
        <v/>
      </c>
      <c r="AI242">
        <f>IF(OR(EXACT(Asistencia!F253,"A"),EXACT(Asistencia!F253,"R"),EXACT(Asistencia!F253,"DL"),EXACT(Asistencia!F253,"FL"),EXACT(Asistencia!F253,"FE"),EXACT(Asistencia!F253,"PCS"),EXACT(Asistencia!F253,"V")),1,0)</f>
        <v>0</v>
      </c>
      <c r="AJ242">
        <f>IF(OR(EXACT(Asistencia!G253,"A"),EXACT(Asistencia!G253,"R"),EXACT(Asistencia!G253,"DL"),EXACT(Asistencia!G253,"FL"),EXACT(Asistencia!G253,"FE"),EXACT(Asistencia!G253,"PCS"),EXACT(Asistencia!G253,"V")),1,0)</f>
        <v>0</v>
      </c>
      <c r="AK242">
        <f>IF(OR(EXACT(Asistencia!H253,"A"),EXACT(Asistencia!H253,"R"),EXACT(Asistencia!H253,"DL"),EXACT(Asistencia!H253,"FL"),EXACT(Asistencia!H253,"FE"),EXACT(Asistencia!H253,"PCS"),EXACT(Asistencia!H253,"V")),1,0)</f>
        <v>0</v>
      </c>
      <c r="AL242">
        <f>IF(OR(EXACT(Asistencia!I253,"A"),EXACT(Asistencia!I253,"R"),EXACT(Asistencia!I253,"DL"),EXACT(Asistencia!I253,"FL"),EXACT(Asistencia!I253,"FE"),EXACT(Asistencia!I253,"PCS"),EXACT(Asistencia!I253,"V")),1,0)</f>
        <v>0</v>
      </c>
      <c r="AM242">
        <f>IF(OR(EXACT(Asistencia!J253,"A"),EXACT(Asistencia!J253,"R"),EXACT(Asistencia!J253,"DL"),EXACT(Asistencia!J253,"FL"),EXACT(Asistencia!J253,"FE"),EXACT(Asistencia!J253,"PCS"),EXACT(Asistencia!J253,"V")),1,0)</f>
        <v>0</v>
      </c>
      <c r="AN242">
        <f>IF(OR(EXACT(Asistencia!K253,"A"),EXACT(Asistencia!K253,"R"),EXACT(Asistencia!K253,"DL"),EXACT(Asistencia!K253,"FL"),EXACT(Asistencia!K253,"FE"),EXACT(Asistencia!K253,"PCS"),EXACT(Asistencia!K253,"V")),1,0)</f>
        <v>0</v>
      </c>
      <c r="AO242">
        <f>IF(OR(EXACT(Asistencia!L253,"A"),EXACT(Asistencia!L253,"R"),EXACT(Asistencia!L253,"DL"),EXACT(Asistencia!L253,"FL"),EXACT(Asistencia!L253,"FE"),EXACT(Asistencia!L253,"PCS"),EXACT(Asistencia!L253,"V")),1,0)</f>
        <v>0</v>
      </c>
      <c r="AP242">
        <f t="shared" si="89"/>
        <v>0</v>
      </c>
      <c r="AQ242">
        <f>IF(EXACT(Asistencia!F253,"FL"),1,0)</f>
        <v>0</v>
      </c>
      <c r="AR242">
        <f>IF(EXACT(Asistencia!G253,"FL"),1,0)</f>
        <v>0</v>
      </c>
      <c r="AS242">
        <f>IF(EXACT(Asistencia!H253,"FL"),1,0)</f>
        <v>0</v>
      </c>
      <c r="AT242">
        <f>IF(EXACT(Asistencia!I253,"FL"),1,0)</f>
        <v>0</v>
      </c>
      <c r="AU242">
        <f>IF(EXACT(Asistencia!J253,"FL"),1,0)</f>
        <v>0</v>
      </c>
      <c r="AV242">
        <f>IF(EXACT(Asistencia!K253,"FL"),1,0)</f>
        <v>0</v>
      </c>
      <c r="AW242">
        <f>IF(EXACT(Asistencia!L253,"FL"),1,0)</f>
        <v>0</v>
      </c>
      <c r="AX242">
        <f t="shared" si="90"/>
        <v>0</v>
      </c>
      <c r="AY242">
        <f>IF(EXACT(Asistencia!F253,"DL"),1,0)</f>
        <v>0</v>
      </c>
      <c r="AZ242">
        <f>IF(EXACT(Asistencia!G253,"DL"),1,0)</f>
        <v>0</v>
      </c>
      <c r="BA242">
        <f>IF(EXACT(Asistencia!H253,"DL"),1,0)</f>
        <v>0</v>
      </c>
      <c r="BB242">
        <f>IF(EXACT(Asistencia!I253,"DL"),1,0)</f>
        <v>0</v>
      </c>
      <c r="BC242">
        <f>IF(EXACT(Asistencia!J253,"DL"),1,0)</f>
        <v>0</v>
      </c>
      <c r="BD242">
        <f>IF(EXACT(Asistencia!K253,"DL"),1,0)</f>
        <v>0</v>
      </c>
      <c r="BE242">
        <f>IF(EXACT(Asistencia!L253,"DL"),1,0)</f>
        <v>0</v>
      </c>
      <c r="BF242">
        <f t="shared" si="91"/>
        <v>0</v>
      </c>
      <c r="BG242">
        <f>IF(ISNUMBER(Asistencia!M253),Asistencia!M253,0)</f>
        <v>0</v>
      </c>
      <c r="BH242">
        <f>IF(ISNUMBER(Asistencia!N253),Asistencia!N253,0)</f>
        <v>0</v>
      </c>
      <c r="BI242">
        <f>IF(ISNUMBER(Asistencia!O253),Asistencia!O253,0)</f>
        <v>0</v>
      </c>
      <c r="BJ242">
        <f>IF(ISNUMBER(Asistencia!P253),Asistencia!P253,0)</f>
        <v>0</v>
      </c>
      <c r="BK242" t="str">
        <f>IF(Asistencia!F253="","",Asistencia!F253)</f>
        <v/>
      </c>
      <c r="BL242" t="str">
        <f>IF(Asistencia!G253="","",Asistencia!G253)</f>
        <v/>
      </c>
      <c r="BM242" t="str">
        <f>IF(Asistencia!H253="","",Asistencia!H253)</f>
        <v/>
      </c>
      <c r="BN242" t="str">
        <f>IF(Asistencia!I253="","",Asistencia!I253)</f>
        <v/>
      </c>
      <c r="BO242" t="str">
        <f>IF(Asistencia!J253="","",Asistencia!J253)</f>
        <v/>
      </c>
      <c r="BP242" t="str">
        <f>IF(Asistencia!K253="","",Asistencia!K253)</f>
        <v/>
      </c>
      <c r="BQ242" t="str">
        <f>IF(Asistencia!L253="","",Asistencia!L253)</f>
        <v/>
      </c>
    </row>
    <row r="243" spans="1:69" x14ac:dyDescent="0.25">
      <c r="A243" s="46"/>
      <c r="B243" s="47"/>
      <c r="C243" s="47"/>
      <c r="D243" s="47"/>
      <c r="E243" s="46"/>
      <c r="F243" s="45"/>
      <c r="G243" s="44"/>
      <c r="H243" s="44"/>
      <c r="I243" s="44"/>
      <c r="J243" s="44"/>
      <c r="K243" s="44"/>
      <c r="L243" s="44"/>
      <c r="M243" s="43"/>
      <c r="N243" s="41"/>
      <c r="O243" s="41"/>
      <c r="P243" s="41"/>
      <c r="Q243" s="41"/>
      <c r="R243" s="41"/>
      <c r="S243" s="41"/>
      <c r="T243" s="48"/>
      <c r="U243" s="41"/>
      <c r="V243" s="41"/>
      <c r="W243" s="42"/>
      <c r="AA243" t="str">
        <f t="shared" si="88"/>
        <v/>
      </c>
      <c r="AB243" t="str">
        <f>IF(Asistencia!A254="","",Asistencia!A254)</f>
        <v/>
      </c>
      <c r="AC243" t="str">
        <f>IF(Asistencia!A254="","",SUBSTITUTE(SUBSTITUTE(SUBSTITUTE(SUBSTITUTE(SUBSTITUTE(SUBSTITUTE(SUBSTITUTE(UPPER(TRIM(Asistencia!A254)),"Á","A"),"É","E"),"Í","I"),"Ó","O"),"Ú","U"),"Ñ","N"),"  "," "))</f>
        <v/>
      </c>
      <c r="AD243" t="str">
        <f>IF(Asistencia!E254="","",Asistencia!E254)</f>
        <v/>
      </c>
      <c r="AE243" t="str">
        <f>IF(Asistencia!D254="","",UPPER(TRIM(Asistencia!D254)))</f>
        <v/>
      </c>
      <c r="AF243" t="s">
        <v>196</v>
      </c>
      <c r="AG243">
        <f>IF(AND(AA243&lt;&gt;"",COUNTIF($AA$5:AA243,AA243)=1),1,0)</f>
        <v>0</v>
      </c>
      <c r="AH243" t="str">
        <f>IF(AG243=1,SUM($AG$5:AG243),"")</f>
        <v/>
      </c>
      <c r="AI243">
        <f>IF(OR(EXACT(Asistencia!F254,"A"),EXACT(Asistencia!F254,"R"),EXACT(Asistencia!F254,"DL"),EXACT(Asistencia!F254,"FL"),EXACT(Asistencia!F254,"FE"),EXACT(Asistencia!F254,"PCS"),EXACT(Asistencia!F254,"V")),1,0)</f>
        <v>0</v>
      </c>
      <c r="AJ243">
        <f>IF(OR(EXACT(Asistencia!G254,"A"),EXACT(Asistencia!G254,"R"),EXACT(Asistencia!G254,"DL"),EXACT(Asistencia!G254,"FL"),EXACT(Asistencia!G254,"FE"),EXACT(Asistencia!G254,"PCS"),EXACT(Asistencia!G254,"V")),1,0)</f>
        <v>0</v>
      </c>
      <c r="AK243">
        <f>IF(OR(EXACT(Asistencia!H254,"A"),EXACT(Asistencia!H254,"R"),EXACT(Asistencia!H254,"DL"),EXACT(Asistencia!H254,"FL"),EXACT(Asistencia!H254,"FE"),EXACT(Asistencia!H254,"PCS"),EXACT(Asistencia!H254,"V")),1,0)</f>
        <v>0</v>
      </c>
      <c r="AL243">
        <f>IF(OR(EXACT(Asistencia!I254,"A"),EXACT(Asistencia!I254,"R"),EXACT(Asistencia!I254,"DL"),EXACT(Asistencia!I254,"FL"),EXACT(Asistencia!I254,"FE"),EXACT(Asistencia!I254,"PCS"),EXACT(Asistencia!I254,"V")),1,0)</f>
        <v>0</v>
      </c>
      <c r="AM243">
        <f>IF(OR(EXACT(Asistencia!J254,"A"),EXACT(Asistencia!J254,"R"),EXACT(Asistencia!J254,"DL"),EXACT(Asistencia!J254,"FL"),EXACT(Asistencia!J254,"FE"),EXACT(Asistencia!J254,"PCS"),EXACT(Asistencia!J254,"V")),1,0)</f>
        <v>0</v>
      </c>
      <c r="AN243">
        <f>IF(OR(EXACT(Asistencia!K254,"A"),EXACT(Asistencia!K254,"R"),EXACT(Asistencia!K254,"DL"),EXACT(Asistencia!K254,"FL"),EXACT(Asistencia!K254,"FE"),EXACT(Asistencia!K254,"PCS"),EXACT(Asistencia!K254,"V")),1,0)</f>
        <v>0</v>
      </c>
      <c r="AO243">
        <f>IF(OR(EXACT(Asistencia!L254,"A"),EXACT(Asistencia!L254,"R"),EXACT(Asistencia!L254,"DL"),EXACT(Asistencia!L254,"FL"),EXACT(Asistencia!L254,"FE"),EXACT(Asistencia!L254,"PCS"),EXACT(Asistencia!L254,"V")),1,0)</f>
        <v>0</v>
      </c>
      <c r="AP243">
        <f t="shared" si="89"/>
        <v>0</v>
      </c>
      <c r="AQ243">
        <f>IF(EXACT(Asistencia!F254,"FL"),1,0)</f>
        <v>0</v>
      </c>
      <c r="AR243">
        <f>IF(EXACT(Asistencia!G254,"FL"),1,0)</f>
        <v>0</v>
      </c>
      <c r="AS243">
        <f>IF(EXACT(Asistencia!H254,"FL"),1,0)</f>
        <v>0</v>
      </c>
      <c r="AT243">
        <f>IF(EXACT(Asistencia!I254,"FL"),1,0)</f>
        <v>0</v>
      </c>
      <c r="AU243">
        <f>IF(EXACT(Asistencia!J254,"FL"),1,0)</f>
        <v>0</v>
      </c>
      <c r="AV243">
        <f>IF(EXACT(Asistencia!K254,"FL"),1,0)</f>
        <v>0</v>
      </c>
      <c r="AW243">
        <f>IF(EXACT(Asistencia!L254,"FL"),1,0)</f>
        <v>0</v>
      </c>
      <c r="AX243">
        <f t="shared" si="90"/>
        <v>0</v>
      </c>
      <c r="AY243">
        <f>IF(EXACT(Asistencia!F254,"DL"),1,0)</f>
        <v>0</v>
      </c>
      <c r="AZ243">
        <f>IF(EXACT(Asistencia!G254,"DL"),1,0)</f>
        <v>0</v>
      </c>
      <c r="BA243">
        <f>IF(EXACT(Asistencia!H254,"DL"),1,0)</f>
        <v>0</v>
      </c>
      <c r="BB243">
        <f>IF(EXACT(Asistencia!I254,"DL"),1,0)</f>
        <v>0</v>
      </c>
      <c r="BC243">
        <f>IF(EXACT(Asistencia!J254,"DL"),1,0)</f>
        <v>0</v>
      </c>
      <c r="BD243">
        <f>IF(EXACT(Asistencia!K254,"DL"),1,0)</f>
        <v>0</v>
      </c>
      <c r="BE243">
        <f>IF(EXACT(Asistencia!L254,"DL"),1,0)</f>
        <v>0</v>
      </c>
      <c r="BF243">
        <f t="shared" si="91"/>
        <v>0</v>
      </c>
      <c r="BG243">
        <f>IF(ISNUMBER(Asistencia!M254),Asistencia!M254,0)</f>
        <v>0</v>
      </c>
      <c r="BH243">
        <f>IF(ISNUMBER(Asistencia!N254),Asistencia!N254,0)</f>
        <v>0</v>
      </c>
      <c r="BI243">
        <f>IF(ISNUMBER(Asistencia!O254),Asistencia!O254,0)</f>
        <v>0</v>
      </c>
      <c r="BJ243">
        <f>IF(ISNUMBER(Asistencia!P254),Asistencia!P254,0)</f>
        <v>0</v>
      </c>
      <c r="BK243" t="str">
        <f>IF(Asistencia!F254="","",Asistencia!F254)</f>
        <v/>
      </c>
      <c r="BL243" t="str">
        <f>IF(Asistencia!G254="","",Asistencia!G254)</f>
        <v/>
      </c>
      <c r="BM243" t="str">
        <f>IF(Asistencia!H254="","",Asistencia!H254)</f>
        <v/>
      </c>
      <c r="BN243" t="str">
        <f>IF(Asistencia!I254="","",Asistencia!I254)</f>
        <v/>
      </c>
      <c r="BO243" t="str">
        <f>IF(Asistencia!J254="","",Asistencia!J254)</f>
        <v/>
      </c>
      <c r="BP243" t="str">
        <f>IF(Asistencia!K254="","",Asistencia!K254)</f>
        <v/>
      </c>
      <c r="BQ243" t="str">
        <f>IF(Asistencia!L254="","",Asistencia!L254)</f>
        <v/>
      </c>
    </row>
    <row r="244" spans="1:69" x14ac:dyDescent="0.25">
      <c r="A244" s="46"/>
      <c r="B244" s="47"/>
      <c r="C244" s="47"/>
      <c r="D244" s="47"/>
      <c r="E244" s="46"/>
      <c r="F244" s="45"/>
      <c r="G244" s="44"/>
      <c r="H244" s="44"/>
      <c r="I244" s="44"/>
      <c r="J244" s="44"/>
      <c r="K244" s="44"/>
      <c r="L244" s="44"/>
      <c r="M244" s="43"/>
      <c r="N244" s="41"/>
      <c r="O244" s="41"/>
      <c r="P244" s="41"/>
      <c r="Q244" s="41"/>
      <c r="R244" s="41"/>
      <c r="S244" s="41"/>
      <c r="T244" s="48"/>
      <c r="U244" s="41"/>
      <c r="V244" s="41"/>
      <c r="W244" s="42"/>
      <c r="AA244" t="str">
        <f t="shared" si="88"/>
        <v/>
      </c>
      <c r="AB244" t="str">
        <f>IF(Asistencia!A255="","",Asistencia!A255)</f>
        <v/>
      </c>
      <c r="AC244" t="str">
        <f>IF(Asistencia!A255="","",SUBSTITUTE(SUBSTITUTE(SUBSTITUTE(SUBSTITUTE(SUBSTITUTE(SUBSTITUTE(SUBSTITUTE(UPPER(TRIM(Asistencia!A255)),"Á","A"),"É","E"),"Í","I"),"Ó","O"),"Ú","U"),"Ñ","N"),"  "," "))</f>
        <v/>
      </c>
      <c r="AD244" t="str">
        <f>IF(Asistencia!E255="","",Asistencia!E255)</f>
        <v/>
      </c>
      <c r="AE244" t="str">
        <f>IF(Asistencia!D255="","",UPPER(TRIM(Asistencia!D255)))</f>
        <v/>
      </c>
      <c r="AF244" t="s">
        <v>196</v>
      </c>
      <c r="AG244">
        <f>IF(AND(AA244&lt;&gt;"",COUNTIF($AA$5:AA244,AA244)=1),1,0)</f>
        <v>0</v>
      </c>
      <c r="AH244" t="str">
        <f>IF(AG244=1,SUM($AG$5:AG244),"")</f>
        <v/>
      </c>
      <c r="AI244">
        <f>IF(OR(EXACT(Asistencia!F255,"A"),EXACT(Asistencia!F255,"R"),EXACT(Asistencia!F255,"DL"),EXACT(Asistencia!F255,"FL"),EXACT(Asistencia!F255,"FE"),EXACT(Asistencia!F255,"PCS"),EXACT(Asistencia!F255,"V")),1,0)</f>
        <v>0</v>
      </c>
      <c r="AJ244">
        <f>IF(OR(EXACT(Asistencia!G255,"A"),EXACT(Asistencia!G255,"R"),EXACT(Asistencia!G255,"DL"),EXACT(Asistencia!G255,"FL"),EXACT(Asistencia!G255,"FE"),EXACT(Asistencia!G255,"PCS"),EXACT(Asistencia!G255,"V")),1,0)</f>
        <v>0</v>
      </c>
      <c r="AK244">
        <f>IF(OR(EXACT(Asistencia!H255,"A"),EXACT(Asistencia!H255,"R"),EXACT(Asistencia!H255,"DL"),EXACT(Asistencia!H255,"FL"),EXACT(Asistencia!H255,"FE"),EXACT(Asistencia!H255,"PCS"),EXACT(Asistencia!H255,"V")),1,0)</f>
        <v>0</v>
      </c>
      <c r="AL244">
        <f>IF(OR(EXACT(Asistencia!I255,"A"),EXACT(Asistencia!I255,"R"),EXACT(Asistencia!I255,"DL"),EXACT(Asistencia!I255,"FL"),EXACT(Asistencia!I255,"FE"),EXACT(Asistencia!I255,"PCS"),EXACT(Asistencia!I255,"V")),1,0)</f>
        <v>0</v>
      </c>
      <c r="AM244">
        <f>IF(OR(EXACT(Asistencia!J255,"A"),EXACT(Asistencia!J255,"R"),EXACT(Asistencia!J255,"DL"),EXACT(Asistencia!J255,"FL"),EXACT(Asistencia!J255,"FE"),EXACT(Asistencia!J255,"PCS"),EXACT(Asistencia!J255,"V")),1,0)</f>
        <v>0</v>
      </c>
      <c r="AN244">
        <f>IF(OR(EXACT(Asistencia!K255,"A"),EXACT(Asistencia!K255,"R"),EXACT(Asistencia!K255,"DL"),EXACT(Asistencia!K255,"FL"),EXACT(Asistencia!K255,"FE"),EXACT(Asistencia!K255,"PCS"),EXACT(Asistencia!K255,"V")),1,0)</f>
        <v>0</v>
      </c>
      <c r="AO244">
        <f>IF(OR(EXACT(Asistencia!L255,"A"),EXACT(Asistencia!L255,"R"),EXACT(Asistencia!L255,"DL"),EXACT(Asistencia!L255,"FL"),EXACT(Asistencia!L255,"FE"),EXACT(Asistencia!L255,"PCS"),EXACT(Asistencia!L255,"V")),1,0)</f>
        <v>0</v>
      </c>
      <c r="AP244">
        <f t="shared" si="89"/>
        <v>0</v>
      </c>
      <c r="AQ244">
        <f>IF(EXACT(Asistencia!F255,"FL"),1,0)</f>
        <v>0</v>
      </c>
      <c r="AR244">
        <f>IF(EXACT(Asistencia!G255,"FL"),1,0)</f>
        <v>0</v>
      </c>
      <c r="AS244">
        <f>IF(EXACT(Asistencia!H255,"FL"),1,0)</f>
        <v>0</v>
      </c>
      <c r="AT244">
        <f>IF(EXACT(Asistencia!I255,"FL"),1,0)</f>
        <v>0</v>
      </c>
      <c r="AU244">
        <f>IF(EXACT(Asistencia!J255,"FL"),1,0)</f>
        <v>0</v>
      </c>
      <c r="AV244">
        <f>IF(EXACT(Asistencia!K255,"FL"),1,0)</f>
        <v>0</v>
      </c>
      <c r="AW244">
        <f>IF(EXACT(Asistencia!L255,"FL"),1,0)</f>
        <v>0</v>
      </c>
      <c r="AX244">
        <f t="shared" si="90"/>
        <v>0</v>
      </c>
      <c r="AY244">
        <f>IF(EXACT(Asistencia!F255,"DL"),1,0)</f>
        <v>0</v>
      </c>
      <c r="AZ244">
        <f>IF(EXACT(Asistencia!G255,"DL"),1,0)</f>
        <v>0</v>
      </c>
      <c r="BA244">
        <f>IF(EXACT(Asistencia!H255,"DL"),1,0)</f>
        <v>0</v>
      </c>
      <c r="BB244">
        <f>IF(EXACT(Asistencia!I255,"DL"),1,0)</f>
        <v>0</v>
      </c>
      <c r="BC244">
        <f>IF(EXACT(Asistencia!J255,"DL"),1,0)</f>
        <v>0</v>
      </c>
      <c r="BD244">
        <f>IF(EXACT(Asistencia!K255,"DL"),1,0)</f>
        <v>0</v>
      </c>
      <c r="BE244">
        <f>IF(EXACT(Asistencia!L255,"DL"),1,0)</f>
        <v>0</v>
      </c>
      <c r="BF244">
        <f t="shared" si="91"/>
        <v>0</v>
      </c>
      <c r="BG244">
        <f>IF(ISNUMBER(Asistencia!M255),Asistencia!M255,0)</f>
        <v>0</v>
      </c>
      <c r="BH244">
        <f>IF(ISNUMBER(Asistencia!N255),Asistencia!N255,0)</f>
        <v>0</v>
      </c>
      <c r="BI244">
        <f>IF(ISNUMBER(Asistencia!O255),Asistencia!O255,0)</f>
        <v>0</v>
      </c>
      <c r="BJ244">
        <f>IF(ISNUMBER(Asistencia!P255),Asistencia!P255,0)</f>
        <v>0</v>
      </c>
      <c r="BK244" t="str">
        <f>IF(Asistencia!F255="","",Asistencia!F255)</f>
        <v/>
      </c>
      <c r="BL244" t="str">
        <f>IF(Asistencia!G255="","",Asistencia!G255)</f>
        <v/>
      </c>
      <c r="BM244" t="str">
        <f>IF(Asistencia!H255="","",Asistencia!H255)</f>
        <v/>
      </c>
      <c r="BN244" t="str">
        <f>IF(Asistencia!I255="","",Asistencia!I255)</f>
        <v/>
      </c>
      <c r="BO244" t="str">
        <f>IF(Asistencia!J255="","",Asistencia!J255)</f>
        <v/>
      </c>
      <c r="BP244" t="str">
        <f>IF(Asistencia!K255="","",Asistencia!K255)</f>
        <v/>
      </c>
      <c r="BQ244" t="str">
        <f>IF(Asistencia!L255="","",Asistencia!L255)</f>
        <v/>
      </c>
    </row>
    <row r="245" spans="1:69" x14ac:dyDescent="0.25">
      <c r="AA245" t="str">
        <f t="shared" si="88"/>
        <v/>
      </c>
      <c r="AB245" t="str">
        <f>IF(Asistencia!A258="","",Asistencia!A258)</f>
        <v/>
      </c>
      <c r="AC245" t="str">
        <f>IF(Asistencia!A258="","",SUBSTITUTE(SUBSTITUTE(SUBSTITUTE(SUBSTITUTE(SUBSTITUTE(SUBSTITUTE(SUBSTITUTE(UPPER(TRIM(Asistencia!A258)),"Á","A"),"É","E"),"Í","I"),"Ó","O"),"Ú","U"),"Ñ","N"),"  "," "))</f>
        <v/>
      </c>
      <c r="AD245" t="str">
        <f>IF(Asistencia!E258="","",Asistencia!E258)</f>
        <v/>
      </c>
      <c r="AE245" t="str">
        <f>IF(Asistencia!D258="","",UPPER(TRIM(Asistencia!D258)))</f>
        <v/>
      </c>
      <c r="AF245" t="s">
        <v>198</v>
      </c>
      <c r="AG245">
        <f>IF(AND(AA245&lt;&gt;"",COUNTIF($AA$5:AA245,AA245)=1),1,0)</f>
        <v>0</v>
      </c>
      <c r="AH245" t="str">
        <f>IF(AG245=1,SUM($AG$5:AG245),"")</f>
        <v/>
      </c>
      <c r="AI245">
        <f>IF(OR(EXACT(Asistencia!F258,"A"),EXACT(Asistencia!F258,"R"),EXACT(Asistencia!F258,"DL"),EXACT(Asistencia!F258,"FL"),EXACT(Asistencia!F258,"FE"),EXACT(Asistencia!F258,"PCS"),EXACT(Asistencia!F258,"V")),1,0)</f>
        <v>0</v>
      </c>
      <c r="AJ245">
        <f>IF(OR(EXACT(Asistencia!G258,"A"),EXACT(Asistencia!G258,"R"),EXACT(Asistencia!G258,"DL"),EXACT(Asistencia!G258,"FL"),EXACT(Asistencia!G258,"FE"),EXACT(Asistencia!G258,"PCS"),EXACT(Asistencia!G258,"V")),1,0)</f>
        <v>0</v>
      </c>
      <c r="AK245">
        <f>IF(OR(EXACT(Asistencia!H258,"A"),EXACT(Asistencia!H258,"R"),EXACT(Asistencia!H258,"DL"),EXACT(Asistencia!H258,"FL"),EXACT(Asistencia!H258,"FE"),EXACT(Asistencia!H258,"PCS"),EXACT(Asistencia!H258,"V")),1,0)</f>
        <v>0</v>
      </c>
      <c r="AL245">
        <f>IF(OR(EXACT(Asistencia!I258,"A"),EXACT(Asistencia!I258,"R"),EXACT(Asistencia!I258,"DL"),EXACT(Asistencia!I258,"FL"),EXACT(Asistencia!I258,"FE"),EXACT(Asistencia!I258,"PCS"),EXACT(Asistencia!I258,"V")),1,0)</f>
        <v>0</v>
      </c>
      <c r="AM245">
        <f>IF(OR(EXACT(Asistencia!J258,"A"),EXACT(Asistencia!J258,"R"),EXACT(Asistencia!J258,"DL"),EXACT(Asistencia!J258,"FL"),EXACT(Asistencia!J258,"FE"),EXACT(Asistencia!J258,"PCS"),EXACT(Asistencia!J258,"V")),1,0)</f>
        <v>0</v>
      </c>
      <c r="AN245">
        <f>IF(OR(EXACT(Asistencia!K258,"A"),EXACT(Asistencia!K258,"R"),EXACT(Asistencia!K258,"DL"),EXACT(Asistencia!K258,"FL"),EXACT(Asistencia!K258,"FE"),EXACT(Asistencia!K258,"PCS"),EXACT(Asistencia!K258,"V")),1,0)</f>
        <v>0</v>
      </c>
      <c r="AO245">
        <f>IF(OR(EXACT(Asistencia!L258,"A"),EXACT(Asistencia!L258,"R"),EXACT(Asistencia!L258,"DL"),EXACT(Asistencia!L258,"FL"),EXACT(Asistencia!L258,"FE"),EXACT(Asistencia!L258,"PCS"),EXACT(Asistencia!L258,"V")),1,0)</f>
        <v>0</v>
      </c>
      <c r="AP245">
        <f t="shared" si="89"/>
        <v>0</v>
      </c>
      <c r="AQ245">
        <f>IF(EXACT(Asistencia!F258,"FL"),1,0)</f>
        <v>0</v>
      </c>
      <c r="AR245">
        <f>IF(EXACT(Asistencia!G258,"FL"),1,0)</f>
        <v>0</v>
      </c>
      <c r="AS245">
        <f>IF(EXACT(Asistencia!H258,"FL"),1,0)</f>
        <v>0</v>
      </c>
      <c r="AT245">
        <f>IF(EXACT(Asistencia!I258,"FL"),1,0)</f>
        <v>0</v>
      </c>
      <c r="AU245">
        <f>IF(EXACT(Asistencia!J258,"FL"),1,0)</f>
        <v>0</v>
      </c>
      <c r="AV245">
        <f>IF(EXACT(Asistencia!K258,"FL"),1,0)</f>
        <v>0</v>
      </c>
      <c r="AW245">
        <f>IF(EXACT(Asistencia!L258,"FL"),1,0)</f>
        <v>0</v>
      </c>
      <c r="AX245">
        <f t="shared" si="90"/>
        <v>0</v>
      </c>
      <c r="AY245">
        <f>IF(EXACT(Asistencia!F258,"DL"),1,0)</f>
        <v>0</v>
      </c>
      <c r="AZ245">
        <f>IF(EXACT(Asistencia!G258,"DL"),1,0)</f>
        <v>0</v>
      </c>
      <c r="BA245">
        <f>IF(EXACT(Asistencia!H258,"DL"),1,0)</f>
        <v>0</v>
      </c>
      <c r="BB245">
        <f>IF(EXACT(Asistencia!I258,"DL"),1,0)</f>
        <v>0</v>
      </c>
      <c r="BC245">
        <f>IF(EXACT(Asistencia!J258,"DL"),1,0)</f>
        <v>0</v>
      </c>
      <c r="BD245">
        <f>IF(EXACT(Asistencia!K258,"DL"),1,0)</f>
        <v>0</v>
      </c>
      <c r="BE245">
        <f>IF(EXACT(Asistencia!L258,"DL"),1,0)</f>
        <v>0</v>
      </c>
      <c r="BF245">
        <f t="shared" si="91"/>
        <v>0</v>
      </c>
      <c r="BG245">
        <f>IF(ISNUMBER(Asistencia!M258),Asistencia!M258,0)</f>
        <v>0</v>
      </c>
      <c r="BH245">
        <f>IF(ISNUMBER(Asistencia!N258),Asistencia!N258,0)</f>
        <v>0</v>
      </c>
      <c r="BI245">
        <f>IF(ISNUMBER(Asistencia!O258),Asistencia!O258,0)</f>
        <v>0</v>
      </c>
      <c r="BJ245">
        <f>IF(ISNUMBER(Asistencia!P258),Asistencia!P258,0)</f>
        <v>0</v>
      </c>
      <c r="BK245" t="str">
        <f>IF(Asistencia!F258="","",Asistencia!F258)</f>
        <v/>
      </c>
      <c r="BL245" t="str">
        <f>IF(Asistencia!G258="","",Asistencia!G258)</f>
        <v/>
      </c>
      <c r="BM245" t="str">
        <f>IF(Asistencia!H258="","",Asistencia!H258)</f>
        <v/>
      </c>
      <c r="BN245" t="str">
        <f>IF(Asistencia!I258="","",Asistencia!I258)</f>
        <v/>
      </c>
      <c r="BO245" t="str">
        <f>IF(Asistencia!J258="","",Asistencia!J258)</f>
        <v/>
      </c>
      <c r="BP245" t="str">
        <f>IF(Asistencia!K258="","",Asistencia!K258)</f>
        <v/>
      </c>
      <c r="BQ245" t="str">
        <f>IF(Asistencia!L258="","",Asistencia!L258)</f>
        <v/>
      </c>
    </row>
    <row r="246" spans="1:69" x14ac:dyDescent="0.25">
      <c r="AA246" t="str">
        <f t="shared" si="88"/>
        <v/>
      </c>
      <c r="AB246" t="str">
        <f>IF(Asistencia!A259="","",Asistencia!A259)</f>
        <v/>
      </c>
      <c r="AC246" t="str">
        <f>IF(Asistencia!A259="","",SUBSTITUTE(SUBSTITUTE(SUBSTITUTE(SUBSTITUTE(SUBSTITUTE(SUBSTITUTE(SUBSTITUTE(UPPER(TRIM(Asistencia!A259)),"Á","A"),"É","E"),"Í","I"),"Ó","O"),"Ú","U"),"Ñ","N"),"  "," "))</f>
        <v/>
      </c>
      <c r="AD246" t="str">
        <f>IF(Asistencia!E259="","",Asistencia!E259)</f>
        <v/>
      </c>
      <c r="AE246" t="str">
        <f>IF(Asistencia!D259="","",UPPER(TRIM(Asistencia!D259)))</f>
        <v/>
      </c>
      <c r="AF246" t="s">
        <v>198</v>
      </c>
      <c r="AG246">
        <f>IF(AND(AA246&lt;&gt;"",COUNTIF($AA$5:AA246,AA246)=1),1,0)</f>
        <v>0</v>
      </c>
      <c r="AH246" t="str">
        <f>IF(AG246=1,SUM($AG$5:AG246),"")</f>
        <v/>
      </c>
      <c r="AI246">
        <f>IF(OR(EXACT(Asistencia!F259,"A"),EXACT(Asistencia!F259,"R"),EXACT(Asistencia!F259,"DL"),EXACT(Asistencia!F259,"FL"),EXACT(Asistencia!F259,"FE"),EXACT(Asistencia!F259,"PCS"),EXACT(Asistencia!F259,"V")),1,0)</f>
        <v>0</v>
      </c>
      <c r="AJ246">
        <f>IF(OR(EXACT(Asistencia!G259,"A"),EXACT(Asistencia!G259,"R"),EXACT(Asistencia!G259,"DL"),EXACT(Asistencia!G259,"FL"),EXACT(Asistencia!G259,"FE"),EXACT(Asistencia!G259,"PCS"),EXACT(Asistencia!G259,"V")),1,0)</f>
        <v>0</v>
      </c>
      <c r="AK246">
        <f>IF(OR(EXACT(Asistencia!H259,"A"),EXACT(Asistencia!H259,"R"),EXACT(Asistencia!H259,"DL"),EXACT(Asistencia!H259,"FL"),EXACT(Asistencia!H259,"FE"),EXACT(Asistencia!H259,"PCS"),EXACT(Asistencia!H259,"V")),1,0)</f>
        <v>0</v>
      </c>
      <c r="AL246">
        <f>IF(OR(EXACT(Asistencia!I259,"A"),EXACT(Asistencia!I259,"R"),EXACT(Asistencia!I259,"DL"),EXACT(Asistencia!I259,"FL"),EXACT(Asistencia!I259,"FE"),EXACT(Asistencia!I259,"PCS"),EXACT(Asistencia!I259,"V")),1,0)</f>
        <v>0</v>
      </c>
      <c r="AM246">
        <f>IF(OR(EXACT(Asistencia!J259,"A"),EXACT(Asistencia!J259,"R"),EXACT(Asistencia!J259,"DL"),EXACT(Asistencia!J259,"FL"),EXACT(Asistencia!J259,"FE"),EXACT(Asistencia!J259,"PCS"),EXACT(Asistencia!J259,"V")),1,0)</f>
        <v>0</v>
      </c>
      <c r="AN246">
        <f>IF(OR(EXACT(Asistencia!K259,"A"),EXACT(Asistencia!K259,"R"),EXACT(Asistencia!K259,"DL"),EXACT(Asistencia!K259,"FL"),EXACT(Asistencia!K259,"FE"),EXACT(Asistencia!K259,"PCS"),EXACT(Asistencia!K259,"V")),1,0)</f>
        <v>0</v>
      </c>
      <c r="AO246">
        <f>IF(OR(EXACT(Asistencia!L259,"A"),EXACT(Asistencia!L259,"R"),EXACT(Asistencia!L259,"DL"),EXACT(Asistencia!L259,"FL"),EXACT(Asistencia!L259,"FE"),EXACT(Asistencia!L259,"PCS"),EXACT(Asistencia!L259,"V")),1,0)</f>
        <v>0</v>
      </c>
      <c r="AP246">
        <f t="shared" si="89"/>
        <v>0</v>
      </c>
      <c r="AQ246">
        <f>IF(EXACT(Asistencia!F259,"FL"),1,0)</f>
        <v>0</v>
      </c>
      <c r="AR246">
        <f>IF(EXACT(Asistencia!G259,"FL"),1,0)</f>
        <v>0</v>
      </c>
      <c r="AS246">
        <f>IF(EXACT(Asistencia!H259,"FL"),1,0)</f>
        <v>0</v>
      </c>
      <c r="AT246">
        <f>IF(EXACT(Asistencia!I259,"FL"),1,0)</f>
        <v>0</v>
      </c>
      <c r="AU246">
        <f>IF(EXACT(Asistencia!J259,"FL"),1,0)</f>
        <v>0</v>
      </c>
      <c r="AV246">
        <f>IF(EXACT(Asistencia!K259,"FL"),1,0)</f>
        <v>0</v>
      </c>
      <c r="AW246">
        <f>IF(EXACT(Asistencia!L259,"FL"),1,0)</f>
        <v>0</v>
      </c>
      <c r="AX246">
        <f t="shared" si="90"/>
        <v>0</v>
      </c>
      <c r="AY246">
        <f>IF(EXACT(Asistencia!F259,"DL"),1,0)</f>
        <v>0</v>
      </c>
      <c r="AZ246">
        <f>IF(EXACT(Asistencia!G259,"DL"),1,0)</f>
        <v>0</v>
      </c>
      <c r="BA246">
        <f>IF(EXACT(Asistencia!H259,"DL"),1,0)</f>
        <v>0</v>
      </c>
      <c r="BB246">
        <f>IF(EXACT(Asistencia!I259,"DL"),1,0)</f>
        <v>0</v>
      </c>
      <c r="BC246">
        <f>IF(EXACT(Asistencia!J259,"DL"),1,0)</f>
        <v>0</v>
      </c>
      <c r="BD246">
        <f>IF(EXACT(Asistencia!K259,"DL"),1,0)</f>
        <v>0</v>
      </c>
      <c r="BE246">
        <f>IF(EXACT(Asistencia!L259,"DL"),1,0)</f>
        <v>0</v>
      </c>
      <c r="BF246">
        <f t="shared" si="91"/>
        <v>0</v>
      </c>
      <c r="BG246">
        <f>IF(ISNUMBER(Asistencia!M259),Asistencia!M259,0)</f>
        <v>0</v>
      </c>
      <c r="BH246">
        <f>IF(ISNUMBER(Asistencia!N259),Asistencia!N259,0)</f>
        <v>0</v>
      </c>
      <c r="BI246">
        <f>IF(ISNUMBER(Asistencia!O259),Asistencia!O259,0)</f>
        <v>0</v>
      </c>
      <c r="BJ246">
        <f>IF(ISNUMBER(Asistencia!P259),Asistencia!P259,0)</f>
        <v>0</v>
      </c>
      <c r="BK246" t="str">
        <f>IF(Asistencia!F259="","",Asistencia!F259)</f>
        <v/>
      </c>
      <c r="BL246" t="str">
        <f>IF(Asistencia!G259="","",Asistencia!G259)</f>
        <v/>
      </c>
      <c r="BM246" t="str">
        <f>IF(Asistencia!H259="","",Asistencia!H259)</f>
        <v/>
      </c>
      <c r="BN246" t="str">
        <f>IF(Asistencia!I259="","",Asistencia!I259)</f>
        <v/>
      </c>
      <c r="BO246" t="str">
        <f>IF(Asistencia!J259="","",Asistencia!J259)</f>
        <v/>
      </c>
      <c r="BP246" t="str">
        <f>IF(Asistencia!K259="","",Asistencia!K259)</f>
        <v/>
      </c>
      <c r="BQ246" t="str">
        <f>IF(Asistencia!L259="","",Asistencia!L259)</f>
        <v/>
      </c>
    </row>
    <row r="247" spans="1:69" x14ac:dyDescent="0.25">
      <c r="AA247" t="str">
        <f t="shared" si="88"/>
        <v/>
      </c>
      <c r="AB247" t="str">
        <f>IF(Asistencia!A260="","",Asistencia!A260)</f>
        <v/>
      </c>
      <c r="AC247" t="str">
        <f>IF(Asistencia!A260="","",SUBSTITUTE(SUBSTITUTE(SUBSTITUTE(SUBSTITUTE(SUBSTITUTE(SUBSTITUTE(SUBSTITUTE(UPPER(TRIM(Asistencia!A260)),"Á","A"),"É","E"),"Í","I"),"Ó","O"),"Ú","U"),"Ñ","N"),"  "," "))</f>
        <v/>
      </c>
      <c r="AD247" t="str">
        <f>IF(Asistencia!E260="","",Asistencia!E260)</f>
        <v/>
      </c>
      <c r="AE247" t="str">
        <f>IF(Asistencia!D260="","",UPPER(TRIM(Asistencia!D260)))</f>
        <v/>
      </c>
      <c r="AF247" t="s">
        <v>198</v>
      </c>
      <c r="AG247">
        <f>IF(AND(AA247&lt;&gt;"",COUNTIF($AA$5:AA247,AA247)=1),1,0)</f>
        <v>0</v>
      </c>
      <c r="AH247" t="str">
        <f>IF(AG247=1,SUM($AG$5:AG247),"")</f>
        <v/>
      </c>
      <c r="AI247">
        <f>IF(OR(EXACT(Asistencia!F260,"A"),EXACT(Asistencia!F260,"R"),EXACT(Asistencia!F260,"DL"),EXACT(Asistencia!F260,"FL"),EXACT(Asistencia!F260,"FE"),EXACT(Asistencia!F260,"PCS"),EXACT(Asistencia!F260,"V")),1,0)</f>
        <v>0</v>
      </c>
      <c r="AJ247">
        <f>IF(OR(EXACT(Asistencia!G260,"A"),EXACT(Asistencia!G260,"R"),EXACT(Asistencia!G260,"DL"),EXACT(Asistencia!G260,"FL"),EXACT(Asistencia!G260,"FE"),EXACT(Asistencia!G260,"PCS"),EXACT(Asistencia!G260,"V")),1,0)</f>
        <v>0</v>
      </c>
      <c r="AK247">
        <f>IF(OR(EXACT(Asistencia!H260,"A"),EXACT(Asistencia!H260,"R"),EXACT(Asistencia!H260,"DL"),EXACT(Asistencia!H260,"FL"),EXACT(Asistencia!H260,"FE"),EXACT(Asistencia!H260,"PCS"),EXACT(Asistencia!H260,"V")),1,0)</f>
        <v>0</v>
      </c>
      <c r="AL247">
        <f>IF(OR(EXACT(Asistencia!I260,"A"),EXACT(Asistencia!I260,"R"),EXACT(Asistencia!I260,"DL"),EXACT(Asistencia!I260,"FL"),EXACT(Asistencia!I260,"FE"),EXACT(Asistencia!I260,"PCS"),EXACT(Asistencia!I260,"V")),1,0)</f>
        <v>0</v>
      </c>
      <c r="AM247">
        <f>IF(OR(EXACT(Asistencia!J260,"A"),EXACT(Asistencia!J260,"R"),EXACT(Asistencia!J260,"DL"),EXACT(Asistencia!J260,"FL"),EXACT(Asistencia!J260,"FE"),EXACT(Asistencia!J260,"PCS"),EXACT(Asistencia!J260,"V")),1,0)</f>
        <v>0</v>
      </c>
      <c r="AN247">
        <f>IF(OR(EXACT(Asistencia!K260,"A"),EXACT(Asistencia!K260,"R"),EXACT(Asistencia!K260,"DL"),EXACT(Asistencia!K260,"FL"),EXACT(Asistencia!K260,"FE"),EXACT(Asistencia!K260,"PCS"),EXACT(Asistencia!K260,"V")),1,0)</f>
        <v>0</v>
      </c>
      <c r="AO247">
        <f>IF(OR(EXACT(Asistencia!L260,"A"),EXACT(Asistencia!L260,"R"),EXACT(Asistencia!L260,"DL"),EXACT(Asistencia!L260,"FL"),EXACT(Asistencia!L260,"FE"),EXACT(Asistencia!L260,"PCS"),EXACT(Asistencia!L260,"V")),1,0)</f>
        <v>0</v>
      </c>
      <c r="AP247">
        <f t="shared" si="89"/>
        <v>0</v>
      </c>
      <c r="AQ247">
        <f>IF(EXACT(Asistencia!F260,"FL"),1,0)</f>
        <v>0</v>
      </c>
      <c r="AR247">
        <f>IF(EXACT(Asistencia!G260,"FL"),1,0)</f>
        <v>0</v>
      </c>
      <c r="AS247">
        <f>IF(EXACT(Asistencia!H260,"FL"),1,0)</f>
        <v>0</v>
      </c>
      <c r="AT247">
        <f>IF(EXACT(Asistencia!I260,"FL"),1,0)</f>
        <v>0</v>
      </c>
      <c r="AU247">
        <f>IF(EXACT(Asistencia!J260,"FL"),1,0)</f>
        <v>0</v>
      </c>
      <c r="AV247">
        <f>IF(EXACT(Asistencia!K260,"FL"),1,0)</f>
        <v>0</v>
      </c>
      <c r="AW247">
        <f>IF(EXACT(Asistencia!L260,"FL"),1,0)</f>
        <v>0</v>
      </c>
      <c r="AX247">
        <f t="shared" si="90"/>
        <v>0</v>
      </c>
      <c r="AY247">
        <f>IF(EXACT(Asistencia!F260,"DL"),1,0)</f>
        <v>0</v>
      </c>
      <c r="AZ247">
        <f>IF(EXACT(Asistencia!G260,"DL"),1,0)</f>
        <v>0</v>
      </c>
      <c r="BA247">
        <f>IF(EXACT(Asistencia!H260,"DL"),1,0)</f>
        <v>0</v>
      </c>
      <c r="BB247">
        <f>IF(EXACT(Asistencia!I260,"DL"),1,0)</f>
        <v>0</v>
      </c>
      <c r="BC247">
        <f>IF(EXACT(Asistencia!J260,"DL"),1,0)</f>
        <v>0</v>
      </c>
      <c r="BD247">
        <f>IF(EXACT(Asistencia!K260,"DL"),1,0)</f>
        <v>0</v>
      </c>
      <c r="BE247">
        <f>IF(EXACT(Asistencia!L260,"DL"),1,0)</f>
        <v>0</v>
      </c>
      <c r="BF247">
        <f t="shared" si="91"/>
        <v>0</v>
      </c>
      <c r="BG247">
        <f>IF(ISNUMBER(Asistencia!M260),Asistencia!M260,0)</f>
        <v>0</v>
      </c>
      <c r="BH247">
        <f>IF(ISNUMBER(Asistencia!N260),Asistencia!N260,0)</f>
        <v>0</v>
      </c>
      <c r="BI247">
        <f>IF(ISNUMBER(Asistencia!O260),Asistencia!O260,0)</f>
        <v>0</v>
      </c>
      <c r="BJ247">
        <f>IF(ISNUMBER(Asistencia!P260),Asistencia!P260,0)</f>
        <v>0</v>
      </c>
      <c r="BK247" t="str">
        <f>IF(Asistencia!F260="","",Asistencia!F260)</f>
        <v/>
      </c>
      <c r="BL247" t="str">
        <f>IF(Asistencia!G260="","",Asistencia!G260)</f>
        <v/>
      </c>
      <c r="BM247" t="str">
        <f>IF(Asistencia!H260="","",Asistencia!H260)</f>
        <v/>
      </c>
      <c r="BN247" t="str">
        <f>IF(Asistencia!I260="","",Asistencia!I260)</f>
        <v/>
      </c>
      <c r="BO247" t="str">
        <f>IF(Asistencia!J260="","",Asistencia!J260)</f>
        <v/>
      </c>
      <c r="BP247" t="str">
        <f>IF(Asistencia!K260="","",Asistencia!K260)</f>
        <v/>
      </c>
      <c r="BQ247" t="str">
        <f>IF(Asistencia!L260="","",Asistencia!L260)</f>
        <v/>
      </c>
    </row>
    <row r="248" spans="1:69" x14ac:dyDescent="0.25">
      <c r="AA248" t="str">
        <f t="shared" si="88"/>
        <v/>
      </c>
      <c r="AB248" t="str">
        <f>IF(Asistencia!A261="","",Asistencia!A261)</f>
        <v/>
      </c>
      <c r="AC248" t="str">
        <f>IF(Asistencia!A261="","",SUBSTITUTE(SUBSTITUTE(SUBSTITUTE(SUBSTITUTE(SUBSTITUTE(SUBSTITUTE(SUBSTITUTE(UPPER(TRIM(Asistencia!A261)),"Á","A"),"É","E"),"Í","I"),"Ó","O"),"Ú","U"),"Ñ","N"),"  "," "))</f>
        <v/>
      </c>
      <c r="AD248" t="str">
        <f>IF(Asistencia!E261="","",Asistencia!E261)</f>
        <v/>
      </c>
      <c r="AE248" t="str">
        <f>IF(Asistencia!D261="","",UPPER(TRIM(Asistencia!D261)))</f>
        <v/>
      </c>
      <c r="AF248" t="s">
        <v>198</v>
      </c>
      <c r="AG248">
        <f>IF(AND(AA248&lt;&gt;"",COUNTIF($AA$5:AA248,AA248)=1),1,0)</f>
        <v>0</v>
      </c>
      <c r="AH248" t="str">
        <f>IF(AG248=1,SUM($AG$5:AG248),"")</f>
        <v/>
      </c>
      <c r="AI248">
        <f>IF(OR(EXACT(Asistencia!F261,"A"),EXACT(Asistencia!F261,"R"),EXACT(Asistencia!F261,"DL"),EXACT(Asistencia!F261,"FL"),EXACT(Asistencia!F261,"FE"),EXACT(Asistencia!F261,"PCS"),EXACT(Asistencia!F261,"V")),1,0)</f>
        <v>0</v>
      </c>
      <c r="AJ248">
        <f>IF(OR(EXACT(Asistencia!G261,"A"),EXACT(Asistencia!G261,"R"),EXACT(Asistencia!G261,"DL"),EXACT(Asistencia!G261,"FL"),EXACT(Asistencia!G261,"FE"),EXACT(Asistencia!G261,"PCS"),EXACT(Asistencia!G261,"V")),1,0)</f>
        <v>0</v>
      </c>
      <c r="AK248">
        <f>IF(OR(EXACT(Asistencia!H261,"A"),EXACT(Asistencia!H261,"R"),EXACT(Asistencia!H261,"DL"),EXACT(Asistencia!H261,"FL"),EXACT(Asistencia!H261,"FE"),EXACT(Asistencia!H261,"PCS"),EXACT(Asistencia!H261,"V")),1,0)</f>
        <v>0</v>
      </c>
      <c r="AL248">
        <f>IF(OR(EXACT(Asistencia!I261,"A"),EXACT(Asistencia!I261,"R"),EXACT(Asistencia!I261,"DL"),EXACT(Asistencia!I261,"FL"),EXACT(Asistencia!I261,"FE"),EXACT(Asistencia!I261,"PCS"),EXACT(Asistencia!I261,"V")),1,0)</f>
        <v>0</v>
      </c>
      <c r="AM248">
        <f>IF(OR(EXACT(Asistencia!J261,"A"),EXACT(Asistencia!J261,"R"),EXACT(Asistencia!J261,"DL"),EXACT(Asistencia!J261,"FL"),EXACT(Asistencia!J261,"FE"),EXACT(Asistencia!J261,"PCS"),EXACT(Asistencia!J261,"V")),1,0)</f>
        <v>0</v>
      </c>
      <c r="AN248">
        <f>IF(OR(EXACT(Asistencia!K261,"A"),EXACT(Asistencia!K261,"R"),EXACT(Asistencia!K261,"DL"),EXACT(Asistencia!K261,"FL"),EXACT(Asistencia!K261,"FE"),EXACT(Asistencia!K261,"PCS"),EXACT(Asistencia!K261,"V")),1,0)</f>
        <v>0</v>
      </c>
      <c r="AO248">
        <f>IF(OR(EXACT(Asistencia!L261,"A"),EXACT(Asistencia!L261,"R"),EXACT(Asistencia!L261,"DL"),EXACT(Asistencia!L261,"FL"),EXACT(Asistencia!L261,"FE"),EXACT(Asistencia!L261,"PCS"),EXACT(Asistencia!L261,"V")),1,0)</f>
        <v>0</v>
      </c>
      <c r="AP248">
        <f t="shared" si="89"/>
        <v>0</v>
      </c>
      <c r="AQ248">
        <f>IF(EXACT(Asistencia!F261,"FL"),1,0)</f>
        <v>0</v>
      </c>
      <c r="AR248">
        <f>IF(EXACT(Asistencia!G261,"FL"),1,0)</f>
        <v>0</v>
      </c>
      <c r="AS248">
        <f>IF(EXACT(Asistencia!H261,"FL"),1,0)</f>
        <v>0</v>
      </c>
      <c r="AT248">
        <f>IF(EXACT(Asistencia!I261,"FL"),1,0)</f>
        <v>0</v>
      </c>
      <c r="AU248">
        <f>IF(EXACT(Asistencia!J261,"FL"),1,0)</f>
        <v>0</v>
      </c>
      <c r="AV248">
        <f>IF(EXACT(Asistencia!K261,"FL"),1,0)</f>
        <v>0</v>
      </c>
      <c r="AW248">
        <f>IF(EXACT(Asistencia!L261,"FL"),1,0)</f>
        <v>0</v>
      </c>
      <c r="AX248">
        <f t="shared" si="90"/>
        <v>0</v>
      </c>
      <c r="AY248">
        <f>IF(EXACT(Asistencia!F261,"DL"),1,0)</f>
        <v>0</v>
      </c>
      <c r="AZ248">
        <f>IF(EXACT(Asistencia!G261,"DL"),1,0)</f>
        <v>0</v>
      </c>
      <c r="BA248">
        <f>IF(EXACT(Asistencia!H261,"DL"),1,0)</f>
        <v>0</v>
      </c>
      <c r="BB248">
        <f>IF(EXACT(Asistencia!I261,"DL"),1,0)</f>
        <v>0</v>
      </c>
      <c r="BC248">
        <f>IF(EXACT(Asistencia!J261,"DL"),1,0)</f>
        <v>0</v>
      </c>
      <c r="BD248">
        <f>IF(EXACT(Asistencia!K261,"DL"),1,0)</f>
        <v>0</v>
      </c>
      <c r="BE248">
        <f>IF(EXACT(Asistencia!L261,"DL"),1,0)</f>
        <v>0</v>
      </c>
      <c r="BF248">
        <f t="shared" si="91"/>
        <v>0</v>
      </c>
      <c r="BG248">
        <f>IF(ISNUMBER(Asistencia!M261),Asistencia!M261,0)</f>
        <v>0</v>
      </c>
      <c r="BH248">
        <f>IF(ISNUMBER(Asistencia!N261),Asistencia!N261,0)</f>
        <v>0</v>
      </c>
      <c r="BI248">
        <f>IF(ISNUMBER(Asistencia!O261),Asistencia!O261,0)</f>
        <v>0</v>
      </c>
      <c r="BJ248">
        <f>IF(ISNUMBER(Asistencia!P261),Asistencia!P261,0)</f>
        <v>0</v>
      </c>
      <c r="BK248" t="str">
        <f>IF(Asistencia!F261="","",Asistencia!F261)</f>
        <v/>
      </c>
      <c r="BL248" t="str">
        <f>IF(Asistencia!G261="","",Asistencia!G261)</f>
        <v/>
      </c>
      <c r="BM248" t="str">
        <f>IF(Asistencia!H261="","",Asistencia!H261)</f>
        <v/>
      </c>
      <c r="BN248" t="str">
        <f>IF(Asistencia!I261="","",Asistencia!I261)</f>
        <v/>
      </c>
      <c r="BO248" t="str">
        <f>IF(Asistencia!J261="","",Asistencia!J261)</f>
        <v/>
      </c>
      <c r="BP248" t="str">
        <f>IF(Asistencia!K261="","",Asistencia!K261)</f>
        <v/>
      </c>
      <c r="BQ248" t="str">
        <f>IF(Asistencia!L261="","",Asistencia!L261)</f>
        <v/>
      </c>
    </row>
    <row r="249" spans="1:69" x14ac:dyDescent="0.25">
      <c r="AA249" t="str">
        <f t="shared" si="88"/>
        <v/>
      </c>
      <c r="AB249" t="str">
        <f>IF(Asistencia!A262="","",Asistencia!A262)</f>
        <v/>
      </c>
      <c r="AC249" t="str">
        <f>IF(Asistencia!A262="","",SUBSTITUTE(SUBSTITUTE(SUBSTITUTE(SUBSTITUTE(SUBSTITUTE(SUBSTITUTE(SUBSTITUTE(UPPER(TRIM(Asistencia!A262)),"Á","A"),"É","E"),"Í","I"),"Ó","O"),"Ú","U"),"Ñ","N"),"  "," "))</f>
        <v/>
      </c>
      <c r="AD249" t="str">
        <f>IF(Asistencia!E262="","",Asistencia!E262)</f>
        <v/>
      </c>
      <c r="AE249" t="str">
        <f>IF(Asistencia!D262="","",UPPER(TRIM(Asistencia!D262)))</f>
        <v/>
      </c>
      <c r="AF249" t="s">
        <v>198</v>
      </c>
      <c r="AG249">
        <f>IF(AND(AA249&lt;&gt;"",COUNTIF($AA$5:AA249,AA249)=1),1,0)</f>
        <v>0</v>
      </c>
      <c r="AH249" t="str">
        <f>IF(AG249=1,SUM($AG$5:AG249),"")</f>
        <v/>
      </c>
      <c r="AI249">
        <f>IF(OR(EXACT(Asistencia!F262,"A"),EXACT(Asistencia!F262,"R"),EXACT(Asistencia!F262,"DL"),EXACT(Asistencia!F262,"FL"),EXACT(Asistencia!F262,"FE"),EXACT(Asistencia!F262,"PCS"),EXACT(Asistencia!F262,"V")),1,0)</f>
        <v>0</v>
      </c>
      <c r="AJ249">
        <f>IF(OR(EXACT(Asistencia!G262,"A"),EXACT(Asistencia!G262,"R"),EXACT(Asistencia!G262,"DL"),EXACT(Asistencia!G262,"FL"),EXACT(Asistencia!G262,"FE"),EXACT(Asistencia!G262,"PCS"),EXACT(Asistencia!G262,"V")),1,0)</f>
        <v>0</v>
      </c>
      <c r="AK249">
        <f>IF(OR(EXACT(Asistencia!H262,"A"),EXACT(Asistencia!H262,"R"),EXACT(Asistencia!H262,"DL"),EXACT(Asistencia!H262,"FL"),EXACT(Asistencia!H262,"FE"),EXACT(Asistencia!H262,"PCS"),EXACT(Asistencia!H262,"V")),1,0)</f>
        <v>0</v>
      </c>
      <c r="AL249">
        <f>IF(OR(EXACT(Asistencia!I262,"A"),EXACT(Asistencia!I262,"R"),EXACT(Asistencia!I262,"DL"),EXACT(Asistencia!I262,"FL"),EXACT(Asistencia!I262,"FE"),EXACT(Asistencia!I262,"PCS"),EXACT(Asistencia!I262,"V")),1,0)</f>
        <v>0</v>
      </c>
      <c r="AM249">
        <f>IF(OR(EXACT(Asistencia!J262,"A"),EXACT(Asistencia!J262,"R"),EXACT(Asistencia!J262,"DL"),EXACT(Asistencia!J262,"FL"),EXACT(Asistencia!J262,"FE"),EXACT(Asistencia!J262,"PCS"),EXACT(Asistencia!J262,"V")),1,0)</f>
        <v>0</v>
      </c>
      <c r="AN249">
        <f>IF(OR(EXACT(Asistencia!K262,"A"),EXACT(Asistencia!K262,"R"),EXACT(Asistencia!K262,"DL"),EXACT(Asistencia!K262,"FL"),EXACT(Asistencia!K262,"FE"),EXACT(Asistencia!K262,"PCS"),EXACT(Asistencia!K262,"V")),1,0)</f>
        <v>0</v>
      </c>
      <c r="AO249">
        <f>IF(OR(EXACT(Asistencia!L262,"A"),EXACT(Asistencia!L262,"R"),EXACT(Asistencia!L262,"DL"),EXACT(Asistencia!L262,"FL"),EXACT(Asistencia!L262,"FE"),EXACT(Asistencia!L262,"PCS"),EXACT(Asistencia!L262,"V")),1,0)</f>
        <v>0</v>
      </c>
      <c r="AP249">
        <f t="shared" si="89"/>
        <v>0</v>
      </c>
      <c r="AQ249">
        <f>IF(EXACT(Asistencia!F262,"FL"),1,0)</f>
        <v>0</v>
      </c>
      <c r="AR249">
        <f>IF(EXACT(Asistencia!G262,"FL"),1,0)</f>
        <v>0</v>
      </c>
      <c r="AS249">
        <f>IF(EXACT(Asistencia!H262,"FL"),1,0)</f>
        <v>0</v>
      </c>
      <c r="AT249">
        <f>IF(EXACT(Asistencia!I262,"FL"),1,0)</f>
        <v>0</v>
      </c>
      <c r="AU249">
        <f>IF(EXACT(Asistencia!J262,"FL"),1,0)</f>
        <v>0</v>
      </c>
      <c r="AV249">
        <f>IF(EXACT(Asistencia!K262,"FL"),1,0)</f>
        <v>0</v>
      </c>
      <c r="AW249">
        <f>IF(EXACT(Asistencia!L262,"FL"),1,0)</f>
        <v>0</v>
      </c>
      <c r="AX249">
        <f t="shared" si="90"/>
        <v>0</v>
      </c>
      <c r="AY249">
        <f>IF(EXACT(Asistencia!F262,"DL"),1,0)</f>
        <v>0</v>
      </c>
      <c r="AZ249">
        <f>IF(EXACT(Asistencia!G262,"DL"),1,0)</f>
        <v>0</v>
      </c>
      <c r="BA249">
        <f>IF(EXACT(Asistencia!H262,"DL"),1,0)</f>
        <v>0</v>
      </c>
      <c r="BB249">
        <f>IF(EXACT(Asistencia!I262,"DL"),1,0)</f>
        <v>0</v>
      </c>
      <c r="BC249">
        <f>IF(EXACT(Asistencia!J262,"DL"),1,0)</f>
        <v>0</v>
      </c>
      <c r="BD249">
        <f>IF(EXACT(Asistencia!K262,"DL"),1,0)</f>
        <v>0</v>
      </c>
      <c r="BE249">
        <f>IF(EXACT(Asistencia!L262,"DL"),1,0)</f>
        <v>0</v>
      </c>
      <c r="BF249">
        <f t="shared" si="91"/>
        <v>0</v>
      </c>
      <c r="BG249">
        <f>IF(ISNUMBER(Asistencia!M262),Asistencia!M262,0)</f>
        <v>0</v>
      </c>
      <c r="BH249">
        <f>IF(ISNUMBER(Asistencia!N262),Asistencia!N262,0)</f>
        <v>0</v>
      </c>
      <c r="BI249">
        <f>IF(ISNUMBER(Asistencia!O262),Asistencia!O262,0)</f>
        <v>0</v>
      </c>
      <c r="BJ249">
        <f>IF(ISNUMBER(Asistencia!P262),Asistencia!P262,0)</f>
        <v>0</v>
      </c>
      <c r="BK249" t="str">
        <f>IF(Asistencia!F262="","",Asistencia!F262)</f>
        <v/>
      </c>
      <c r="BL249" t="str">
        <f>IF(Asistencia!G262="","",Asistencia!G262)</f>
        <v/>
      </c>
      <c r="BM249" t="str">
        <f>IF(Asistencia!H262="","",Asistencia!H262)</f>
        <v/>
      </c>
      <c r="BN249" t="str">
        <f>IF(Asistencia!I262="","",Asistencia!I262)</f>
        <v/>
      </c>
      <c r="BO249" t="str">
        <f>IF(Asistencia!J262="","",Asistencia!J262)</f>
        <v/>
      </c>
      <c r="BP249" t="str">
        <f>IF(Asistencia!K262="","",Asistencia!K262)</f>
        <v/>
      </c>
      <c r="BQ249" t="str">
        <f>IF(Asistencia!L262="","",Asistencia!L262)</f>
        <v/>
      </c>
    </row>
    <row r="250" spans="1:69" x14ac:dyDescent="0.25">
      <c r="AA250" t="str">
        <f t="shared" si="88"/>
        <v/>
      </c>
      <c r="AB250" t="str">
        <f>IF(Asistencia!A263="","",Asistencia!A263)</f>
        <v/>
      </c>
      <c r="AC250" t="str">
        <f>IF(Asistencia!A263="","",SUBSTITUTE(SUBSTITUTE(SUBSTITUTE(SUBSTITUTE(SUBSTITUTE(SUBSTITUTE(SUBSTITUTE(UPPER(TRIM(Asistencia!A263)),"Á","A"),"É","E"),"Í","I"),"Ó","O"),"Ú","U"),"Ñ","N"),"  "," "))</f>
        <v/>
      </c>
      <c r="AD250" t="str">
        <f>IF(Asistencia!E263="","",Asistencia!E263)</f>
        <v/>
      </c>
      <c r="AE250" t="str">
        <f>IF(Asistencia!D263="","",UPPER(TRIM(Asistencia!D263)))</f>
        <v/>
      </c>
      <c r="AF250" t="s">
        <v>198</v>
      </c>
      <c r="AG250">
        <f>IF(AND(AA250&lt;&gt;"",COUNTIF($AA$5:AA250,AA250)=1),1,0)</f>
        <v>0</v>
      </c>
      <c r="AH250" t="str">
        <f>IF(AG250=1,SUM($AG$5:AG250),"")</f>
        <v/>
      </c>
      <c r="AI250">
        <f>IF(OR(EXACT(Asistencia!F263,"A"),EXACT(Asistencia!F263,"R"),EXACT(Asistencia!F263,"DL"),EXACT(Asistencia!F263,"FL"),EXACT(Asistencia!F263,"FE"),EXACT(Asistencia!F263,"PCS"),EXACT(Asistencia!F263,"V")),1,0)</f>
        <v>0</v>
      </c>
      <c r="AJ250">
        <f>IF(OR(EXACT(Asistencia!G263,"A"),EXACT(Asistencia!G263,"R"),EXACT(Asistencia!G263,"DL"),EXACT(Asistencia!G263,"FL"),EXACT(Asistencia!G263,"FE"),EXACT(Asistencia!G263,"PCS"),EXACT(Asistencia!G263,"V")),1,0)</f>
        <v>0</v>
      </c>
      <c r="AK250">
        <f>IF(OR(EXACT(Asistencia!H263,"A"),EXACT(Asistencia!H263,"R"),EXACT(Asistencia!H263,"DL"),EXACT(Asistencia!H263,"FL"),EXACT(Asistencia!H263,"FE"),EXACT(Asistencia!H263,"PCS"),EXACT(Asistencia!H263,"V")),1,0)</f>
        <v>0</v>
      </c>
      <c r="AL250">
        <f>IF(OR(EXACT(Asistencia!I263,"A"),EXACT(Asistencia!I263,"R"),EXACT(Asistencia!I263,"DL"),EXACT(Asistencia!I263,"FL"),EXACT(Asistencia!I263,"FE"),EXACT(Asistencia!I263,"PCS"),EXACT(Asistencia!I263,"V")),1,0)</f>
        <v>0</v>
      </c>
      <c r="AM250">
        <f>IF(OR(EXACT(Asistencia!J263,"A"),EXACT(Asistencia!J263,"R"),EXACT(Asistencia!J263,"DL"),EXACT(Asistencia!J263,"FL"),EXACT(Asistencia!J263,"FE"),EXACT(Asistencia!J263,"PCS"),EXACT(Asistencia!J263,"V")),1,0)</f>
        <v>0</v>
      </c>
      <c r="AN250">
        <f>IF(OR(EXACT(Asistencia!K263,"A"),EXACT(Asistencia!K263,"R"),EXACT(Asistencia!K263,"DL"),EXACT(Asistencia!K263,"FL"),EXACT(Asistencia!K263,"FE"),EXACT(Asistencia!K263,"PCS"),EXACT(Asistencia!K263,"V")),1,0)</f>
        <v>0</v>
      </c>
      <c r="AO250">
        <f>IF(OR(EXACT(Asistencia!L263,"A"),EXACT(Asistencia!L263,"R"),EXACT(Asistencia!L263,"DL"),EXACT(Asistencia!L263,"FL"),EXACT(Asistencia!L263,"FE"),EXACT(Asistencia!L263,"PCS"),EXACT(Asistencia!L263,"V")),1,0)</f>
        <v>0</v>
      </c>
      <c r="AP250">
        <f t="shared" si="89"/>
        <v>0</v>
      </c>
      <c r="AQ250">
        <f>IF(EXACT(Asistencia!F263,"FL"),1,0)</f>
        <v>0</v>
      </c>
      <c r="AR250">
        <f>IF(EXACT(Asistencia!G263,"FL"),1,0)</f>
        <v>0</v>
      </c>
      <c r="AS250">
        <f>IF(EXACT(Asistencia!H263,"FL"),1,0)</f>
        <v>0</v>
      </c>
      <c r="AT250">
        <f>IF(EXACT(Asistencia!I263,"FL"),1,0)</f>
        <v>0</v>
      </c>
      <c r="AU250">
        <f>IF(EXACT(Asistencia!J263,"FL"),1,0)</f>
        <v>0</v>
      </c>
      <c r="AV250">
        <f>IF(EXACT(Asistencia!K263,"FL"),1,0)</f>
        <v>0</v>
      </c>
      <c r="AW250">
        <f>IF(EXACT(Asistencia!L263,"FL"),1,0)</f>
        <v>0</v>
      </c>
      <c r="AX250">
        <f t="shared" si="90"/>
        <v>0</v>
      </c>
      <c r="AY250">
        <f>IF(EXACT(Asistencia!F263,"DL"),1,0)</f>
        <v>0</v>
      </c>
      <c r="AZ250">
        <f>IF(EXACT(Asistencia!G263,"DL"),1,0)</f>
        <v>0</v>
      </c>
      <c r="BA250">
        <f>IF(EXACT(Asistencia!H263,"DL"),1,0)</f>
        <v>0</v>
      </c>
      <c r="BB250">
        <f>IF(EXACT(Asistencia!I263,"DL"),1,0)</f>
        <v>0</v>
      </c>
      <c r="BC250">
        <f>IF(EXACT(Asistencia!J263,"DL"),1,0)</f>
        <v>0</v>
      </c>
      <c r="BD250">
        <f>IF(EXACT(Asistencia!K263,"DL"),1,0)</f>
        <v>0</v>
      </c>
      <c r="BE250">
        <f>IF(EXACT(Asistencia!L263,"DL"),1,0)</f>
        <v>0</v>
      </c>
      <c r="BF250">
        <f t="shared" si="91"/>
        <v>0</v>
      </c>
      <c r="BG250">
        <f>IF(ISNUMBER(Asistencia!M263),Asistencia!M263,0)</f>
        <v>0</v>
      </c>
      <c r="BH250">
        <f>IF(ISNUMBER(Asistencia!N263),Asistencia!N263,0)</f>
        <v>0</v>
      </c>
      <c r="BI250">
        <f>IF(ISNUMBER(Asistencia!O263),Asistencia!O263,0)</f>
        <v>0</v>
      </c>
      <c r="BJ250">
        <f>IF(ISNUMBER(Asistencia!P263),Asistencia!P263,0)</f>
        <v>0</v>
      </c>
      <c r="BK250" t="str">
        <f>IF(Asistencia!F263="","",Asistencia!F263)</f>
        <v/>
      </c>
      <c r="BL250" t="str">
        <f>IF(Asistencia!G263="","",Asistencia!G263)</f>
        <v/>
      </c>
      <c r="BM250" t="str">
        <f>IF(Asistencia!H263="","",Asistencia!H263)</f>
        <v/>
      </c>
      <c r="BN250" t="str">
        <f>IF(Asistencia!I263="","",Asistencia!I263)</f>
        <v/>
      </c>
      <c r="BO250" t="str">
        <f>IF(Asistencia!J263="","",Asistencia!J263)</f>
        <v/>
      </c>
      <c r="BP250" t="str">
        <f>IF(Asistencia!K263="","",Asistencia!K263)</f>
        <v/>
      </c>
      <c r="BQ250" t="str">
        <f>IF(Asistencia!L263="","",Asistencia!L263)</f>
        <v/>
      </c>
    </row>
    <row r="251" spans="1:69" x14ac:dyDescent="0.25">
      <c r="AA251" t="str">
        <f t="shared" si="88"/>
        <v/>
      </c>
      <c r="AB251" t="str">
        <f>IF(Asistencia!A264="","",Asistencia!A264)</f>
        <v/>
      </c>
      <c r="AC251" t="str">
        <f>IF(Asistencia!A264="","",SUBSTITUTE(SUBSTITUTE(SUBSTITUTE(SUBSTITUTE(SUBSTITUTE(SUBSTITUTE(SUBSTITUTE(UPPER(TRIM(Asistencia!A264)),"Á","A"),"É","E"),"Í","I"),"Ó","O"),"Ú","U"),"Ñ","N"),"  "," "))</f>
        <v/>
      </c>
      <c r="AD251" t="str">
        <f>IF(Asistencia!E264="","",Asistencia!E264)</f>
        <v/>
      </c>
      <c r="AE251" t="str">
        <f>IF(Asistencia!D264="","",UPPER(TRIM(Asistencia!D264)))</f>
        <v/>
      </c>
      <c r="AF251" t="s">
        <v>198</v>
      </c>
      <c r="AG251">
        <f>IF(AND(AA251&lt;&gt;"",COUNTIF($AA$5:AA251,AA251)=1),1,0)</f>
        <v>0</v>
      </c>
      <c r="AH251" t="str">
        <f>IF(AG251=1,SUM($AG$5:AG251),"")</f>
        <v/>
      </c>
      <c r="AI251">
        <f>IF(OR(EXACT(Asistencia!F264,"A"),EXACT(Asistencia!F264,"R"),EXACT(Asistencia!F264,"DL"),EXACT(Asistencia!F264,"FL"),EXACT(Asistencia!F264,"FE"),EXACT(Asistencia!F264,"PCS"),EXACT(Asistencia!F264,"V")),1,0)</f>
        <v>0</v>
      </c>
      <c r="AJ251">
        <f>IF(OR(EXACT(Asistencia!G264,"A"),EXACT(Asistencia!G264,"R"),EXACT(Asistencia!G264,"DL"),EXACT(Asistencia!G264,"FL"),EXACT(Asistencia!G264,"FE"),EXACT(Asistencia!G264,"PCS"),EXACT(Asistencia!G264,"V")),1,0)</f>
        <v>0</v>
      </c>
      <c r="AK251">
        <f>IF(OR(EXACT(Asistencia!H264,"A"),EXACT(Asistencia!H264,"R"),EXACT(Asistencia!H264,"DL"),EXACT(Asistencia!H264,"FL"),EXACT(Asistencia!H264,"FE"),EXACT(Asistencia!H264,"PCS"),EXACT(Asistencia!H264,"V")),1,0)</f>
        <v>0</v>
      </c>
      <c r="AL251">
        <f>IF(OR(EXACT(Asistencia!I264,"A"),EXACT(Asistencia!I264,"R"),EXACT(Asistencia!I264,"DL"),EXACT(Asistencia!I264,"FL"),EXACT(Asistencia!I264,"FE"),EXACT(Asistencia!I264,"PCS"),EXACT(Asistencia!I264,"V")),1,0)</f>
        <v>0</v>
      </c>
      <c r="AM251">
        <f>IF(OR(EXACT(Asistencia!J264,"A"),EXACT(Asistencia!J264,"R"),EXACT(Asistencia!J264,"DL"),EXACT(Asistencia!J264,"FL"),EXACT(Asistencia!J264,"FE"),EXACT(Asistencia!J264,"PCS"),EXACT(Asistencia!J264,"V")),1,0)</f>
        <v>0</v>
      </c>
      <c r="AN251">
        <f>IF(OR(EXACT(Asistencia!K264,"A"),EXACT(Asistencia!K264,"R"),EXACT(Asistencia!K264,"DL"),EXACT(Asistencia!K264,"FL"),EXACT(Asistencia!K264,"FE"),EXACT(Asistencia!K264,"PCS"),EXACT(Asistencia!K264,"V")),1,0)</f>
        <v>0</v>
      </c>
      <c r="AO251">
        <f>IF(OR(EXACT(Asistencia!L264,"A"),EXACT(Asistencia!L264,"R"),EXACT(Asistencia!L264,"DL"),EXACT(Asistencia!L264,"FL"),EXACT(Asistencia!L264,"FE"),EXACT(Asistencia!L264,"PCS"),EXACT(Asistencia!L264,"V")),1,0)</f>
        <v>0</v>
      </c>
      <c r="AP251">
        <f t="shared" si="89"/>
        <v>0</v>
      </c>
      <c r="AQ251">
        <f>IF(EXACT(Asistencia!F264,"FL"),1,0)</f>
        <v>0</v>
      </c>
      <c r="AR251">
        <f>IF(EXACT(Asistencia!G264,"FL"),1,0)</f>
        <v>0</v>
      </c>
      <c r="AS251">
        <f>IF(EXACT(Asistencia!H264,"FL"),1,0)</f>
        <v>0</v>
      </c>
      <c r="AT251">
        <f>IF(EXACT(Asistencia!I264,"FL"),1,0)</f>
        <v>0</v>
      </c>
      <c r="AU251">
        <f>IF(EXACT(Asistencia!J264,"FL"),1,0)</f>
        <v>0</v>
      </c>
      <c r="AV251">
        <f>IF(EXACT(Asistencia!K264,"FL"),1,0)</f>
        <v>0</v>
      </c>
      <c r="AW251">
        <f>IF(EXACT(Asistencia!L264,"FL"),1,0)</f>
        <v>0</v>
      </c>
      <c r="AX251">
        <f t="shared" si="90"/>
        <v>0</v>
      </c>
      <c r="AY251">
        <f>IF(EXACT(Asistencia!F264,"DL"),1,0)</f>
        <v>0</v>
      </c>
      <c r="AZ251">
        <f>IF(EXACT(Asistencia!G264,"DL"),1,0)</f>
        <v>0</v>
      </c>
      <c r="BA251">
        <f>IF(EXACT(Asistencia!H264,"DL"),1,0)</f>
        <v>0</v>
      </c>
      <c r="BB251">
        <f>IF(EXACT(Asistencia!I264,"DL"),1,0)</f>
        <v>0</v>
      </c>
      <c r="BC251">
        <f>IF(EXACT(Asistencia!J264,"DL"),1,0)</f>
        <v>0</v>
      </c>
      <c r="BD251">
        <f>IF(EXACT(Asistencia!K264,"DL"),1,0)</f>
        <v>0</v>
      </c>
      <c r="BE251">
        <f>IF(EXACT(Asistencia!L264,"DL"),1,0)</f>
        <v>0</v>
      </c>
      <c r="BF251">
        <f t="shared" si="91"/>
        <v>0</v>
      </c>
      <c r="BG251">
        <f>IF(ISNUMBER(Asistencia!M264),Asistencia!M264,0)</f>
        <v>0</v>
      </c>
      <c r="BH251">
        <f>IF(ISNUMBER(Asistencia!N264),Asistencia!N264,0)</f>
        <v>0</v>
      </c>
      <c r="BI251">
        <f>IF(ISNUMBER(Asistencia!O264),Asistencia!O264,0)</f>
        <v>0</v>
      </c>
      <c r="BJ251">
        <f>IF(ISNUMBER(Asistencia!P264),Asistencia!P264,0)</f>
        <v>0</v>
      </c>
      <c r="BK251" t="str">
        <f>IF(Asistencia!F264="","",Asistencia!F264)</f>
        <v/>
      </c>
      <c r="BL251" t="str">
        <f>IF(Asistencia!G264="","",Asistencia!G264)</f>
        <v/>
      </c>
      <c r="BM251" t="str">
        <f>IF(Asistencia!H264="","",Asistencia!H264)</f>
        <v/>
      </c>
      <c r="BN251" t="str">
        <f>IF(Asistencia!I264="","",Asistencia!I264)</f>
        <v/>
      </c>
      <c r="BO251" t="str">
        <f>IF(Asistencia!J264="","",Asistencia!J264)</f>
        <v/>
      </c>
      <c r="BP251" t="str">
        <f>IF(Asistencia!K264="","",Asistencia!K264)</f>
        <v/>
      </c>
      <c r="BQ251" t="str">
        <f>IF(Asistencia!L264="","",Asistencia!L264)</f>
        <v/>
      </c>
    </row>
    <row r="252" spans="1:69" x14ac:dyDescent="0.25">
      <c r="AA252" t="str">
        <f t="shared" si="88"/>
        <v/>
      </c>
      <c r="AB252" t="str">
        <f>IF(Asistencia!A265="","",Asistencia!A265)</f>
        <v/>
      </c>
      <c r="AC252" t="str">
        <f>IF(Asistencia!A265="","",SUBSTITUTE(SUBSTITUTE(SUBSTITUTE(SUBSTITUTE(SUBSTITUTE(SUBSTITUTE(SUBSTITUTE(UPPER(TRIM(Asistencia!A265)),"Á","A"),"É","E"),"Í","I"),"Ó","O"),"Ú","U"),"Ñ","N"),"  "," "))</f>
        <v/>
      </c>
      <c r="AD252" t="str">
        <f>IF(Asistencia!E265="","",Asistencia!E265)</f>
        <v/>
      </c>
      <c r="AE252" t="str">
        <f>IF(Asistencia!D265="","",UPPER(TRIM(Asistencia!D265)))</f>
        <v/>
      </c>
      <c r="AF252" t="s">
        <v>198</v>
      </c>
      <c r="AG252">
        <f>IF(AND(AA252&lt;&gt;"",COUNTIF($AA$5:AA252,AA252)=1),1,0)</f>
        <v>0</v>
      </c>
      <c r="AH252" t="str">
        <f>IF(AG252=1,SUM($AG$5:AG252),"")</f>
        <v/>
      </c>
      <c r="AI252">
        <f>IF(OR(EXACT(Asistencia!F265,"A"),EXACT(Asistencia!F265,"R"),EXACT(Asistencia!F265,"DL"),EXACT(Asistencia!F265,"FL"),EXACT(Asistencia!F265,"FE"),EXACT(Asistencia!F265,"PCS"),EXACT(Asistencia!F265,"V")),1,0)</f>
        <v>0</v>
      </c>
      <c r="AJ252">
        <f>IF(OR(EXACT(Asistencia!G265,"A"),EXACT(Asistencia!G265,"R"),EXACT(Asistencia!G265,"DL"),EXACT(Asistencia!G265,"FL"),EXACT(Asistencia!G265,"FE"),EXACT(Asistencia!G265,"PCS"),EXACT(Asistencia!G265,"V")),1,0)</f>
        <v>0</v>
      </c>
      <c r="AK252">
        <f>IF(OR(EXACT(Asistencia!H265,"A"),EXACT(Asistencia!H265,"R"),EXACT(Asistencia!H265,"DL"),EXACT(Asistencia!H265,"FL"),EXACT(Asistencia!H265,"FE"),EXACT(Asistencia!H265,"PCS"),EXACT(Asistencia!H265,"V")),1,0)</f>
        <v>0</v>
      </c>
      <c r="AL252">
        <f>IF(OR(EXACT(Asistencia!I265,"A"),EXACT(Asistencia!I265,"R"),EXACT(Asistencia!I265,"DL"),EXACT(Asistencia!I265,"FL"),EXACT(Asistencia!I265,"FE"),EXACT(Asistencia!I265,"PCS"),EXACT(Asistencia!I265,"V")),1,0)</f>
        <v>0</v>
      </c>
      <c r="AM252">
        <f>IF(OR(EXACT(Asistencia!J265,"A"),EXACT(Asistencia!J265,"R"),EXACT(Asistencia!J265,"DL"),EXACT(Asistencia!J265,"FL"),EXACT(Asistencia!J265,"FE"),EXACT(Asistencia!J265,"PCS"),EXACT(Asistencia!J265,"V")),1,0)</f>
        <v>0</v>
      </c>
      <c r="AN252">
        <f>IF(OR(EXACT(Asistencia!K265,"A"),EXACT(Asistencia!K265,"R"),EXACT(Asistencia!K265,"DL"),EXACT(Asistencia!K265,"FL"),EXACT(Asistencia!K265,"FE"),EXACT(Asistencia!K265,"PCS"),EXACT(Asistencia!K265,"V")),1,0)</f>
        <v>0</v>
      </c>
      <c r="AO252">
        <f>IF(OR(EXACT(Asistencia!L265,"A"),EXACT(Asistencia!L265,"R"),EXACT(Asistencia!L265,"DL"),EXACT(Asistencia!L265,"FL"),EXACT(Asistencia!L265,"FE"),EXACT(Asistencia!L265,"PCS"),EXACT(Asistencia!L265,"V")),1,0)</f>
        <v>0</v>
      </c>
      <c r="AP252">
        <f t="shared" si="89"/>
        <v>0</v>
      </c>
      <c r="AQ252">
        <f>IF(EXACT(Asistencia!F265,"FL"),1,0)</f>
        <v>0</v>
      </c>
      <c r="AR252">
        <f>IF(EXACT(Asistencia!G265,"FL"),1,0)</f>
        <v>0</v>
      </c>
      <c r="AS252">
        <f>IF(EXACT(Asistencia!H265,"FL"),1,0)</f>
        <v>0</v>
      </c>
      <c r="AT252">
        <f>IF(EXACT(Asistencia!I265,"FL"),1,0)</f>
        <v>0</v>
      </c>
      <c r="AU252">
        <f>IF(EXACT(Asistencia!J265,"FL"),1,0)</f>
        <v>0</v>
      </c>
      <c r="AV252">
        <f>IF(EXACT(Asistencia!K265,"FL"),1,0)</f>
        <v>0</v>
      </c>
      <c r="AW252">
        <f>IF(EXACT(Asistencia!L265,"FL"),1,0)</f>
        <v>0</v>
      </c>
      <c r="AX252">
        <f t="shared" si="90"/>
        <v>0</v>
      </c>
      <c r="AY252">
        <f>IF(EXACT(Asistencia!F265,"DL"),1,0)</f>
        <v>0</v>
      </c>
      <c r="AZ252">
        <f>IF(EXACT(Asistencia!G265,"DL"),1,0)</f>
        <v>0</v>
      </c>
      <c r="BA252">
        <f>IF(EXACT(Asistencia!H265,"DL"),1,0)</f>
        <v>0</v>
      </c>
      <c r="BB252">
        <f>IF(EXACT(Asistencia!I265,"DL"),1,0)</f>
        <v>0</v>
      </c>
      <c r="BC252">
        <f>IF(EXACT(Asistencia!J265,"DL"),1,0)</f>
        <v>0</v>
      </c>
      <c r="BD252">
        <f>IF(EXACT(Asistencia!K265,"DL"),1,0)</f>
        <v>0</v>
      </c>
      <c r="BE252">
        <f>IF(EXACT(Asistencia!L265,"DL"),1,0)</f>
        <v>0</v>
      </c>
      <c r="BF252">
        <f t="shared" si="91"/>
        <v>0</v>
      </c>
      <c r="BG252">
        <f>IF(ISNUMBER(Asistencia!M265),Asistencia!M265,0)</f>
        <v>0</v>
      </c>
      <c r="BH252">
        <f>IF(ISNUMBER(Asistencia!N265),Asistencia!N265,0)</f>
        <v>0</v>
      </c>
      <c r="BI252">
        <f>IF(ISNUMBER(Asistencia!O265),Asistencia!O265,0)</f>
        <v>0</v>
      </c>
      <c r="BJ252">
        <f>IF(ISNUMBER(Asistencia!P265),Asistencia!P265,0)</f>
        <v>0</v>
      </c>
      <c r="BK252" t="str">
        <f>IF(Asistencia!F265="","",Asistencia!F265)</f>
        <v/>
      </c>
      <c r="BL252" t="str">
        <f>IF(Asistencia!G265="","",Asistencia!G265)</f>
        <v/>
      </c>
      <c r="BM252" t="str">
        <f>IF(Asistencia!H265="","",Asistencia!H265)</f>
        <v/>
      </c>
      <c r="BN252" t="str">
        <f>IF(Asistencia!I265="","",Asistencia!I265)</f>
        <v/>
      </c>
      <c r="BO252" t="str">
        <f>IF(Asistencia!J265="","",Asistencia!J265)</f>
        <v/>
      </c>
      <c r="BP252" t="str">
        <f>IF(Asistencia!K265="","",Asistencia!K265)</f>
        <v/>
      </c>
      <c r="BQ252" t="str">
        <f>IF(Asistencia!L265="","",Asistencia!L265)</f>
        <v/>
      </c>
    </row>
    <row r="253" spans="1:69" x14ac:dyDescent="0.25">
      <c r="AA253" t="str">
        <f t="shared" si="88"/>
        <v/>
      </c>
      <c r="AB253" t="str">
        <f>IF(Asistencia!A266="","",Asistencia!A266)</f>
        <v/>
      </c>
      <c r="AC253" t="str">
        <f>IF(Asistencia!A266="","",SUBSTITUTE(SUBSTITUTE(SUBSTITUTE(SUBSTITUTE(SUBSTITUTE(SUBSTITUTE(SUBSTITUTE(UPPER(TRIM(Asistencia!A266)),"Á","A"),"É","E"),"Í","I"),"Ó","O"),"Ú","U"),"Ñ","N"),"  "," "))</f>
        <v/>
      </c>
      <c r="AD253" t="str">
        <f>IF(Asistencia!E266="","",Asistencia!E266)</f>
        <v/>
      </c>
      <c r="AE253" t="str">
        <f>IF(Asistencia!D266="","",UPPER(TRIM(Asistencia!D266)))</f>
        <v/>
      </c>
      <c r="AF253" t="s">
        <v>198</v>
      </c>
      <c r="AG253">
        <f>IF(AND(AA253&lt;&gt;"",COUNTIF($AA$5:AA253,AA253)=1),1,0)</f>
        <v>0</v>
      </c>
      <c r="AH253" t="str">
        <f>IF(AG253=1,SUM($AG$5:AG253),"")</f>
        <v/>
      </c>
      <c r="AI253">
        <f>IF(OR(EXACT(Asistencia!F266,"A"),EXACT(Asistencia!F266,"R"),EXACT(Asistencia!F266,"DL"),EXACT(Asistencia!F266,"FL"),EXACT(Asistencia!F266,"FE"),EXACT(Asistencia!F266,"PCS"),EXACT(Asistencia!F266,"V")),1,0)</f>
        <v>0</v>
      </c>
      <c r="AJ253">
        <f>IF(OR(EXACT(Asistencia!G266,"A"),EXACT(Asistencia!G266,"R"),EXACT(Asistencia!G266,"DL"),EXACT(Asistencia!G266,"FL"),EXACT(Asistencia!G266,"FE"),EXACT(Asistencia!G266,"PCS"),EXACT(Asistencia!G266,"V")),1,0)</f>
        <v>0</v>
      </c>
      <c r="AK253">
        <f>IF(OR(EXACT(Asistencia!H266,"A"),EXACT(Asistencia!H266,"R"),EXACT(Asistencia!H266,"DL"),EXACT(Asistencia!H266,"FL"),EXACT(Asistencia!H266,"FE"),EXACT(Asistencia!H266,"PCS"),EXACT(Asistencia!H266,"V")),1,0)</f>
        <v>0</v>
      </c>
      <c r="AL253">
        <f>IF(OR(EXACT(Asistencia!I266,"A"),EXACT(Asistencia!I266,"R"),EXACT(Asistencia!I266,"DL"),EXACT(Asistencia!I266,"FL"),EXACT(Asistencia!I266,"FE"),EXACT(Asistencia!I266,"PCS"),EXACT(Asistencia!I266,"V")),1,0)</f>
        <v>0</v>
      </c>
      <c r="AM253">
        <f>IF(OR(EXACT(Asistencia!J266,"A"),EXACT(Asistencia!J266,"R"),EXACT(Asistencia!J266,"DL"),EXACT(Asistencia!J266,"FL"),EXACT(Asistencia!J266,"FE"),EXACT(Asistencia!J266,"PCS"),EXACT(Asistencia!J266,"V")),1,0)</f>
        <v>0</v>
      </c>
      <c r="AN253">
        <f>IF(OR(EXACT(Asistencia!K266,"A"),EXACT(Asistencia!K266,"R"),EXACT(Asistencia!K266,"DL"),EXACT(Asistencia!K266,"FL"),EXACT(Asistencia!K266,"FE"),EXACT(Asistencia!K266,"PCS"),EXACT(Asistencia!K266,"V")),1,0)</f>
        <v>0</v>
      </c>
      <c r="AO253">
        <f>IF(OR(EXACT(Asistencia!L266,"A"),EXACT(Asistencia!L266,"R"),EXACT(Asistencia!L266,"DL"),EXACT(Asistencia!L266,"FL"),EXACT(Asistencia!L266,"FE"),EXACT(Asistencia!L266,"PCS"),EXACT(Asistencia!L266,"V")),1,0)</f>
        <v>0</v>
      </c>
      <c r="AP253">
        <f t="shared" si="89"/>
        <v>0</v>
      </c>
      <c r="AQ253">
        <f>IF(EXACT(Asistencia!F266,"FL"),1,0)</f>
        <v>0</v>
      </c>
      <c r="AR253">
        <f>IF(EXACT(Asistencia!G266,"FL"),1,0)</f>
        <v>0</v>
      </c>
      <c r="AS253">
        <f>IF(EXACT(Asistencia!H266,"FL"),1,0)</f>
        <v>0</v>
      </c>
      <c r="AT253">
        <f>IF(EXACT(Asistencia!I266,"FL"),1,0)</f>
        <v>0</v>
      </c>
      <c r="AU253">
        <f>IF(EXACT(Asistencia!J266,"FL"),1,0)</f>
        <v>0</v>
      </c>
      <c r="AV253">
        <f>IF(EXACT(Asistencia!K266,"FL"),1,0)</f>
        <v>0</v>
      </c>
      <c r="AW253">
        <f>IF(EXACT(Asistencia!L266,"FL"),1,0)</f>
        <v>0</v>
      </c>
      <c r="AX253">
        <f t="shared" si="90"/>
        <v>0</v>
      </c>
      <c r="AY253">
        <f>IF(EXACT(Asistencia!F266,"DL"),1,0)</f>
        <v>0</v>
      </c>
      <c r="AZ253">
        <f>IF(EXACT(Asistencia!G266,"DL"),1,0)</f>
        <v>0</v>
      </c>
      <c r="BA253">
        <f>IF(EXACT(Asistencia!H266,"DL"),1,0)</f>
        <v>0</v>
      </c>
      <c r="BB253">
        <f>IF(EXACT(Asistencia!I266,"DL"),1,0)</f>
        <v>0</v>
      </c>
      <c r="BC253">
        <f>IF(EXACT(Asistencia!J266,"DL"),1,0)</f>
        <v>0</v>
      </c>
      <c r="BD253">
        <f>IF(EXACT(Asistencia!K266,"DL"),1,0)</f>
        <v>0</v>
      </c>
      <c r="BE253">
        <f>IF(EXACT(Asistencia!L266,"DL"),1,0)</f>
        <v>0</v>
      </c>
      <c r="BF253">
        <f t="shared" si="91"/>
        <v>0</v>
      </c>
      <c r="BG253">
        <f>IF(ISNUMBER(Asistencia!M266),Asistencia!M266,0)</f>
        <v>0</v>
      </c>
      <c r="BH253">
        <f>IF(ISNUMBER(Asistencia!N266),Asistencia!N266,0)</f>
        <v>0</v>
      </c>
      <c r="BI253">
        <f>IF(ISNUMBER(Asistencia!O266),Asistencia!O266,0)</f>
        <v>0</v>
      </c>
      <c r="BJ253">
        <f>IF(ISNUMBER(Asistencia!P266),Asistencia!P266,0)</f>
        <v>0</v>
      </c>
      <c r="BK253" t="str">
        <f>IF(Asistencia!F266="","",Asistencia!F266)</f>
        <v/>
      </c>
      <c r="BL253" t="str">
        <f>IF(Asistencia!G266="","",Asistencia!G266)</f>
        <v/>
      </c>
      <c r="BM253" t="str">
        <f>IF(Asistencia!H266="","",Asistencia!H266)</f>
        <v/>
      </c>
      <c r="BN253" t="str">
        <f>IF(Asistencia!I266="","",Asistencia!I266)</f>
        <v/>
      </c>
      <c r="BO253" t="str">
        <f>IF(Asistencia!J266="","",Asistencia!J266)</f>
        <v/>
      </c>
      <c r="BP253" t="str">
        <f>IF(Asistencia!K266="","",Asistencia!K266)</f>
        <v/>
      </c>
      <c r="BQ253" t="str">
        <f>IF(Asistencia!L266="","",Asistencia!L266)</f>
        <v/>
      </c>
    </row>
    <row r="254" spans="1:69" x14ac:dyDescent="0.25">
      <c r="AA254" t="str">
        <f t="shared" si="88"/>
        <v/>
      </c>
      <c r="AB254" t="str">
        <f>IF(Asistencia!A267="","",Asistencia!A267)</f>
        <v/>
      </c>
      <c r="AC254" t="str">
        <f>IF(Asistencia!A267="","",SUBSTITUTE(SUBSTITUTE(SUBSTITUTE(SUBSTITUTE(SUBSTITUTE(SUBSTITUTE(SUBSTITUTE(UPPER(TRIM(Asistencia!A267)),"Á","A"),"É","E"),"Í","I"),"Ó","O"),"Ú","U"),"Ñ","N"),"  "," "))</f>
        <v/>
      </c>
      <c r="AD254" t="str">
        <f>IF(Asistencia!E267="","",Asistencia!E267)</f>
        <v/>
      </c>
      <c r="AE254" t="str">
        <f>IF(Asistencia!D267="","",UPPER(TRIM(Asistencia!D267)))</f>
        <v/>
      </c>
      <c r="AF254" t="s">
        <v>198</v>
      </c>
      <c r="AG254">
        <f>IF(AND(AA254&lt;&gt;"",COUNTIF($AA$5:AA254,AA254)=1),1,0)</f>
        <v>0</v>
      </c>
      <c r="AH254" t="str">
        <f>IF(AG254=1,SUM($AG$5:AG254),"")</f>
        <v/>
      </c>
      <c r="AI254">
        <f>IF(OR(EXACT(Asistencia!F267,"A"),EXACT(Asistencia!F267,"R"),EXACT(Asistencia!F267,"DL"),EXACT(Asistencia!F267,"FL"),EXACT(Asistencia!F267,"FE"),EXACT(Asistencia!F267,"PCS"),EXACT(Asistencia!F267,"V")),1,0)</f>
        <v>0</v>
      </c>
      <c r="AJ254">
        <f>IF(OR(EXACT(Asistencia!G267,"A"),EXACT(Asistencia!G267,"R"),EXACT(Asistencia!G267,"DL"),EXACT(Asistencia!G267,"FL"),EXACT(Asistencia!G267,"FE"),EXACT(Asistencia!G267,"PCS"),EXACT(Asistencia!G267,"V")),1,0)</f>
        <v>0</v>
      </c>
      <c r="AK254">
        <f>IF(OR(EXACT(Asistencia!H267,"A"),EXACT(Asistencia!H267,"R"),EXACT(Asistencia!H267,"DL"),EXACT(Asistencia!H267,"FL"),EXACT(Asistencia!H267,"FE"),EXACT(Asistencia!H267,"PCS"),EXACT(Asistencia!H267,"V")),1,0)</f>
        <v>0</v>
      </c>
      <c r="AL254">
        <f>IF(OR(EXACT(Asistencia!I267,"A"),EXACT(Asistencia!I267,"R"),EXACT(Asistencia!I267,"DL"),EXACT(Asistencia!I267,"FL"),EXACT(Asistencia!I267,"FE"),EXACT(Asistencia!I267,"PCS"),EXACT(Asistencia!I267,"V")),1,0)</f>
        <v>0</v>
      </c>
      <c r="AM254">
        <f>IF(OR(EXACT(Asistencia!J267,"A"),EXACT(Asistencia!J267,"R"),EXACT(Asistencia!J267,"DL"),EXACT(Asistencia!J267,"FL"),EXACT(Asistencia!J267,"FE"),EXACT(Asistencia!J267,"PCS"),EXACT(Asistencia!J267,"V")),1,0)</f>
        <v>0</v>
      </c>
      <c r="AN254">
        <f>IF(OR(EXACT(Asistencia!K267,"A"),EXACT(Asistencia!K267,"R"),EXACT(Asistencia!K267,"DL"),EXACT(Asistencia!K267,"FL"),EXACT(Asistencia!K267,"FE"),EXACT(Asistencia!K267,"PCS"),EXACT(Asistencia!K267,"V")),1,0)</f>
        <v>0</v>
      </c>
      <c r="AO254">
        <f>IF(OR(EXACT(Asistencia!L267,"A"),EXACT(Asistencia!L267,"R"),EXACT(Asistencia!L267,"DL"),EXACT(Asistencia!L267,"FL"),EXACT(Asistencia!L267,"FE"),EXACT(Asistencia!L267,"PCS"),EXACT(Asistencia!L267,"V")),1,0)</f>
        <v>0</v>
      </c>
      <c r="AP254">
        <f t="shared" si="89"/>
        <v>0</v>
      </c>
      <c r="AQ254">
        <f>IF(EXACT(Asistencia!F267,"FL"),1,0)</f>
        <v>0</v>
      </c>
      <c r="AR254">
        <f>IF(EXACT(Asistencia!G267,"FL"),1,0)</f>
        <v>0</v>
      </c>
      <c r="AS254">
        <f>IF(EXACT(Asistencia!H267,"FL"),1,0)</f>
        <v>0</v>
      </c>
      <c r="AT254">
        <f>IF(EXACT(Asistencia!I267,"FL"),1,0)</f>
        <v>0</v>
      </c>
      <c r="AU254">
        <f>IF(EXACT(Asistencia!J267,"FL"),1,0)</f>
        <v>0</v>
      </c>
      <c r="AV254">
        <f>IF(EXACT(Asistencia!K267,"FL"),1,0)</f>
        <v>0</v>
      </c>
      <c r="AW254">
        <f>IF(EXACT(Asistencia!L267,"FL"),1,0)</f>
        <v>0</v>
      </c>
      <c r="AX254">
        <f t="shared" si="90"/>
        <v>0</v>
      </c>
      <c r="AY254">
        <f>IF(EXACT(Asistencia!F267,"DL"),1,0)</f>
        <v>0</v>
      </c>
      <c r="AZ254">
        <f>IF(EXACT(Asistencia!G267,"DL"),1,0)</f>
        <v>0</v>
      </c>
      <c r="BA254">
        <f>IF(EXACT(Asistencia!H267,"DL"),1,0)</f>
        <v>0</v>
      </c>
      <c r="BB254">
        <f>IF(EXACT(Asistencia!I267,"DL"),1,0)</f>
        <v>0</v>
      </c>
      <c r="BC254">
        <f>IF(EXACT(Asistencia!J267,"DL"),1,0)</f>
        <v>0</v>
      </c>
      <c r="BD254">
        <f>IF(EXACT(Asistencia!K267,"DL"),1,0)</f>
        <v>0</v>
      </c>
      <c r="BE254">
        <f>IF(EXACT(Asistencia!L267,"DL"),1,0)</f>
        <v>0</v>
      </c>
      <c r="BF254">
        <f t="shared" si="91"/>
        <v>0</v>
      </c>
      <c r="BG254">
        <f>IF(ISNUMBER(Asistencia!M267),Asistencia!M267,0)</f>
        <v>0</v>
      </c>
      <c r="BH254">
        <f>IF(ISNUMBER(Asistencia!N267),Asistencia!N267,0)</f>
        <v>0</v>
      </c>
      <c r="BI254">
        <f>IF(ISNUMBER(Asistencia!O267),Asistencia!O267,0)</f>
        <v>0</v>
      </c>
      <c r="BJ254">
        <f>IF(ISNUMBER(Asistencia!P267),Asistencia!P267,0)</f>
        <v>0</v>
      </c>
      <c r="BK254" t="str">
        <f>IF(Asistencia!F267="","",Asistencia!F267)</f>
        <v/>
      </c>
      <c r="BL254" t="str">
        <f>IF(Asistencia!G267="","",Asistencia!G267)</f>
        <v/>
      </c>
      <c r="BM254" t="str">
        <f>IF(Asistencia!H267="","",Asistencia!H267)</f>
        <v/>
      </c>
      <c r="BN254" t="str">
        <f>IF(Asistencia!I267="","",Asistencia!I267)</f>
        <v/>
      </c>
      <c r="BO254" t="str">
        <f>IF(Asistencia!J267="","",Asistencia!J267)</f>
        <v/>
      </c>
      <c r="BP254" t="str">
        <f>IF(Asistencia!K267="","",Asistencia!K267)</f>
        <v/>
      </c>
      <c r="BQ254" t="str">
        <f>IF(Asistencia!L267="","",Asistencia!L267)</f>
        <v/>
      </c>
    </row>
    <row r="255" spans="1:69" x14ac:dyDescent="0.25">
      <c r="AA255" t="str">
        <f t="shared" si="88"/>
        <v/>
      </c>
      <c r="AB255" t="str">
        <f>IF(Asistencia!A268="","",Asistencia!A268)</f>
        <v/>
      </c>
      <c r="AC255" t="str">
        <f>IF(Asistencia!A268="","",SUBSTITUTE(SUBSTITUTE(SUBSTITUTE(SUBSTITUTE(SUBSTITUTE(SUBSTITUTE(SUBSTITUTE(UPPER(TRIM(Asistencia!A268)),"Á","A"),"É","E"),"Í","I"),"Ó","O"),"Ú","U"),"Ñ","N"),"  "," "))</f>
        <v/>
      </c>
      <c r="AD255" t="str">
        <f>IF(Asistencia!E268="","",Asistencia!E268)</f>
        <v/>
      </c>
      <c r="AE255" t="str">
        <f>IF(Asistencia!D268="","",UPPER(TRIM(Asistencia!D268)))</f>
        <v/>
      </c>
      <c r="AF255" t="s">
        <v>198</v>
      </c>
      <c r="AG255">
        <f>IF(AND(AA255&lt;&gt;"",COUNTIF($AA$5:AA255,AA255)=1),1,0)</f>
        <v>0</v>
      </c>
      <c r="AH255" t="str">
        <f>IF(AG255=1,SUM($AG$5:AG255),"")</f>
        <v/>
      </c>
      <c r="AI255">
        <f>IF(OR(EXACT(Asistencia!F268,"A"),EXACT(Asistencia!F268,"R"),EXACT(Asistencia!F268,"DL"),EXACT(Asistencia!F268,"FL"),EXACT(Asistencia!F268,"FE"),EXACT(Asistencia!F268,"PCS"),EXACT(Asistencia!F268,"V")),1,0)</f>
        <v>0</v>
      </c>
      <c r="AJ255">
        <f>IF(OR(EXACT(Asistencia!G268,"A"),EXACT(Asistencia!G268,"R"),EXACT(Asistencia!G268,"DL"),EXACT(Asistencia!G268,"FL"),EXACT(Asistencia!G268,"FE"),EXACT(Asistencia!G268,"PCS"),EXACT(Asistencia!G268,"V")),1,0)</f>
        <v>0</v>
      </c>
      <c r="AK255">
        <f>IF(OR(EXACT(Asistencia!H268,"A"),EXACT(Asistencia!H268,"R"),EXACT(Asistencia!H268,"DL"),EXACT(Asistencia!H268,"FL"),EXACT(Asistencia!H268,"FE"),EXACT(Asistencia!H268,"PCS"),EXACT(Asistencia!H268,"V")),1,0)</f>
        <v>0</v>
      </c>
      <c r="AL255">
        <f>IF(OR(EXACT(Asistencia!I268,"A"),EXACT(Asistencia!I268,"R"),EXACT(Asistencia!I268,"DL"),EXACT(Asistencia!I268,"FL"),EXACT(Asistencia!I268,"FE"),EXACT(Asistencia!I268,"PCS"),EXACT(Asistencia!I268,"V")),1,0)</f>
        <v>0</v>
      </c>
      <c r="AM255">
        <f>IF(OR(EXACT(Asistencia!J268,"A"),EXACT(Asistencia!J268,"R"),EXACT(Asistencia!J268,"DL"),EXACT(Asistencia!J268,"FL"),EXACT(Asistencia!J268,"FE"),EXACT(Asistencia!J268,"PCS"),EXACT(Asistencia!J268,"V")),1,0)</f>
        <v>0</v>
      </c>
      <c r="AN255">
        <f>IF(OR(EXACT(Asistencia!K268,"A"),EXACT(Asistencia!K268,"R"),EXACT(Asistencia!K268,"DL"),EXACT(Asistencia!K268,"FL"),EXACT(Asistencia!K268,"FE"),EXACT(Asistencia!K268,"PCS"),EXACT(Asistencia!K268,"V")),1,0)</f>
        <v>0</v>
      </c>
      <c r="AO255">
        <f>IF(OR(EXACT(Asistencia!L268,"A"),EXACT(Asistencia!L268,"R"),EXACT(Asistencia!L268,"DL"),EXACT(Asistencia!L268,"FL"),EXACT(Asistencia!L268,"FE"),EXACT(Asistencia!L268,"PCS"),EXACT(Asistencia!L268,"V")),1,0)</f>
        <v>0</v>
      </c>
      <c r="AP255">
        <f t="shared" si="89"/>
        <v>0</v>
      </c>
      <c r="AQ255">
        <f>IF(EXACT(Asistencia!F268,"FL"),1,0)</f>
        <v>0</v>
      </c>
      <c r="AR255">
        <f>IF(EXACT(Asistencia!G268,"FL"),1,0)</f>
        <v>0</v>
      </c>
      <c r="AS255">
        <f>IF(EXACT(Asistencia!H268,"FL"),1,0)</f>
        <v>0</v>
      </c>
      <c r="AT255">
        <f>IF(EXACT(Asistencia!I268,"FL"),1,0)</f>
        <v>0</v>
      </c>
      <c r="AU255">
        <f>IF(EXACT(Asistencia!J268,"FL"),1,0)</f>
        <v>0</v>
      </c>
      <c r="AV255">
        <f>IF(EXACT(Asistencia!K268,"FL"),1,0)</f>
        <v>0</v>
      </c>
      <c r="AW255">
        <f>IF(EXACT(Asistencia!L268,"FL"),1,0)</f>
        <v>0</v>
      </c>
      <c r="AX255">
        <f t="shared" si="90"/>
        <v>0</v>
      </c>
      <c r="AY255">
        <f>IF(EXACT(Asistencia!F268,"DL"),1,0)</f>
        <v>0</v>
      </c>
      <c r="AZ255">
        <f>IF(EXACT(Asistencia!G268,"DL"),1,0)</f>
        <v>0</v>
      </c>
      <c r="BA255">
        <f>IF(EXACT(Asistencia!H268,"DL"),1,0)</f>
        <v>0</v>
      </c>
      <c r="BB255">
        <f>IF(EXACT(Asistencia!I268,"DL"),1,0)</f>
        <v>0</v>
      </c>
      <c r="BC255">
        <f>IF(EXACT(Asistencia!J268,"DL"),1,0)</f>
        <v>0</v>
      </c>
      <c r="BD255">
        <f>IF(EXACT(Asistencia!K268,"DL"),1,0)</f>
        <v>0</v>
      </c>
      <c r="BE255">
        <f>IF(EXACT(Asistencia!L268,"DL"),1,0)</f>
        <v>0</v>
      </c>
      <c r="BF255">
        <f t="shared" si="91"/>
        <v>0</v>
      </c>
      <c r="BG255">
        <f>IF(ISNUMBER(Asistencia!M268),Asistencia!M268,0)</f>
        <v>0</v>
      </c>
      <c r="BH255">
        <f>IF(ISNUMBER(Asistencia!N268),Asistencia!N268,0)</f>
        <v>0</v>
      </c>
      <c r="BI255">
        <f>IF(ISNUMBER(Asistencia!O268),Asistencia!O268,0)</f>
        <v>0</v>
      </c>
      <c r="BJ255">
        <f>IF(ISNUMBER(Asistencia!P268),Asistencia!P268,0)</f>
        <v>0</v>
      </c>
      <c r="BK255" t="str">
        <f>IF(Asistencia!F268="","",Asistencia!F268)</f>
        <v/>
      </c>
      <c r="BL255" t="str">
        <f>IF(Asistencia!G268="","",Asistencia!G268)</f>
        <v/>
      </c>
      <c r="BM255" t="str">
        <f>IF(Asistencia!H268="","",Asistencia!H268)</f>
        <v/>
      </c>
      <c r="BN255" t="str">
        <f>IF(Asistencia!I268="","",Asistencia!I268)</f>
        <v/>
      </c>
      <c r="BO255" t="str">
        <f>IF(Asistencia!J268="","",Asistencia!J268)</f>
        <v/>
      </c>
      <c r="BP255" t="str">
        <f>IF(Asistencia!K268="","",Asistencia!K268)</f>
        <v/>
      </c>
      <c r="BQ255" t="str">
        <f>IF(Asistencia!L268="","",Asistencia!L268)</f>
        <v/>
      </c>
    </row>
    <row r="256" spans="1:69" x14ac:dyDescent="0.25">
      <c r="AA256" t="str">
        <f t="shared" si="88"/>
        <v/>
      </c>
      <c r="AB256" t="str">
        <f>IF(Asistencia!A269="","",Asistencia!A269)</f>
        <v/>
      </c>
      <c r="AC256" t="str">
        <f>IF(Asistencia!A269="","",SUBSTITUTE(SUBSTITUTE(SUBSTITUTE(SUBSTITUTE(SUBSTITUTE(SUBSTITUTE(SUBSTITUTE(UPPER(TRIM(Asistencia!A269)),"Á","A"),"É","E"),"Í","I"),"Ó","O"),"Ú","U"),"Ñ","N"),"  "," "))</f>
        <v/>
      </c>
      <c r="AD256" t="str">
        <f>IF(Asistencia!E269="","",Asistencia!E269)</f>
        <v/>
      </c>
      <c r="AE256" t="str">
        <f>IF(Asistencia!D269="","",UPPER(TRIM(Asistencia!D269)))</f>
        <v/>
      </c>
      <c r="AF256" t="s">
        <v>198</v>
      </c>
      <c r="AG256">
        <f>IF(AND(AA256&lt;&gt;"",COUNTIF($AA$5:AA256,AA256)=1),1,0)</f>
        <v>0</v>
      </c>
      <c r="AH256" t="str">
        <f>IF(AG256=1,SUM($AG$5:AG256),"")</f>
        <v/>
      </c>
      <c r="AI256">
        <f>IF(OR(EXACT(Asistencia!F269,"A"),EXACT(Asistencia!F269,"R"),EXACT(Asistencia!F269,"DL"),EXACT(Asistencia!F269,"FL"),EXACT(Asistencia!F269,"FE"),EXACT(Asistencia!F269,"PCS"),EXACT(Asistencia!F269,"V")),1,0)</f>
        <v>0</v>
      </c>
      <c r="AJ256">
        <f>IF(OR(EXACT(Asistencia!G269,"A"),EXACT(Asistencia!G269,"R"),EXACT(Asistencia!G269,"DL"),EXACT(Asistencia!G269,"FL"),EXACT(Asistencia!G269,"FE"),EXACT(Asistencia!G269,"PCS"),EXACT(Asistencia!G269,"V")),1,0)</f>
        <v>0</v>
      </c>
      <c r="AK256">
        <f>IF(OR(EXACT(Asistencia!H269,"A"),EXACT(Asistencia!H269,"R"),EXACT(Asistencia!H269,"DL"),EXACT(Asistencia!H269,"FL"),EXACT(Asistencia!H269,"FE"),EXACT(Asistencia!H269,"PCS"),EXACT(Asistencia!H269,"V")),1,0)</f>
        <v>0</v>
      </c>
      <c r="AL256">
        <f>IF(OR(EXACT(Asistencia!I269,"A"),EXACT(Asistencia!I269,"R"),EXACT(Asistencia!I269,"DL"),EXACT(Asistencia!I269,"FL"),EXACT(Asistencia!I269,"FE"),EXACT(Asistencia!I269,"PCS"),EXACT(Asistencia!I269,"V")),1,0)</f>
        <v>0</v>
      </c>
      <c r="AM256">
        <f>IF(OR(EXACT(Asistencia!J269,"A"),EXACT(Asistencia!J269,"R"),EXACT(Asistencia!J269,"DL"),EXACT(Asistencia!J269,"FL"),EXACT(Asistencia!J269,"FE"),EXACT(Asistencia!J269,"PCS"),EXACT(Asistencia!J269,"V")),1,0)</f>
        <v>0</v>
      </c>
      <c r="AN256">
        <f>IF(OR(EXACT(Asistencia!K269,"A"),EXACT(Asistencia!K269,"R"),EXACT(Asistencia!K269,"DL"),EXACT(Asistencia!K269,"FL"),EXACT(Asistencia!K269,"FE"),EXACT(Asistencia!K269,"PCS"),EXACT(Asistencia!K269,"V")),1,0)</f>
        <v>0</v>
      </c>
      <c r="AO256">
        <f>IF(OR(EXACT(Asistencia!L269,"A"),EXACT(Asistencia!L269,"R"),EXACT(Asistencia!L269,"DL"),EXACT(Asistencia!L269,"FL"),EXACT(Asistencia!L269,"FE"),EXACT(Asistencia!L269,"PCS"),EXACT(Asistencia!L269,"V")),1,0)</f>
        <v>0</v>
      </c>
      <c r="AP256">
        <f t="shared" si="89"/>
        <v>0</v>
      </c>
      <c r="AQ256">
        <f>IF(EXACT(Asistencia!F269,"FL"),1,0)</f>
        <v>0</v>
      </c>
      <c r="AR256">
        <f>IF(EXACT(Asistencia!G269,"FL"),1,0)</f>
        <v>0</v>
      </c>
      <c r="AS256">
        <f>IF(EXACT(Asistencia!H269,"FL"),1,0)</f>
        <v>0</v>
      </c>
      <c r="AT256">
        <f>IF(EXACT(Asistencia!I269,"FL"),1,0)</f>
        <v>0</v>
      </c>
      <c r="AU256">
        <f>IF(EXACT(Asistencia!J269,"FL"),1,0)</f>
        <v>0</v>
      </c>
      <c r="AV256">
        <f>IF(EXACT(Asistencia!K269,"FL"),1,0)</f>
        <v>0</v>
      </c>
      <c r="AW256">
        <f>IF(EXACT(Asistencia!L269,"FL"),1,0)</f>
        <v>0</v>
      </c>
      <c r="AX256">
        <f t="shared" si="90"/>
        <v>0</v>
      </c>
      <c r="AY256">
        <f>IF(EXACT(Asistencia!F269,"DL"),1,0)</f>
        <v>0</v>
      </c>
      <c r="AZ256">
        <f>IF(EXACT(Asistencia!G269,"DL"),1,0)</f>
        <v>0</v>
      </c>
      <c r="BA256">
        <f>IF(EXACT(Asistencia!H269,"DL"),1,0)</f>
        <v>0</v>
      </c>
      <c r="BB256">
        <f>IF(EXACT(Asistencia!I269,"DL"),1,0)</f>
        <v>0</v>
      </c>
      <c r="BC256">
        <f>IF(EXACT(Asistencia!J269,"DL"),1,0)</f>
        <v>0</v>
      </c>
      <c r="BD256">
        <f>IF(EXACT(Asistencia!K269,"DL"),1,0)</f>
        <v>0</v>
      </c>
      <c r="BE256">
        <f>IF(EXACT(Asistencia!L269,"DL"),1,0)</f>
        <v>0</v>
      </c>
      <c r="BF256">
        <f t="shared" si="91"/>
        <v>0</v>
      </c>
      <c r="BG256">
        <f>IF(ISNUMBER(Asistencia!M269),Asistencia!M269,0)</f>
        <v>0</v>
      </c>
      <c r="BH256">
        <f>IF(ISNUMBER(Asistencia!N269),Asistencia!N269,0)</f>
        <v>0</v>
      </c>
      <c r="BI256">
        <f>IF(ISNUMBER(Asistencia!O269),Asistencia!O269,0)</f>
        <v>0</v>
      </c>
      <c r="BJ256">
        <f>IF(ISNUMBER(Asistencia!P269),Asistencia!P269,0)</f>
        <v>0</v>
      </c>
      <c r="BK256" t="str">
        <f>IF(Asistencia!F269="","",Asistencia!F269)</f>
        <v/>
      </c>
      <c r="BL256" t="str">
        <f>IF(Asistencia!G269="","",Asistencia!G269)</f>
        <v/>
      </c>
      <c r="BM256" t="str">
        <f>IF(Asistencia!H269="","",Asistencia!H269)</f>
        <v/>
      </c>
      <c r="BN256" t="str">
        <f>IF(Asistencia!I269="","",Asistencia!I269)</f>
        <v/>
      </c>
      <c r="BO256" t="str">
        <f>IF(Asistencia!J269="","",Asistencia!J269)</f>
        <v/>
      </c>
      <c r="BP256" t="str">
        <f>IF(Asistencia!K269="","",Asistencia!K269)</f>
        <v/>
      </c>
      <c r="BQ256" t="str">
        <f>IF(Asistencia!L269="","",Asistencia!L269)</f>
        <v/>
      </c>
    </row>
    <row r="257" spans="27:69" x14ac:dyDescent="0.25">
      <c r="AA257" t="str">
        <f t="shared" si="88"/>
        <v/>
      </c>
      <c r="AB257" t="str">
        <f>IF(Asistencia!A270="","",Asistencia!A270)</f>
        <v/>
      </c>
      <c r="AC257" t="str">
        <f>IF(Asistencia!A270="","",SUBSTITUTE(SUBSTITUTE(SUBSTITUTE(SUBSTITUTE(SUBSTITUTE(SUBSTITUTE(SUBSTITUTE(UPPER(TRIM(Asistencia!A270)),"Á","A"),"É","E"),"Í","I"),"Ó","O"),"Ú","U"),"Ñ","N"),"  "," "))</f>
        <v/>
      </c>
      <c r="AD257" t="str">
        <f>IF(Asistencia!E270="","",Asistencia!E270)</f>
        <v/>
      </c>
      <c r="AE257" t="str">
        <f>IF(Asistencia!D270="","",UPPER(TRIM(Asistencia!D270)))</f>
        <v/>
      </c>
      <c r="AF257" t="s">
        <v>198</v>
      </c>
      <c r="AG257">
        <f>IF(AND(AA257&lt;&gt;"",COUNTIF($AA$5:AA257,AA257)=1),1,0)</f>
        <v>0</v>
      </c>
      <c r="AH257" t="str">
        <f>IF(AG257=1,SUM($AG$5:AG257),"")</f>
        <v/>
      </c>
      <c r="AI257">
        <f>IF(OR(EXACT(Asistencia!F270,"A"),EXACT(Asistencia!F270,"R"),EXACT(Asistencia!F270,"DL"),EXACT(Asistencia!F270,"FL"),EXACT(Asistencia!F270,"FE"),EXACT(Asistencia!F270,"PCS"),EXACT(Asistencia!F270,"V")),1,0)</f>
        <v>0</v>
      </c>
      <c r="AJ257">
        <f>IF(OR(EXACT(Asistencia!G270,"A"),EXACT(Asistencia!G270,"R"),EXACT(Asistencia!G270,"DL"),EXACT(Asistencia!G270,"FL"),EXACT(Asistencia!G270,"FE"),EXACT(Asistencia!G270,"PCS"),EXACT(Asistencia!G270,"V")),1,0)</f>
        <v>0</v>
      </c>
      <c r="AK257">
        <f>IF(OR(EXACT(Asistencia!H270,"A"),EXACT(Asistencia!H270,"R"),EXACT(Asistencia!H270,"DL"),EXACT(Asistencia!H270,"FL"),EXACT(Asistencia!H270,"FE"),EXACT(Asistencia!H270,"PCS"),EXACT(Asistencia!H270,"V")),1,0)</f>
        <v>0</v>
      </c>
      <c r="AL257">
        <f>IF(OR(EXACT(Asistencia!I270,"A"),EXACT(Asistencia!I270,"R"),EXACT(Asistencia!I270,"DL"),EXACT(Asistencia!I270,"FL"),EXACT(Asistencia!I270,"FE"),EXACT(Asistencia!I270,"PCS"),EXACT(Asistencia!I270,"V")),1,0)</f>
        <v>0</v>
      </c>
      <c r="AM257">
        <f>IF(OR(EXACT(Asistencia!J270,"A"),EXACT(Asistencia!J270,"R"),EXACT(Asistencia!J270,"DL"),EXACT(Asistencia!J270,"FL"),EXACT(Asistencia!J270,"FE"),EXACT(Asistencia!J270,"PCS"),EXACT(Asistencia!J270,"V")),1,0)</f>
        <v>0</v>
      </c>
      <c r="AN257">
        <f>IF(OR(EXACT(Asistencia!K270,"A"),EXACT(Asistencia!K270,"R"),EXACT(Asistencia!K270,"DL"),EXACT(Asistencia!K270,"FL"),EXACT(Asistencia!K270,"FE"),EXACT(Asistencia!K270,"PCS"),EXACT(Asistencia!K270,"V")),1,0)</f>
        <v>0</v>
      </c>
      <c r="AO257">
        <f>IF(OR(EXACT(Asistencia!L270,"A"),EXACT(Asistencia!L270,"R"),EXACT(Asistencia!L270,"DL"),EXACT(Asistencia!L270,"FL"),EXACT(Asistencia!L270,"FE"),EXACT(Asistencia!L270,"PCS"),EXACT(Asistencia!L270,"V")),1,0)</f>
        <v>0</v>
      </c>
      <c r="AP257">
        <f t="shared" si="89"/>
        <v>0</v>
      </c>
      <c r="AQ257">
        <f>IF(EXACT(Asistencia!F270,"FL"),1,0)</f>
        <v>0</v>
      </c>
      <c r="AR257">
        <f>IF(EXACT(Asistencia!G270,"FL"),1,0)</f>
        <v>0</v>
      </c>
      <c r="AS257">
        <f>IF(EXACT(Asistencia!H270,"FL"),1,0)</f>
        <v>0</v>
      </c>
      <c r="AT257">
        <f>IF(EXACT(Asistencia!I270,"FL"),1,0)</f>
        <v>0</v>
      </c>
      <c r="AU257">
        <f>IF(EXACT(Asistencia!J270,"FL"),1,0)</f>
        <v>0</v>
      </c>
      <c r="AV257">
        <f>IF(EXACT(Asistencia!K270,"FL"),1,0)</f>
        <v>0</v>
      </c>
      <c r="AW257">
        <f>IF(EXACT(Asistencia!L270,"FL"),1,0)</f>
        <v>0</v>
      </c>
      <c r="AX257">
        <f t="shared" si="90"/>
        <v>0</v>
      </c>
      <c r="AY257">
        <f>IF(EXACT(Asistencia!F270,"DL"),1,0)</f>
        <v>0</v>
      </c>
      <c r="AZ257">
        <f>IF(EXACT(Asistencia!G270,"DL"),1,0)</f>
        <v>0</v>
      </c>
      <c r="BA257">
        <f>IF(EXACT(Asistencia!H270,"DL"),1,0)</f>
        <v>0</v>
      </c>
      <c r="BB257">
        <f>IF(EXACT(Asistencia!I270,"DL"),1,0)</f>
        <v>0</v>
      </c>
      <c r="BC257">
        <f>IF(EXACT(Asistencia!J270,"DL"),1,0)</f>
        <v>0</v>
      </c>
      <c r="BD257">
        <f>IF(EXACT(Asistencia!K270,"DL"),1,0)</f>
        <v>0</v>
      </c>
      <c r="BE257">
        <f>IF(EXACT(Asistencia!L270,"DL"),1,0)</f>
        <v>0</v>
      </c>
      <c r="BF257">
        <f t="shared" si="91"/>
        <v>0</v>
      </c>
      <c r="BG257">
        <f>IF(ISNUMBER(Asistencia!M270),Asistencia!M270,0)</f>
        <v>0</v>
      </c>
      <c r="BH257">
        <f>IF(ISNUMBER(Asistencia!N270),Asistencia!N270,0)</f>
        <v>0</v>
      </c>
      <c r="BI257">
        <f>IF(ISNUMBER(Asistencia!O270),Asistencia!O270,0)</f>
        <v>0</v>
      </c>
      <c r="BJ257">
        <f>IF(ISNUMBER(Asistencia!P270),Asistencia!P270,0)</f>
        <v>0</v>
      </c>
      <c r="BK257" t="str">
        <f>IF(Asistencia!F270="","",Asistencia!F270)</f>
        <v/>
      </c>
      <c r="BL257" t="str">
        <f>IF(Asistencia!G270="","",Asistencia!G270)</f>
        <v/>
      </c>
      <c r="BM257" t="str">
        <f>IF(Asistencia!H270="","",Asistencia!H270)</f>
        <v/>
      </c>
      <c r="BN257" t="str">
        <f>IF(Asistencia!I270="","",Asistencia!I270)</f>
        <v/>
      </c>
      <c r="BO257" t="str">
        <f>IF(Asistencia!J270="","",Asistencia!J270)</f>
        <v/>
      </c>
      <c r="BP257" t="str">
        <f>IF(Asistencia!K270="","",Asistencia!K270)</f>
        <v/>
      </c>
      <c r="BQ257" t="str">
        <f>IF(Asistencia!L270="","",Asistencia!L270)</f>
        <v/>
      </c>
    </row>
    <row r="258" spans="27:69" x14ac:dyDescent="0.25">
      <c r="AA258" t="str">
        <f t="shared" si="88"/>
        <v/>
      </c>
      <c r="AB258" t="str">
        <f>IF(Asistencia!A271="","",Asistencia!A271)</f>
        <v/>
      </c>
      <c r="AC258" t="str">
        <f>IF(Asistencia!A271="","",SUBSTITUTE(SUBSTITUTE(SUBSTITUTE(SUBSTITUTE(SUBSTITUTE(SUBSTITUTE(SUBSTITUTE(UPPER(TRIM(Asistencia!A271)),"Á","A"),"É","E"),"Í","I"),"Ó","O"),"Ú","U"),"Ñ","N"),"  "," "))</f>
        <v/>
      </c>
      <c r="AD258" t="str">
        <f>IF(Asistencia!E271="","",Asistencia!E271)</f>
        <v/>
      </c>
      <c r="AE258" t="str">
        <f>IF(Asistencia!D271="","",UPPER(TRIM(Asistencia!D271)))</f>
        <v/>
      </c>
      <c r="AF258" t="s">
        <v>198</v>
      </c>
      <c r="AG258">
        <f>IF(AND(AA258&lt;&gt;"",COUNTIF($AA$5:AA258,AA258)=1),1,0)</f>
        <v>0</v>
      </c>
      <c r="AH258" t="str">
        <f>IF(AG258=1,SUM($AG$5:AG258),"")</f>
        <v/>
      </c>
      <c r="AI258">
        <f>IF(OR(EXACT(Asistencia!F271,"A"),EXACT(Asistencia!F271,"R"),EXACT(Asistencia!F271,"DL"),EXACT(Asistencia!F271,"FL"),EXACT(Asistencia!F271,"FE"),EXACT(Asistencia!F271,"PCS"),EXACT(Asistencia!F271,"V")),1,0)</f>
        <v>0</v>
      </c>
      <c r="AJ258">
        <f>IF(OR(EXACT(Asistencia!G271,"A"),EXACT(Asistencia!G271,"R"),EXACT(Asistencia!G271,"DL"),EXACT(Asistencia!G271,"FL"),EXACT(Asistencia!G271,"FE"),EXACT(Asistencia!G271,"PCS"),EXACT(Asistencia!G271,"V")),1,0)</f>
        <v>0</v>
      </c>
      <c r="AK258">
        <f>IF(OR(EXACT(Asistencia!H271,"A"),EXACT(Asistencia!H271,"R"),EXACT(Asistencia!H271,"DL"),EXACT(Asistencia!H271,"FL"),EXACT(Asistencia!H271,"FE"),EXACT(Asistencia!H271,"PCS"),EXACT(Asistencia!H271,"V")),1,0)</f>
        <v>0</v>
      </c>
      <c r="AL258">
        <f>IF(OR(EXACT(Asistencia!I271,"A"),EXACT(Asistencia!I271,"R"),EXACT(Asistencia!I271,"DL"),EXACT(Asistencia!I271,"FL"),EXACT(Asistencia!I271,"FE"),EXACT(Asistencia!I271,"PCS"),EXACT(Asistencia!I271,"V")),1,0)</f>
        <v>0</v>
      </c>
      <c r="AM258">
        <f>IF(OR(EXACT(Asistencia!J271,"A"),EXACT(Asistencia!J271,"R"),EXACT(Asistencia!J271,"DL"),EXACT(Asistencia!J271,"FL"),EXACT(Asistencia!J271,"FE"),EXACT(Asistencia!J271,"PCS"),EXACT(Asistencia!J271,"V")),1,0)</f>
        <v>0</v>
      </c>
      <c r="AN258">
        <f>IF(OR(EXACT(Asistencia!K271,"A"),EXACT(Asistencia!K271,"R"),EXACT(Asistencia!K271,"DL"),EXACT(Asistencia!K271,"FL"),EXACT(Asistencia!K271,"FE"),EXACT(Asistencia!K271,"PCS"),EXACT(Asistencia!K271,"V")),1,0)</f>
        <v>0</v>
      </c>
      <c r="AO258">
        <f>IF(OR(EXACT(Asistencia!L271,"A"),EXACT(Asistencia!L271,"R"),EXACT(Asistencia!L271,"DL"),EXACT(Asistencia!L271,"FL"),EXACT(Asistencia!L271,"FE"),EXACT(Asistencia!L271,"PCS"),EXACT(Asistencia!L271,"V")),1,0)</f>
        <v>0</v>
      </c>
      <c r="AP258">
        <f t="shared" si="89"/>
        <v>0</v>
      </c>
      <c r="AQ258">
        <f>IF(EXACT(Asistencia!F271,"FL"),1,0)</f>
        <v>0</v>
      </c>
      <c r="AR258">
        <f>IF(EXACT(Asistencia!G271,"FL"),1,0)</f>
        <v>0</v>
      </c>
      <c r="AS258">
        <f>IF(EXACT(Asistencia!H271,"FL"),1,0)</f>
        <v>0</v>
      </c>
      <c r="AT258">
        <f>IF(EXACT(Asistencia!I271,"FL"),1,0)</f>
        <v>0</v>
      </c>
      <c r="AU258">
        <f>IF(EXACT(Asistencia!J271,"FL"),1,0)</f>
        <v>0</v>
      </c>
      <c r="AV258">
        <f>IF(EXACT(Asistencia!K271,"FL"),1,0)</f>
        <v>0</v>
      </c>
      <c r="AW258">
        <f>IF(EXACT(Asistencia!L271,"FL"),1,0)</f>
        <v>0</v>
      </c>
      <c r="AX258">
        <f t="shared" si="90"/>
        <v>0</v>
      </c>
      <c r="AY258">
        <f>IF(EXACT(Asistencia!F271,"DL"),1,0)</f>
        <v>0</v>
      </c>
      <c r="AZ258">
        <f>IF(EXACT(Asistencia!G271,"DL"),1,0)</f>
        <v>0</v>
      </c>
      <c r="BA258">
        <f>IF(EXACT(Asistencia!H271,"DL"),1,0)</f>
        <v>0</v>
      </c>
      <c r="BB258">
        <f>IF(EXACT(Asistencia!I271,"DL"),1,0)</f>
        <v>0</v>
      </c>
      <c r="BC258">
        <f>IF(EXACT(Asistencia!J271,"DL"),1,0)</f>
        <v>0</v>
      </c>
      <c r="BD258">
        <f>IF(EXACT(Asistencia!K271,"DL"),1,0)</f>
        <v>0</v>
      </c>
      <c r="BE258">
        <f>IF(EXACT(Asistencia!L271,"DL"),1,0)</f>
        <v>0</v>
      </c>
      <c r="BF258">
        <f t="shared" si="91"/>
        <v>0</v>
      </c>
      <c r="BG258">
        <f>IF(ISNUMBER(Asistencia!M271),Asistencia!M271,0)</f>
        <v>0</v>
      </c>
      <c r="BH258">
        <f>IF(ISNUMBER(Asistencia!N271),Asistencia!N271,0)</f>
        <v>0</v>
      </c>
      <c r="BI258">
        <f>IF(ISNUMBER(Asistencia!O271),Asistencia!O271,0)</f>
        <v>0</v>
      </c>
      <c r="BJ258">
        <f>IF(ISNUMBER(Asistencia!P271),Asistencia!P271,0)</f>
        <v>0</v>
      </c>
      <c r="BK258" t="str">
        <f>IF(Asistencia!F271="","",Asistencia!F271)</f>
        <v/>
      </c>
      <c r="BL258" t="str">
        <f>IF(Asistencia!G271="","",Asistencia!G271)</f>
        <v/>
      </c>
      <c r="BM258" t="str">
        <f>IF(Asistencia!H271="","",Asistencia!H271)</f>
        <v/>
      </c>
      <c r="BN258" t="str">
        <f>IF(Asistencia!I271="","",Asistencia!I271)</f>
        <v/>
      </c>
      <c r="BO258" t="str">
        <f>IF(Asistencia!J271="","",Asistencia!J271)</f>
        <v/>
      </c>
      <c r="BP258" t="str">
        <f>IF(Asistencia!K271="","",Asistencia!K271)</f>
        <v/>
      </c>
      <c r="BQ258" t="str">
        <f>IF(Asistencia!L271="","",Asistencia!L271)</f>
        <v/>
      </c>
    </row>
    <row r="259" spans="27:69" x14ac:dyDescent="0.25">
      <c r="AA259" t="str">
        <f t="shared" si="88"/>
        <v/>
      </c>
      <c r="AB259" t="str">
        <f>IF(Asistencia!A272="","",Asistencia!A272)</f>
        <v/>
      </c>
      <c r="AC259" t="str">
        <f>IF(Asistencia!A272="","",SUBSTITUTE(SUBSTITUTE(SUBSTITUTE(SUBSTITUTE(SUBSTITUTE(SUBSTITUTE(SUBSTITUTE(UPPER(TRIM(Asistencia!A272)),"Á","A"),"É","E"),"Í","I"),"Ó","O"),"Ú","U"),"Ñ","N"),"  "," "))</f>
        <v/>
      </c>
      <c r="AD259" t="str">
        <f>IF(Asistencia!E272="","",Asistencia!E272)</f>
        <v/>
      </c>
      <c r="AE259" t="str">
        <f>IF(Asistencia!D272="","",UPPER(TRIM(Asistencia!D272)))</f>
        <v/>
      </c>
      <c r="AF259" t="s">
        <v>198</v>
      </c>
      <c r="AG259">
        <f>IF(AND(AA259&lt;&gt;"",COUNTIF($AA$5:AA259,AA259)=1),1,0)</f>
        <v>0</v>
      </c>
      <c r="AH259" t="str">
        <f>IF(AG259=1,SUM($AG$5:AG259),"")</f>
        <v/>
      </c>
      <c r="AI259">
        <f>IF(OR(EXACT(Asistencia!F272,"A"),EXACT(Asistencia!F272,"R"),EXACT(Asistencia!F272,"DL"),EXACT(Asistencia!F272,"FL"),EXACT(Asistencia!F272,"FE"),EXACT(Asistencia!F272,"PCS"),EXACT(Asistencia!F272,"V")),1,0)</f>
        <v>0</v>
      </c>
      <c r="AJ259">
        <f>IF(OR(EXACT(Asistencia!G272,"A"),EXACT(Asistencia!G272,"R"),EXACT(Asistencia!G272,"DL"),EXACT(Asistencia!G272,"FL"),EXACT(Asistencia!G272,"FE"),EXACT(Asistencia!G272,"PCS"),EXACT(Asistencia!G272,"V")),1,0)</f>
        <v>0</v>
      </c>
      <c r="AK259">
        <f>IF(OR(EXACT(Asistencia!H272,"A"),EXACT(Asistencia!H272,"R"),EXACT(Asistencia!H272,"DL"),EXACT(Asistencia!H272,"FL"),EXACT(Asistencia!H272,"FE"),EXACT(Asistencia!H272,"PCS"),EXACT(Asistencia!H272,"V")),1,0)</f>
        <v>0</v>
      </c>
      <c r="AL259">
        <f>IF(OR(EXACT(Asistencia!I272,"A"),EXACT(Asistencia!I272,"R"),EXACT(Asistencia!I272,"DL"),EXACT(Asistencia!I272,"FL"),EXACT(Asistencia!I272,"FE"),EXACT(Asistencia!I272,"PCS"),EXACT(Asistencia!I272,"V")),1,0)</f>
        <v>0</v>
      </c>
      <c r="AM259">
        <f>IF(OR(EXACT(Asistencia!J272,"A"),EXACT(Asistencia!J272,"R"),EXACT(Asistencia!J272,"DL"),EXACT(Asistencia!J272,"FL"),EXACT(Asistencia!J272,"FE"),EXACT(Asistencia!J272,"PCS"),EXACT(Asistencia!J272,"V")),1,0)</f>
        <v>0</v>
      </c>
      <c r="AN259">
        <f>IF(OR(EXACT(Asistencia!K272,"A"),EXACT(Asistencia!K272,"R"),EXACT(Asistencia!K272,"DL"),EXACT(Asistencia!K272,"FL"),EXACT(Asistencia!K272,"FE"),EXACT(Asistencia!K272,"PCS"),EXACT(Asistencia!K272,"V")),1,0)</f>
        <v>0</v>
      </c>
      <c r="AO259">
        <f>IF(OR(EXACT(Asistencia!L272,"A"),EXACT(Asistencia!L272,"R"),EXACT(Asistencia!L272,"DL"),EXACT(Asistencia!L272,"FL"),EXACT(Asistencia!L272,"FE"),EXACT(Asistencia!L272,"PCS"),EXACT(Asistencia!L272,"V")),1,0)</f>
        <v>0</v>
      </c>
      <c r="AP259">
        <f t="shared" si="89"/>
        <v>0</v>
      </c>
      <c r="AQ259">
        <f>IF(EXACT(Asistencia!F272,"FL"),1,0)</f>
        <v>0</v>
      </c>
      <c r="AR259">
        <f>IF(EXACT(Asistencia!G272,"FL"),1,0)</f>
        <v>0</v>
      </c>
      <c r="AS259">
        <f>IF(EXACT(Asistencia!H272,"FL"),1,0)</f>
        <v>0</v>
      </c>
      <c r="AT259">
        <f>IF(EXACT(Asistencia!I272,"FL"),1,0)</f>
        <v>0</v>
      </c>
      <c r="AU259">
        <f>IF(EXACT(Asistencia!J272,"FL"),1,0)</f>
        <v>0</v>
      </c>
      <c r="AV259">
        <f>IF(EXACT(Asistencia!K272,"FL"),1,0)</f>
        <v>0</v>
      </c>
      <c r="AW259">
        <f>IF(EXACT(Asistencia!L272,"FL"),1,0)</f>
        <v>0</v>
      </c>
      <c r="AX259">
        <f t="shared" si="90"/>
        <v>0</v>
      </c>
      <c r="AY259">
        <f>IF(EXACT(Asistencia!F272,"DL"),1,0)</f>
        <v>0</v>
      </c>
      <c r="AZ259">
        <f>IF(EXACT(Asistencia!G272,"DL"),1,0)</f>
        <v>0</v>
      </c>
      <c r="BA259">
        <f>IF(EXACT(Asistencia!H272,"DL"),1,0)</f>
        <v>0</v>
      </c>
      <c r="BB259">
        <f>IF(EXACT(Asistencia!I272,"DL"),1,0)</f>
        <v>0</v>
      </c>
      <c r="BC259">
        <f>IF(EXACT(Asistencia!J272,"DL"),1,0)</f>
        <v>0</v>
      </c>
      <c r="BD259">
        <f>IF(EXACT(Asistencia!K272,"DL"),1,0)</f>
        <v>0</v>
      </c>
      <c r="BE259">
        <f>IF(EXACT(Asistencia!L272,"DL"),1,0)</f>
        <v>0</v>
      </c>
      <c r="BF259">
        <f t="shared" si="91"/>
        <v>0</v>
      </c>
      <c r="BG259">
        <f>IF(ISNUMBER(Asistencia!M272),Asistencia!M272,0)</f>
        <v>0</v>
      </c>
      <c r="BH259">
        <f>IF(ISNUMBER(Asistencia!N272),Asistencia!N272,0)</f>
        <v>0</v>
      </c>
      <c r="BI259">
        <f>IF(ISNUMBER(Asistencia!O272),Asistencia!O272,0)</f>
        <v>0</v>
      </c>
      <c r="BJ259">
        <f>IF(ISNUMBER(Asistencia!P272),Asistencia!P272,0)</f>
        <v>0</v>
      </c>
      <c r="BK259" t="str">
        <f>IF(Asistencia!F272="","",Asistencia!F272)</f>
        <v/>
      </c>
      <c r="BL259" t="str">
        <f>IF(Asistencia!G272="","",Asistencia!G272)</f>
        <v/>
      </c>
      <c r="BM259" t="str">
        <f>IF(Asistencia!H272="","",Asistencia!H272)</f>
        <v/>
      </c>
      <c r="BN259" t="str">
        <f>IF(Asistencia!I272="","",Asistencia!I272)</f>
        <v/>
      </c>
      <c r="BO259" t="str">
        <f>IF(Asistencia!J272="","",Asistencia!J272)</f>
        <v/>
      </c>
      <c r="BP259" t="str">
        <f>IF(Asistencia!K272="","",Asistencia!K272)</f>
        <v/>
      </c>
      <c r="BQ259" t="str">
        <f>IF(Asistencia!L272="","",Asistencia!L272)</f>
        <v/>
      </c>
    </row>
    <row r="260" spans="27:69" x14ac:dyDescent="0.25">
      <c r="AA260" t="str">
        <f t="shared" si="88"/>
        <v/>
      </c>
      <c r="AB260" t="str">
        <f>IF(Asistencia!A273="","",Asistencia!A273)</f>
        <v/>
      </c>
      <c r="AC260" t="str">
        <f>IF(Asistencia!A273="","",SUBSTITUTE(SUBSTITUTE(SUBSTITUTE(SUBSTITUTE(SUBSTITUTE(SUBSTITUTE(SUBSTITUTE(UPPER(TRIM(Asistencia!A273)),"Á","A"),"É","E"),"Í","I"),"Ó","O"),"Ú","U"),"Ñ","N"),"  "," "))</f>
        <v/>
      </c>
      <c r="AD260" t="str">
        <f>IF(Asistencia!E273="","",Asistencia!E273)</f>
        <v/>
      </c>
      <c r="AE260" t="str">
        <f>IF(Asistencia!D273="","",UPPER(TRIM(Asistencia!D273)))</f>
        <v/>
      </c>
      <c r="AF260" t="s">
        <v>198</v>
      </c>
      <c r="AG260">
        <f>IF(AND(AA260&lt;&gt;"",COUNTIF($AA$5:AA260,AA260)=1),1,0)</f>
        <v>0</v>
      </c>
      <c r="AH260" t="str">
        <f>IF(AG260=1,SUM($AG$5:AG260),"")</f>
        <v/>
      </c>
      <c r="AI260">
        <f>IF(OR(EXACT(Asistencia!F273,"A"),EXACT(Asistencia!F273,"R"),EXACT(Asistencia!F273,"DL"),EXACT(Asistencia!F273,"FL"),EXACT(Asistencia!F273,"FE"),EXACT(Asistencia!F273,"PCS"),EXACT(Asistencia!F273,"V")),1,0)</f>
        <v>0</v>
      </c>
      <c r="AJ260">
        <f>IF(OR(EXACT(Asistencia!G273,"A"),EXACT(Asistencia!G273,"R"),EXACT(Asistencia!G273,"DL"),EXACT(Asistencia!G273,"FL"),EXACT(Asistencia!G273,"FE"),EXACT(Asistencia!G273,"PCS"),EXACT(Asistencia!G273,"V")),1,0)</f>
        <v>0</v>
      </c>
      <c r="AK260">
        <f>IF(OR(EXACT(Asistencia!H273,"A"),EXACT(Asistencia!H273,"R"),EXACT(Asistencia!H273,"DL"),EXACT(Asistencia!H273,"FL"),EXACT(Asistencia!H273,"FE"),EXACT(Asistencia!H273,"PCS"),EXACT(Asistencia!H273,"V")),1,0)</f>
        <v>0</v>
      </c>
      <c r="AL260">
        <f>IF(OR(EXACT(Asistencia!I273,"A"),EXACT(Asistencia!I273,"R"),EXACT(Asistencia!I273,"DL"),EXACT(Asistencia!I273,"FL"),EXACT(Asistencia!I273,"FE"),EXACT(Asistencia!I273,"PCS"),EXACT(Asistencia!I273,"V")),1,0)</f>
        <v>0</v>
      </c>
      <c r="AM260">
        <f>IF(OR(EXACT(Asistencia!J273,"A"),EXACT(Asistencia!J273,"R"),EXACT(Asistencia!J273,"DL"),EXACT(Asistencia!J273,"FL"),EXACT(Asistencia!J273,"FE"),EXACT(Asistencia!J273,"PCS"),EXACT(Asistencia!J273,"V")),1,0)</f>
        <v>0</v>
      </c>
      <c r="AN260">
        <f>IF(OR(EXACT(Asistencia!K273,"A"),EXACT(Asistencia!K273,"R"),EXACT(Asistencia!K273,"DL"),EXACT(Asistencia!K273,"FL"),EXACT(Asistencia!K273,"FE"),EXACT(Asistencia!K273,"PCS"),EXACT(Asistencia!K273,"V")),1,0)</f>
        <v>0</v>
      </c>
      <c r="AO260">
        <f>IF(OR(EXACT(Asistencia!L273,"A"),EXACT(Asistencia!L273,"R"),EXACT(Asistencia!L273,"DL"),EXACT(Asistencia!L273,"FL"),EXACT(Asistencia!L273,"FE"),EXACT(Asistencia!L273,"PCS"),EXACT(Asistencia!L273,"V")),1,0)</f>
        <v>0</v>
      </c>
      <c r="AP260">
        <f t="shared" si="89"/>
        <v>0</v>
      </c>
      <c r="AQ260">
        <f>IF(EXACT(Asistencia!F273,"FL"),1,0)</f>
        <v>0</v>
      </c>
      <c r="AR260">
        <f>IF(EXACT(Asistencia!G273,"FL"),1,0)</f>
        <v>0</v>
      </c>
      <c r="AS260">
        <f>IF(EXACT(Asistencia!H273,"FL"),1,0)</f>
        <v>0</v>
      </c>
      <c r="AT260">
        <f>IF(EXACT(Asistencia!I273,"FL"),1,0)</f>
        <v>0</v>
      </c>
      <c r="AU260">
        <f>IF(EXACT(Asistencia!J273,"FL"),1,0)</f>
        <v>0</v>
      </c>
      <c r="AV260">
        <f>IF(EXACT(Asistencia!K273,"FL"),1,0)</f>
        <v>0</v>
      </c>
      <c r="AW260">
        <f>IF(EXACT(Asistencia!L273,"FL"),1,0)</f>
        <v>0</v>
      </c>
      <c r="AX260">
        <f t="shared" si="90"/>
        <v>0</v>
      </c>
      <c r="AY260">
        <f>IF(EXACT(Asistencia!F273,"DL"),1,0)</f>
        <v>0</v>
      </c>
      <c r="AZ260">
        <f>IF(EXACT(Asistencia!G273,"DL"),1,0)</f>
        <v>0</v>
      </c>
      <c r="BA260">
        <f>IF(EXACT(Asistencia!H273,"DL"),1,0)</f>
        <v>0</v>
      </c>
      <c r="BB260">
        <f>IF(EXACT(Asistencia!I273,"DL"),1,0)</f>
        <v>0</v>
      </c>
      <c r="BC260">
        <f>IF(EXACT(Asistencia!J273,"DL"),1,0)</f>
        <v>0</v>
      </c>
      <c r="BD260">
        <f>IF(EXACT(Asistencia!K273,"DL"),1,0)</f>
        <v>0</v>
      </c>
      <c r="BE260">
        <f>IF(EXACT(Asistencia!L273,"DL"),1,0)</f>
        <v>0</v>
      </c>
      <c r="BF260">
        <f t="shared" si="91"/>
        <v>0</v>
      </c>
      <c r="BG260">
        <f>IF(ISNUMBER(Asistencia!M273),Asistencia!M273,0)</f>
        <v>0</v>
      </c>
      <c r="BH260">
        <f>IF(ISNUMBER(Asistencia!N273),Asistencia!N273,0)</f>
        <v>0</v>
      </c>
      <c r="BI260">
        <f>IF(ISNUMBER(Asistencia!O273),Asistencia!O273,0)</f>
        <v>0</v>
      </c>
      <c r="BJ260">
        <f>IF(ISNUMBER(Asistencia!P273),Asistencia!P273,0)</f>
        <v>0</v>
      </c>
      <c r="BK260" t="str">
        <f>IF(Asistencia!F273="","",Asistencia!F273)</f>
        <v/>
      </c>
      <c r="BL260" t="str">
        <f>IF(Asistencia!G273="","",Asistencia!G273)</f>
        <v/>
      </c>
      <c r="BM260" t="str">
        <f>IF(Asistencia!H273="","",Asistencia!H273)</f>
        <v/>
      </c>
      <c r="BN260" t="str">
        <f>IF(Asistencia!I273="","",Asistencia!I273)</f>
        <v/>
      </c>
      <c r="BO260" t="str">
        <f>IF(Asistencia!J273="","",Asistencia!J273)</f>
        <v/>
      </c>
      <c r="BP260" t="str">
        <f>IF(Asistencia!K273="","",Asistencia!K273)</f>
        <v/>
      </c>
      <c r="BQ260" t="str">
        <f>IF(Asistencia!L273="","",Asistencia!L273)</f>
        <v/>
      </c>
    </row>
    <row r="261" spans="27:69" x14ac:dyDescent="0.25">
      <c r="AA261" t="str">
        <f t="shared" ref="AA261:AA323" si="92">IF(AC261="","","M:"&amp;AC261)</f>
        <v/>
      </c>
      <c r="AB261" t="str">
        <f>IF(Asistencia!A274="","",Asistencia!A274)</f>
        <v/>
      </c>
      <c r="AC261" t="str">
        <f>IF(Asistencia!A274="","",SUBSTITUTE(SUBSTITUTE(SUBSTITUTE(SUBSTITUTE(SUBSTITUTE(SUBSTITUTE(SUBSTITUTE(UPPER(TRIM(Asistencia!A274)),"Á","A"),"É","E"),"Í","I"),"Ó","O"),"Ú","U"),"Ñ","N"),"  "," "))</f>
        <v/>
      </c>
      <c r="AD261" t="str">
        <f>IF(Asistencia!E274="","",Asistencia!E274)</f>
        <v/>
      </c>
      <c r="AE261" t="str">
        <f>IF(Asistencia!D274="","",UPPER(TRIM(Asistencia!D274)))</f>
        <v/>
      </c>
      <c r="AF261" t="s">
        <v>198</v>
      </c>
      <c r="AG261">
        <f>IF(AND(AA261&lt;&gt;"",COUNTIF($AA$5:AA261,AA261)=1),1,0)</f>
        <v>0</v>
      </c>
      <c r="AH261" t="str">
        <f>IF(AG261=1,SUM($AG$5:AG261),"")</f>
        <v/>
      </c>
      <c r="AI261">
        <f>IF(OR(EXACT(Asistencia!F274,"A"),EXACT(Asistencia!F274,"R"),EXACT(Asistencia!F274,"DL"),EXACT(Asistencia!F274,"FL"),EXACT(Asistencia!F274,"FE"),EXACT(Asistencia!F274,"PCS"),EXACT(Asistencia!F274,"V")),1,0)</f>
        <v>0</v>
      </c>
      <c r="AJ261">
        <f>IF(OR(EXACT(Asistencia!G274,"A"),EXACT(Asistencia!G274,"R"),EXACT(Asistencia!G274,"DL"),EXACT(Asistencia!G274,"FL"),EXACT(Asistencia!G274,"FE"),EXACT(Asistencia!G274,"PCS"),EXACT(Asistencia!G274,"V")),1,0)</f>
        <v>0</v>
      </c>
      <c r="AK261">
        <f>IF(OR(EXACT(Asistencia!H274,"A"),EXACT(Asistencia!H274,"R"),EXACT(Asistencia!H274,"DL"),EXACT(Asistencia!H274,"FL"),EXACT(Asistencia!H274,"FE"),EXACT(Asistencia!H274,"PCS"),EXACT(Asistencia!H274,"V")),1,0)</f>
        <v>0</v>
      </c>
      <c r="AL261">
        <f>IF(OR(EXACT(Asistencia!I274,"A"),EXACT(Asistencia!I274,"R"),EXACT(Asistencia!I274,"DL"),EXACT(Asistencia!I274,"FL"),EXACT(Asistencia!I274,"FE"),EXACT(Asistencia!I274,"PCS"),EXACT(Asistencia!I274,"V")),1,0)</f>
        <v>0</v>
      </c>
      <c r="AM261">
        <f>IF(OR(EXACT(Asistencia!J274,"A"),EXACT(Asistencia!J274,"R"),EXACT(Asistencia!J274,"DL"),EXACT(Asistencia!J274,"FL"),EXACT(Asistencia!J274,"FE"),EXACT(Asistencia!J274,"PCS"),EXACT(Asistencia!J274,"V")),1,0)</f>
        <v>0</v>
      </c>
      <c r="AN261">
        <f>IF(OR(EXACT(Asistencia!K274,"A"),EXACT(Asistencia!K274,"R"),EXACT(Asistencia!K274,"DL"),EXACT(Asistencia!K274,"FL"),EXACT(Asistencia!K274,"FE"),EXACT(Asistencia!K274,"PCS"),EXACT(Asistencia!K274,"V")),1,0)</f>
        <v>0</v>
      </c>
      <c r="AO261">
        <f>IF(OR(EXACT(Asistencia!L274,"A"),EXACT(Asistencia!L274,"R"),EXACT(Asistencia!L274,"DL"),EXACT(Asistencia!L274,"FL"),EXACT(Asistencia!L274,"FE"),EXACT(Asistencia!L274,"PCS"),EXACT(Asistencia!L274,"V")),1,0)</f>
        <v>0</v>
      </c>
      <c r="AP261">
        <f t="shared" ref="AP261:AP324" si="93">SUM(AI261:AO261)</f>
        <v>0</v>
      </c>
      <c r="AQ261">
        <f>IF(EXACT(Asistencia!F274,"FL"),1,0)</f>
        <v>0</v>
      </c>
      <c r="AR261">
        <f>IF(EXACT(Asistencia!G274,"FL"),1,0)</f>
        <v>0</v>
      </c>
      <c r="AS261">
        <f>IF(EXACT(Asistencia!H274,"FL"),1,0)</f>
        <v>0</v>
      </c>
      <c r="AT261">
        <f>IF(EXACT(Asistencia!I274,"FL"),1,0)</f>
        <v>0</v>
      </c>
      <c r="AU261">
        <f>IF(EXACT(Asistencia!J274,"FL"),1,0)</f>
        <v>0</v>
      </c>
      <c r="AV261">
        <f>IF(EXACT(Asistencia!K274,"FL"),1,0)</f>
        <v>0</v>
      </c>
      <c r="AW261">
        <f>IF(EXACT(Asistencia!L274,"FL"),1,0)</f>
        <v>0</v>
      </c>
      <c r="AX261">
        <f t="shared" ref="AX261:AX324" si="94">SUM(AQ261:AW261)</f>
        <v>0</v>
      </c>
      <c r="AY261">
        <f>IF(EXACT(Asistencia!F274,"DL"),1,0)</f>
        <v>0</v>
      </c>
      <c r="AZ261">
        <f>IF(EXACT(Asistencia!G274,"DL"),1,0)</f>
        <v>0</v>
      </c>
      <c r="BA261">
        <f>IF(EXACT(Asistencia!H274,"DL"),1,0)</f>
        <v>0</v>
      </c>
      <c r="BB261">
        <f>IF(EXACT(Asistencia!I274,"DL"),1,0)</f>
        <v>0</v>
      </c>
      <c r="BC261">
        <f>IF(EXACT(Asistencia!J274,"DL"),1,0)</f>
        <v>0</v>
      </c>
      <c r="BD261">
        <f>IF(EXACT(Asistencia!K274,"DL"),1,0)</f>
        <v>0</v>
      </c>
      <c r="BE261">
        <f>IF(EXACT(Asistencia!L274,"DL"),1,0)</f>
        <v>0</v>
      </c>
      <c r="BF261">
        <f t="shared" ref="BF261:BF324" si="95">SUM(AY261:BE261)</f>
        <v>0</v>
      </c>
      <c r="BG261">
        <f>IF(ISNUMBER(Asistencia!M274),Asistencia!M274,0)</f>
        <v>0</v>
      </c>
      <c r="BH261">
        <f>IF(ISNUMBER(Asistencia!N274),Asistencia!N274,0)</f>
        <v>0</v>
      </c>
      <c r="BI261">
        <f>IF(ISNUMBER(Asistencia!O274),Asistencia!O274,0)</f>
        <v>0</v>
      </c>
      <c r="BJ261">
        <f>IF(ISNUMBER(Asistencia!P274),Asistencia!P274,0)</f>
        <v>0</v>
      </c>
      <c r="BK261" t="str">
        <f>IF(Asistencia!F274="","",Asistencia!F274)</f>
        <v/>
      </c>
      <c r="BL261" t="str">
        <f>IF(Asistencia!G274="","",Asistencia!G274)</f>
        <v/>
      </c>
      <c r="BM261" t="str">
        <f>IF(Asistencia!H274="","",Asistencia!H274)</f>
        <v/>
      </c>
      <c r="BN261" t="str">
        <f>IF(Asistencia!I274="","",Asistencia!I274)</f>
        <v/>
      </c>
      <c r="BO261" t="str">
        <f>IF(Asistencia!J274="","",Asistencia!J274)</f>
        <v/>
      </c>
      <c r="BP261" t="str">
        <f>IF(Asistencia!K274="","",Asistencia!K274)</f>
        <v/>
      </c>
      <c r="BQ261" t="str">
        <f>IF(Asistencia!L274="","",Asistencia!L274)</f>
        <v/>
      </c>
    </row>
    <row r="262" spans="27:69" x14ac:dyDescent="0.25">
      <c r="AA262" t="str">
        <f t="shared" si="92"/>
        <v/>
      </c>
      <c r="AB262" t="str">
        <f>IF(Asistencia!A275="","",Asistencia!A275)</f>
        <v/>
      </c>
      <c r="AC262" t="str">
        <f>IF(Asistencia!A275="","",SUBSTITUTE(SUBSTITUTE(SUBSTITUTE(SUBSTITUTE(SUBSTITUTE(SUBSTITUTE(SUBSTITUTE(UPPER(TRIM(Asistencia!A275)),"Á","A"),"É","E"),"Í","I"),"Ó","O"),"Ú","U"),"Ñ","N"),"  "," "))</f>
        <v/>
      </c>
      <c r="AD262" t="str">
        <f>IF(Asistencia!E275="","",Asistencia!E275)</f>
        <v/>
      </c>
      <c r="AE262" t="str">
        <f>IF(Asistencia!D275="","",UPPER(TRIM(Asistencia!D275)))</f>
        <v/>
      </c>
      <c r="AF262" t="s">
        <v>198</v>
      </c>
      <c r="AG262">
        <f>IF(AND(AA262&lt;&gt;"",COUNTIF($AA$5:AA262,AA262)=1),1,0)</f>
        <v>0</v>
      </c>
      <c r="AH262" t="str">
        <f>IF(AG262=1,SUM($AG$5:AG262),"")</f>
        <v/>
      </c>
      <c r="AI262">
        <f>IF(OR(EXACT(Asistencia!F275,"A"),EXACT(Asistencia!F275,"R"),EXACT(Asistencia!F275,"DL"),EXACT(Asistencia!F275,"FL"),EXACT(Asistencia!F275,"FE"),EXACT(Asistencia!F275,"PCS"),EXACT(Asistencia!F275,"V")),1,0)</f>
        <v>0</v>
      </c>
      <c r="AJ262">
        <f>IF(OR(EXACT(Asistencia!G275,"A"),EXACT(Asistencia!G275,"R"),EXACT(Asistencia!G275,"DL"),EXACT(Asistencia!G275,"FL"),EXACT(Asistencia!G275,"FE"),EXACT(Asistencia!G275,"PCS"),EXACT(Asistencia!G275,"V")),1,0)</f>
        <v>0</v>
      </c>
      <c r="AK262">
        <f>IF(OR(EXACT(Asistencia!H275,"A"),EXACT(Asistencia!H275,"R"),EXACT(Asistencia!H275,"DL"),EXACT(Asistencia!H275,"FL"),EXACT(Asistencia!H275,"FE"),EXACT(Asistencia!H275,"PCS"),EXACT(Asistencia!H275,"V")),1,0)</f>
        <v>0</v>
      </c>
      <c r="AL262">
        <f>IF(OR(EXACT(Asistencia!I275,"A"),EXACT(Asistencia!I275,"R"),EXACT(Asistencia!I275,"DL"),EXACT(Asistencia!I275,"FL"),EXACT(Asistencia!I275,"FE"),EXACT(Asistencia!I275,"PCS"),EXACT(Asistencia!I275,"V")),1,0)</f>
        <v>0</v>
      </c>
      <c r="AM262">
        <f>IF(OR(EXACT(Asistencia!J275,"A"),EXACT(Asistencia!J275,"R"),EXACT(Asistencia!J275,"DL"),EXACT(Asistencia!J275,"FL"),EXACT(Asistencia!J275,"FE"),EXACT(Asistencia!J275,"PCS"),EXACT(Asistencia!J275,"V")),1,0)</f>
        <v>0</v>
      </c>
      <c r="AN262">
        <f>IF(OR(EXACT(Asistencia!K275,"A"),EXACT(Asistencia!K275,"R"),EXACT(Asistencia!K275,"DL"),EXACT(Asistencia!K275,"FL"),EXACT(Asistencia!K275,"FE"),EXACT(Asistencia!K275,"PCS"),EXACT(Asistencia!K275,"V")),1,0)</f>
        <v>0</v>
      </c>
      <c r="AO262">
        <f>IF(OR(EXACT(Asistencia!L275,"A"),EXACT(Asistencia!L275,"R"),EXACT(Asistencia!L275,"DL"),EXACT(Asistencia!L275,"FL"),EXACT(Asistencia!L275,"FE"),EXACT(Asistencia!L275,"PCS"),EXACT(Asistencia!L275,"V")),1,0)</f>
        <v>0</v>
      </c>
      <c r="AP262">
        <f t="shared" si="93"/>
        <v>0</v>
      </c>
      <c r="AQ262">
        <f>IF(EXACT(Asistencia!F275,"FL"),1,0)</f>
        <v>0</v>
      </c>
      <c r="AR262">
        <f>IF(EXACT(Asistencia!G275,"FL"),1,0)</f>
        <v>0</v>
      </c>
      <c r="AS262">
        <f>IF(EXACT(Asistencia!H275,"FL"),1,0)</f>
        <v>0</v>
      </c>
      <c r="AT262">
        <f>IF(EXACT(Asistencia!I275,"FL"),1,0)</f>
        <v>0</v>
      </c>
      <c r="AU262">
        <f>IF(EXACT(Asistencia!J275,"FL"),1,0)</f>
        <v>0</v>
      </c>
      <c r="AV262">
        <f>IF(EXACT(Asistencia!K275,"FL"),1,0)</f>
        <v>0</v>
      </c>
      <c r="AW262">
        <f>IF(EXACT(Asistencia!L275,"FL"),1,0)</f>
        <v>0</v>
      </c>
      <c r="AX262">
        <f t="shared" si="94"/>
        <v>0</v>
      </c>
      <c r="AY262">
        <f>IF(EXACT(Asistencia!F275,"DL"),1,0)</f>
        <v>0</v>
      </c>
      <c r="AZ262">
        <f>IF(EXACT(Asistencia!G275,"DL"),1,0)</f>
        <v>0</v>
      </c>
      <c r="BA262">
        <f>IF(EXACT(Asistencia!H275,"DL"),1,0)</f>
        <v>0</v>
      </c>
      <c r="BB262">
        <f>IF(EXACT(Asistencia!I275,"DL"),1,0)</f>
        <v>0</v>
      </c>
      <c r="BC262">
        <f>IF(EXACT(Asistencia!J275,"DL"),1,0)</f>
        <v>0</v>
      </c>
      <c r="BD262">
        <f>IF(EXACT(Asistencia!K275,"DL"),1,0)</f>
        <v>0</v>
      </c>
      <c r="BE262">
        <f>IF(EXACT(Asistencia!L275,"DL"),1,0)</f>
        <v>0</v>
      </c>
      <c r="BF262">
        <f t="shared" si="95"/>
        <v>0</v>
      </c>
      <c r="BG262">
        <f>IF(ISNUMBER(Asistencia!M275),Asistencia!M275,0)</f>
        <v>0</v>
      </c>
      <c r="BH262">
        <f>IF(ISNUMBER(Asistencia!N275),Asistencia!N275,0)</f>
        <v>0</v>
      </c>
      <c r="BI262">
        <f>IF(ISNUMBER(Asistencia!O275),Asistencia!O275,0)</f>
        <v>0</v>
      </c>
      <c r="BJ262">
        <f>IF(ISNUMBER(Asistencia!P275),Asistencia!P275,0)</f>
        <v>0</v>
      </c>
      <c r="BK262" t="str">
        <f>IF(Asistencia!F275="","",Asistencia!F275)</f>
        <v/>
      </c>
      <c r="BL262" t="str">
        <f>IF(Asistencia!G275="","",Asistencia!G275)</f>
        <v/>
      </c>
      <c r="BM262" t="str">
        <f>IF(Asistencia!H275="","",Asistencia!H275)</f>
        <v/>
      </c>
      <c r="BN262" t="str">
        <f>IF(Asistencia!I275="","",Asistencia!I275)</f>
        <v/>
      </c>
      <c r="BO262" t="str">
        <f>IF(Asistencia!J275="","",Asistencia!J275)</f>
        <v/>
      </c>
      <c r="BP262" t="str">
        <f>IF(Asistencia!K275="","",Asistencia!K275)</f>
        <v/>
      </c>
      <c r="BQ262" t="str">
        <f>IF(Asistencia!L275="","",Asistencia!L275)</f>
        <v/>
      </c>
    </row>
    <row r="263" spans="27:69" x14ac:dyDescent="0.25">
      <c r="AA263" t="str">
        <f t="shared" si="92"/>
        <v/>
      </c>
      <c r="AB263" t="str">
        <f>IF(Asistencia!A276="","",Asistencia!A276)</f>
        <v/>
      </c>
      <c r="AC263" t="str">
        <f>IF(Asistencia!A276="","",SUBSTITUTE(SUBSTITUTE(SUBSTITUTE(SUBSTITUTE(SUBSTITUTE(SUBSTITUTE(SUBSTITUTE(UPPER(TRIM(Asistencia!A276)),"Á","A"),"É","E"),"Í","I"),"Ó","O"),"Ú","U"),"Ñ","N"),"  "," "))</f>
        <v/>
      </c>
      <c r="AD263" t="str">
        <f>IF(Asistencia!E276="","",Asistencia!E276)</f>
        <v/>
      </c>
      <c r="AE263" t="str">
        <f>IF(Asistencia!D276="","",UPPER(TRIM(Asistencia!D276)))</f>
        <v/>
      </c>
      <c r="AF263" t="s">
        <v>198</v>
      </c>
      <c r="AG263">
        <f>IF(AND(AA263&lt;&gt;"",COUNTIF($AA$5:AA263,AA263)=1),1,0)</f>
        <v>0</v>
      </c>
      <c r="AH263" t="str">
        <f>IF(AG263=1,SUM($AG$5:AG263),"")</f>
        <v/>
      </c>
      <c r="AI263">
        <f>IF(OR(EXACT(Asistencia!F276,"A"),EXACT(Asistencia!F276,"R"),EXACT(Asistencia!F276,"DL"),EXACT(Asistencia!F276,"FL"),EXACT(Asistencia!F276,"FE"),EXACT(Asistencia!F276,"PCS"),EXACT(Asistencia!F276,"V")),1,0)</f>
        <v>0</v>
      </c>
      <c r="AJ263">
        <f>IF(OR(EXACT(Asistencia!G276,"A"),EXACT(Asistencia!G276,"R"),EXACT(Asistencia!G276,"DL"),EXACT(Asistencia!G276,"FL"),EXACT(Asistencia!G276,"FE"),EXACT(Asistencia!G276,"PCS"),EXACT(Asistencia!G276,"V")),1,0)</f>
        <v>0</v>
      </c>
      <c r="AK263">
        <f>IF(OR(EXACT(Asistencia!H276,"A"),EXACT(Asistencia!H276,"R"),EXACT(Asistencia!H276,"DL"),EXACT(Asistencia!H276,"FL"),EXACT(Asistencia!H276,"FE"),EXACT(Asistencia!H276,"PCS"),EXACT(Asistencia!H276,"V")),1,0)</f>
        <v>0</v>
      </c>
      <c r="AL263">
        <f>IF(OR(EXACT(Asistencia!I276,"A"),EXACT(Asistencia!I276,"R"),EXACT(Asistencia!I276,"DL"),EXACT(Asistencia!I276,"FL"),EXACT(Asistencia!I276,"FE"),EXACT(Asistencia!I276,"PCS"),EXACT(Asistencia!I276,"V")),1,0)</f>
        <v>0</v>
      </c>
      <c r="AM263">
        <f>IF(OR(EXACT(Asistencia!J276,"A"),EXACT(Asistencia!J276,"R"),EXACT(Asistencia!J276,"DL"),EXACT(Asistencia!J276,"FL"),EXACT(Asistencia!J276,"FE"),EXACT(Asistencia!J276,"PCS"),EXACT(Asistencia!J276,"V")),1,0)</f>
        <v>0</v>
      </c>
      <c r="AN263">
        <f>IF(OR(EXACT(Asistencia!K276,"A"),EXACT(Asistencia!K276,"R"),EXACT(Asistencia!K276,"DL"),EXACT(Asistencia!K276,"FL"),EXACT(Asistencia!K276,"FE"),EXACT(Asistencia!K276,"PCS"),EXACT(Asistencia!K276,"V")),1,0)</f>
        <v>0</v>
      </c>
      <c r="AO263">
        <f>IF(OR(EXACT(Asistencia!L276,"A"),EXACT(Asistencia!L276,"R"),EXACT(Asistencia!L276,"DL"),EXACT(Asistencia!L276,"FL"),EXACT(Asistencia!L276,"FE"),EXACT(Asistencia!L276,"PCS"),EXACT(Asistencia!L276,"V")),1,0)</f>
        <v>0</v>
      </c>
      <c r="AP263">
        <f t="shared" si="93"/>
        <v>0</v>
      </c>
      <c r="AQ263">
        <f>IF(EXACT(Asistencia!F276,"FL"),1,0)</f>
        <v>0</v>
      </c>
      <c r="AR263">
        <f>IF(EXACT(Asistencia!G276,"FL"),1,0)</f>
        <v>0</v>
      </c>
      <c r="AS263">
        <f>IF(EXACT(Asistencia!H276,"FL"),1,0)</f>
        <v>0</v>
      </c>
      <c r="AT263">
        <f>IF(EXACT(Asistencia!I276,"FL"),1,0)</f>
        <v>0</v>
      </c>
      <c r="AU263">
        <f>IF(EXACT(Asistencia!J276,"FL"),1,0)</f>
        <v>0</v>
      </c>
      <c r="AV263">
        <f>IF(EXACT(Asistencia!K276,"FL"),1,0)</f>
        <v>0</v>
      </c>
      <c r="AW263">
        <f>IF(EXACT(Asistencia!L276,"FL"),1,0)</f>
        <v>0</v>
      </c>
      <c r="AX263">
        <f t="shared" si="94"/>
        <v>0</v>
      </c>
      <c r="AY263">
        <f>IF(EXACT(Asistencia!F276,"DL"),1,0)</f>
        <v>0</v>
      </c>
      <c r="AZ263">
        <f>IF(EXACT(Asistencia!G276,"DL"),1,0)</f>
        <v>0</v>
      </c>
      <c r="BA263">
        <f>IF(EXACT(Asistencia!H276,"DL"),1,0)</f>
        <v>0</v>
      </c>
      <c r="BB263">
        <f>IF(EXACT(Asistencia!I276,"DL"),1,0)</f>
        <v>0</v>
      </c>
      <c r="BC263">
        <f>IF(EXACT(Asistencia!J276,"DL"),1,0)</f>
        <v>0</v>
      </c>
      <c r="BD263">
        <f>IF(EXACT(Asistencia!K276,"DL"),1,0)</f>
        <v>0</v>
      </c>
      <c r="BE263">
        <f>IF(EXACT(Asistencia!L276,"DL"),1,0)</f>
        <v>0</v>
      </c>
      <c r="BF263">
        <f t="shared" si="95"/>
        <v>0</v>
      </c>
      <c r="BG263">
        <f>IF(ISNUMBER(Asistencia!M276),Asistencia!M276,0)</f>
        <v>0</v>
      </c>
      <c r="BH263">
        <f>IF(ISNUMBER(Asistencia!N276),Asistencia!N276,0)</f>
        <v>0</v>
      </c>
      <c r="BI263">
        <f>IF(ISNUMBER(Asistencia!O276),Asistencia!O276,0)</f>
        <v>0</v>
      </c>
      <c r="BJ263">
        <f>IF(ISNUMBER(Asistencia!P276),Asistencia!P276,0)</f>
        <v>0</v>
      </c>
      <c r="BK263" t="str">
        <f>IF(Asistencia!F276="","",Asistencia!F276)</f>
        <v/>
      </c>
      <c r="BL263" t="str">
        <f>IF(Asistencia!G276="","",Asistencia!G276)</f>
        <v/>
      </c>
      <c r="BM263" t="str">
        <f>IF(Asistencia!H276="","",Asistencia!H276)</f>
        <v/>
      </c>
      <c r="BN263" t="str">
        <f>IF(Asistencia!I276="","",Asistencia!I276)</f>
        <v/>
      </c>
      <c r="BO263" t="str">
        <f>IF(Asistencia!J276="","",Asistencia!J276)</f>
        <v/>
      </c>
      <c r="BP263" t="str">
        <f>IF(Asistencia!K276="","",Asistencia!K276)</f>
        <v/>
      </c>
      <c r="BQ263" t="str">
        <f>IF(Asistencia!L276="","",Asistencia!L276)</f>
        <v/>
      </c>
    </row>
    <row r="264" spans="27:69" x14ac:dyDescent="0.25">
      <c r="AA264" t="str">
        <f t="shared" si="92"/>
        <v/>
      </c>
      <c r="AB264" t="str">
        <f>IF(Asistencia!A277="","",Asistencia!A277)</f>
        <v/>
      </c>
      <c r="AC264" t="str">
        <f>IF(Asistencia!A277="","",SUBSTITUTE(SUBSTITUTE(SUBSTITUTE(SUBSTITUTE(SUBSTITUTE(SUBSTITUTE(SUBSTITUTE(UPPER(TRIM(Asistencia!A277)),"Á","A"),"É","E"),"Í","I"),"Ó","O"),"Ú","U"),"Ñ","N"),"  "," "))</f>
        <v/>
      </c>
      <c r="AD264" t="str">
        <f>IF(Asistencia!E277="","",Asistencia!E277)</f>
        <v/>
      </c>
      <c r="AE264" t="str">
        <f>IF(Asistencia!D277="","",UPPER(TRIM(Asistencia!D277)))</f>
        <v/>
      </c>
      <c r="AF264" t="s">
        <v>198</v>
      </c>
      <c r="AG264">
        <f>IF(AND(AA264&lt;&gt;"",COUNTIF($AA$5:AA264,AA264)=1),1,0)</f>
        <v>0</v>
      </c>
      <c r="AH264" t="str">
        <f>IF(AG264=1,SUM($AG$5:AG264),"")</f>
        <v/>
      </c>
      <c r="AI264">
        <f>IF(OR(EXACT(Asistencia!F277,"A"),EXACT(Asistencia!F277,"R"),EXACT(Asistencia!F277,"DL"),EXACT(Asistencia!F277,"FL"),EXACT(Asistencia!F277,"FE"),EXACT(Asistencia!F277,"PCS"),EXACT(Asistencia!F277,"V")),1,0)</f>
        <v>0</v>
      </c>
      <c r="AJ264">
        <f>IF(OR(EXACT(Asistencia!G277,"A"),EXACT(Asistencia!G277,"R"),EXACT(Asistencia!G277,"DL"),EXACT(Asistencia!G277,"FL"),EXACT(Asistencia!G277,"FE"),EXACT(Asistencia!G277,"PCS"),EXACT(Asistencia!G277,"V")),1,0)</f>
        <v>0</v>
      </c>
      <c r="AK264">
        <f>IF(OR(EXACT(Asistencia!H277,"A"),EXACT(Asistencia!H277,"R"),EXACT(Asistencia!H277,"DL"),EXACT(Asistencia!H277,"FL"),EXACT(Asistencia!H277,"FE"),EXACT(Asistencia!H277,"PCS"),EXACT(Asistencia!H277,"V")),1,0)</f>
        <v>0</v>
      </c>
      <c r="AL264">
        <f>IF(OR(EXACT(Asistencia!I277,"A"),EXACT(Asistencia!I277,"R"),EXACT(Asistencia!I277,"DL"),EXACT(Asistencia!I277,"FL"),EXACT(Asistencia!I277,"FE"),EXACT(Asistencia!I277,"PCS"),EXACT(Asistencia!I277,"V")),1,0)</f>
        <v>0</v>
      </c>
      <c r="AM264">
        <f>IF(OR(EXACT(Asistencia!J277,"A"),EXACT(Asistencia!J277,"R"),EXACT(Asistencia!J277,"DL"),EXACT(Asistencia!J277,"FL"),EXACT(Asistencia!J277,"FE"),EXACT(Asistencia!J277,"PCS"),EXACT(Asistencia!J277,"V")),1,0)</f>
        <v>0</v>
      </c>
      <c r="AN264">
        <f>IF(OR(EXACT(Asistencia!K277,"A"),EXACT(Asistencia!K277,"R"),EXACT(Asistencia!K277,"DL"),EXACT(Asistencia!K277,"FL"),EXACT(Asistencia!K277,"FE"),EXACT(Asistencia!K277,"PCS"),EXACT(Asistencia!K277,"V")),1,0)</f>
        <v>0</v>
      </c>
      <c r="AO264">
        <f>IF(OR(EXACT(Asistencia!L277,"A"),EXACT(Asistencia!L277,"R"),EXACT(Asistencia!L277,"DL"),EXACT(Asistencia!L277,"FL"),EXACT(Asistencia!L277,"FE"),EXACT(Asistencia!L277,"PCS"),EXACT(Asistencia!L277,"V")),1,0)</f>
        <v>0</v>
      </c>
      <c r="AP264">
        <f t="shared" si="93"/>
        <v>0</v>
      </c>
      <c r="AQ264">
        <f>IF(EXACT(Asistencia!F277,"FL"),1,0)</f>
        <v>0</v>
      </c>
      <c r="AR264">
        <f>IF(EXACT(Asistencia!G277,"FL"),1,0)</f>
        <v>0</v>
      </c>
      <c r="AS264">
        <f>IF(EXACT(Asistencia!H277,"FL"),1,0)</f>
        <v>0</v>
      </c>
      <c r="AT264">
        <f>IF(EXACT(Asistencia!I277,"FL"),1,0)</f>
        <v>0</v>
      </c>
      <c r="AU264">
        <f>IF(EXACT(Asistencia!J277,"FL"),1,0)</f>
        <v>0</v>
      </c>
      <c r="AV264">
        <f>IF(EXACT(Asistencia!K277,"FL"),1,0)</f>
        <v>0</v>
      </c>
      <c r="AW264">
        <f>IF(EXACT(Asistencia!L277,"FL"),1,0)</f>
        <v>0</v>
      </c>
      <c r="AX264">
        <f t="shared" si="94"/>
        <v>0</v>
      </c>
      <c r="AY264">
        <f>IF(EXACT(Asistencia!F277,"DL"),1,0)</f>
        <v>0</v>
      </c>
      <c r="AZ264">
        <f>IF(EXACT(Asistencia!G277,"DL"),1,0)</f>
        <v>0</v>
      </c>
      <c r="BA264">
        <f>IF(EXACT(Asistencia!H277,"DL"),1,0)</f>
        <v>0</v>
      </c>
      <c r="BB264">
        <f>IF(EXACT(Asistencia!I277,"DL"),1,0)</f>
        <v>0</v>
      </c>
      <c r="BC264">
        <f>IF(EXACT(Asistencia!J277,"DL"),1,0)</f>
        <v>0</v>
      </c>
      <c r="BD264">
        <f>IF(EXACT(Asistencia!K277,"DL"),1,0)</f>
        <v>0</v>
      </c>
      <c r="BE264">
        <f>IF(EXACT(Asistencia!L277,"DL"),1,0)</f>
        <v>0</v>
      </c>
      <c r="BF264">
        <f t="shared" si="95"/>
        <v>0</v>
      </c>
      <c r="BG264">
        <f>IF(ISNUMBER(Asistencia!M277),Asistencia!M277,0)</f>
        <v>0</v>
      </c>
      <c r="BH264">
        <f>IF(ISNUMBER(Asistencia!N277),Asistencia!N277,0)</f>
        <v>0</v>
      </c>
      <c r="BI264">
        <f>IF(ISNUMBER(Asistencia!O277),Asistencia!O277,0)</f>
        <v>0</v>
      </c>
      <c r="BJ264">
        <f>IF(ISNUMBER(Asistencia!P277),Asistencia!P277,0)</f>
        <v>0</v>
      </c>
      <c r="BK264" t="str">
        <f>IF(Asistencia!F277="","",Asistencia!F277)</f>
        <v/>
      </c>
      <c r="BL264" t="str">
        <f>IF(Asistencia!G277="","",Asistencia!G277)</f>
        <v/>
      </c>
      <c r="BM264" t="str">
        <f>IF(Asistencia!H277="","",Asistencia!H277)</f>
        <v/>
      </c>
      <c r="BN264" t="str">
        <f>IF(Asistencia!I277="","",Asistencia!I277)</f>
        <v/>
      </c>
      <c r="BO264" t="str">
        <f>IF(Asistencia!J277="","",Asistencia!J277)</f>
        <v/>
      </c>
      <c r="BP264" t="str">
        <f>IF(Asistencia!K277="","",Asistencia!K277)</f>
        <v/>
      </c>
      <c r="BQ264" t="str">
        <f>IF(Asistencia!L277="","",Asistencia!L277)</f>
        <v/>
      </c>
    </row>
    <row r="265" spans="27:69" x14ac:dyDescent="0.25">
      <c r="AA265" t="str">
        <f t="shared" si="92"/>
        <v/>
      </c>
      <c r="AB265" t="str">
        <f>IF(Asistencia!A278="","",Asistencia!A278)</f>
        <v/>
      </c>
      <c r="AC265" t="str">
        <f>IF(Asistencia!A278="","",SUBSTITUTE(SUBSTITUTE(SUBSTITUTE(SUBSTITUTE(SUBSTITUTE(SUBSTITUTE(SUBSTITUTE(UPPER(TRIM(Asistencia!A278)),"Á","A"),"É","E"),"Í","I"),"Ó","O"),"Ú","U"),"Ñ","N"),"  "," "))</f>
        <v/>
      </c>
      <c r="AD265" t="str">
        <f>IF(Asistencia!E278="","",Asistencia!E278)</f>
        <v/>
      </c>
      <c r="AE265" t="str">
        <f>IF(Asistencia!D278="","",UPPER(TRIM(Asistencia!D278)))</f>
        <v/>
      </c>
      <c r="AF265" t="s">
        <v>198</v>
      </c>
      <c r="AG265">
        <f>IF(AND(AA265&lt;&gt;"",COUNTIF($AA$5:AA265,AA265)=1),1,0)</f>
        <v>0</v>
      </c>
      <c r="AH265" t="str">
        <f>IF(AG265=1,SUM($AG$5:AG265),"")</f>
        <v/>
      </c>
      <c r="AI265">
        <f>IF(OR(EXACT(Asistencia!F278,"A"),EXACT(Asistencia!F278,"R"),EXACT(Asistencia!F278,"DL"),EXACT(Asistencia!F278,"FL"),EXACT(Asistencia!F278,"FE"),EXACT(Asistencia!F278,"PCS"),EXACT(Asistencia!F278,"V")),1,0)</f>
        <v>0</v>
      </c>
      <c r="AJ265">
        <f>IF(OR(EXACT(Asistencia!G278,"A"),EXACT(Asistencia!G278,"R"),EXACT(Asistencia!G278,"DL"),EXACT(Asistencia!G278,"FL"),EXACT(Asistencia!G278,"FE"),EXACT(Asistencia!G278,"PCS"),EXACT(Asistencia!G278,"V")),1,0)</f>
        <v>0</v>
      </c>
      <c r="AK265">
        <f>IF(OR(EXACT(Asistencia!H278,"A"),EXACT(Asistencia!H278,"R"),EXACT(Asistencia!H278,"DL"),EXACT(Asistencia!H278,"FL"),EXACT(Asistencia!H278,"FE"),EXACT(Asistencia!H278,"PCS"),EXACT(Asistencia!H278,"V")),1,0)</f>
        <v>0</v>
      </c>
      <c r="AL265">
        <f>IF(OR(EXACT(Asistencia!I278,"A"),EXACT(Asistencia!I278,"R"),EXACT(Asistencia!I278,"DL"),EXACT(Asistencia!I278,"FL"),EXACT(Asistencia!I278,"FE"),EXACT(Asistencia!I278,"PCS"),EXACT(Asistencia!I278,"V")),1,0)</f>
        <v>0</v>
      </c>
      <c r="AM265">
        <f>IF(OR(EXACT(Asistencia!J278,"A"),EXACT(Asistencia!J278,"R"),EXACT(Asistencia!J278,"DL"),EXACT(Asistencia!J278,"FL"),EXACT(Asistencia!J278,"FE"),EXACT(Asistencia!J278,"PCS"),EXACT(Asistencia!J278,"V")),1,0)</f>
        <v>0</v>
      </c>
      <c r="AN265">
        <f>IF(OR(EXACT(Asistencia!K278,"A"),EXACT(Asistencia!K278,"R"),EXACT(Asistencia!K278,"DL"),EXACT(Asistencia!K278,"FL"),EXACT(Asistencia!K278,"FE"),EXACT(Asistencia!K278,"PCS"),EXACT(Asistencia!K278,"V")),1,0)</f>
        <v>0</v>
      </c>
      <c r="AO265">
        <f>IF(OR(EXACT(Asistencia!L278,"A"),EXACT(Asistencia!L278,"R"),EXACT(Asistencia!L278,"DL"),EXACT(Asistencia!L278,"FL"),EXACT(Asistencia!L278,"FE"),EXACT(Asistencia!L278,"PCS"),EXACT(Asistencia!L278,"V")),1,0)</f>
        <v>0</v>
      </c>
      <c r="AP265">
        <f t="shared" si="93"/>
        <v>0</v>
      </c>
      <c r="AQ265">
        <f>IF(EXACT(Asistencia!F278,"FL"),1,0)</f>
        <v>0</v>
      </c>
      <c r="AR265">
        <f>IF(EXACT(Asistencia!G278,"FL"),1,0)</f>
        <v>0</v>
      </c>
      <c r="AS265">
        <f>IF(EXACT(Asistencia!H278,"FL"),1,0)</f>
        <v>0</v>
      </c>
      <c r="AT265">
        <f>IF(EXACT(Asistencia!I278,"FL"),1,0)</f>
        <v>0</v>
      </c>
      <c r="AU265">
        <f>IF(EXACT(Asistencia!J278,"FL"),1,0)</f>
        <v>0</v>
      </c>
      <c r="AV265">
        <f>IF(EXACT(Asistencia!K278,"FL"),1,0)</f>
        <v>0</v>
      </c>
      <c r="AW265">
        <f>IF(EXACT(Asistencia!L278,"FL"),1,0)</f>
        <v>0</v>
      </c>
      <c r="AX265">
        <f t="shared" si="94"/>
        <v>0</v>
      </c>
      <c r="AY265">
        <f>IF(EXACT(Asistencia!F278,"DL"),1,0)</f>
        <v>0</v>
      </c>
      <c r="AZ265">
        <f>IF(EXACT(Asistencia!G278,"DL"),1,0)</f>
        <v>0</v>
      </c>
      <c r="BA265">
        <f>IF(EXACT(Asistencia!H278,"DL"),1,0)</f>
        <v>0</v>
      </c>
      <c r="BB265">
        <f>IF(EXACT(Asistencia!I278,"DL"),1,0)</f>
        <v>0</v>
      </c>
      <c r="BC265">
        <f>IF(EXACT(Asistencia!J278,"DL"),1,0)</f>
        <v>0</v>
      </c>
      <c r="BD265">
        <f>IF(EXACT(Asistencia!K278,"DL"),1,0)</f>
        <v>0</v>
      </c>
      <c r="BE265">
        <f>IF(EXACT(Asistencia!L278,"DL"),1,0)</f>
        <v>0</v>
      </c>
      <c r="BF265">
        <f t="shared" si="95"/>
        <v>0</v>
      </c>
      <c r="BG265">
        <f>IF(ISNUMBER(Asistencia!M278),Asistencia!M278,0)</f>
        <v>0</v>
      </c>
      <c r="BH265">
        <f>IF(ISNUMBER(Asistencia!N278),Asistencia!N278,0)</f>
        <v>0</v>
      </c>
      <c r="BI265">
        <f>IF(ISNUMBER(Asistencia!O278),Asistencia!O278,0)</f>
        <v>0</v>
      </c>
      <c r="BJ265">
        <f>IF(ISNUMBER(Asistencia!P278),Asistencia!P278,0)</f>
        <v>0</v>
      </c>
      <c r="BK265" t="str">
        <f>IF(Asistencia!F278="","",Asistencia!F278)</f>
        <v/>
      </c>
      <c r="BL265" t="str">
        <f>IF(Asistencia!G278="","",Asistencia!G278)</f>
        <v/>
      </c>
      <c r="BM265" t="str">
        <f>IF(Asistencia!H278="","",Asistencia!H278)</f>
        <v/>
      </c>
      <c r="BN265" t="str">
        <f>IF(Asistencia!I278="","",Asistencia!I278)</f>
        <v/>
      </c>
      <c r="BO265" t="str">
        <f>IF(Asistencia!J278="","",Asistencia!J278)</f>
        <v/>
      </c>
      <c r="BP265" t="str">
        <f>IF(Asistencia!K278="","",Asistencia!K278)</f>
        <v/>
      </c>
      <c r="BQ265" t="str">
        <f>IF(Asistencia!L278="","",Asistencia!L278)</f>
        <v/>
      </c>
    </row>
    <row r="266" spans="27:69" x14ac:dyDescent="0.25">
      <c r="AA266" t="str">
        <f t="shared" si="92"/>
        <v/>
      </c>
      <c r="AB266" t="str">
        <f>IF(Asistencia!A279="","",Asistencia!A279)</f>
        <v/>
      </c>
      <c r="AC266" t="str">
        <f>IF(Asistencia!A279="","",SUBSTITUTE(SUBSTITUTE(SUBSTITUTE(SUBSTITUTE(SUBSTITUTE(SUBSTITUTE(SUBSTITUTE(UPPER(TRIM(Asistencia!A279)),"Á","A"),"É","E"),"Í","I"),"Ó","O"),"Ú","U"),"Ñ","N"),"  "," "))</f>
        <v/>
      </c>
      <c r="AD266" t="str">
        <f>IF(Asistencia!E279="","",Asistencia!E279)</f>
        <v/>
      </c>
      <c r="AE266" t="str">
        <f>IF(Asistencia!D279="","",UPPER(TRIM(Asistencia!D279)))</f>
        <v/>
      </c>
      <c r="AF266" t="s">
        <v>198</v>
      </c>
      <c r="AG266">
        <f>IF(AND(AA266&lt;&gt;"",COUNTIF($AA$5:AA266,AA266)=1),1,0)</f>
        <v>0</v>
      </c>
      <c r="AH266" t="str">
        <f>IF(AG266=1,SUM($AG$5:AG266),"")</f>
        <v/>
      </c>
      <c r="AI266">
        <f>IF(OR(EXACT(Asistencia!F279,"A"),EXACT(Asistencia!F279,"R"),EXACT(Asistencia!F279,"DL"),EXACT(Asistencia!F279,"FL"),EXACT(Asistencia!F279,"FE"),EXACT(Asistencia!F279,"PCS"),EXACT(Asistencia!F279,"V")),1,0)</f>
        <v>0</v>
      </c>
      <c r="AJ266">
        <f>IF(OR(EXACT(Asistencia!G279,"A"),EXACT(Asistencia!G279,"R"),EXACT(Asistencia!G279,"DL"),EXACT(Asistencia!G279,"FL"),EXACT(Asistencia!G279,"FE"),EXACT(Asistencia!G279,"PCS"),EXACT(Asistencia!G279,"V")),1,0)</f>
        <v>0</v>
      </c>
      <c r="AK266">
        <f>IF(OR(EXACT(Asistencia!H279,"A"),EXACT(Asistencia!H279,"R"),EXACT(Asistencia!H279,"DL"),EXACT(Asistencia!H279,"FL"),EXACT(Asistencia!H279,"FE"),EXACT(Asistencia!H279,"PCS"),EXACT(Asistencia!H279,"V")),1,0)</f>
        <v>0</v>
      </c>
      <c r="AL266">
        <f>IF(OR(EXACT(Asistencia!I279,"A"),EXACT(Asistencia!I279,"R"),EXACT(Asistencia!I279,"DL"),EXACT(Asistencia!I279,"FL"),EXACT(Asistencia!I279,"FE"),EXACT(Asistencia!I279,"PCS"),EXACT(Asistencia!I279,"V")),1,0)</f>
        <v>0</v>
      </c>
      <c r="AM266">
        <f>IF(OR(EXACT(Asistencia!J279,"A"),EXACT(Asistencia!J279,"R"),EXACT(Asistencia!J279,"DL"),EXACT(Asistencia!J279,"FL"),EXACT(Asistencia!J279,"FE"),EXACT(Asistencia!J279,"PCS"),EXACT(Asistencia!J279,"V")),1,0)</f>
        <v>0</v>
      </c>
      <c r="AN266">
        <f>IF(OR(EXACT(Asistencia!K279,"A"),EXACT(Asistencia!K279,"R"),EXACT(Asistencia!K279,"DL"),EXACT(Asistencia!K279,"FL"),EXACT(Asistencia!K279,"FE"),EXACT(Asistencia!K279,"PCS"),EXACT(Asistencia!K279,"V")),1,0)</f>
        <v>0</v>
      </c>
      <c r="AO266">
        <f>IF(OR(EXACT(Asistencia!L279,"A"),EXACT(Asistencia!L279,"R"),EXACT(Asistencia!L279,"DL"),EXACT(Asistencia!L279,"FL"),EXACT(Asistencia!L279,"FE"),EXACT(Asistencia!L279,"PCS"),EXACT(Asistencia!L279,"V")),1,0)</f>
        <v>0</v>
      </c>
      <c r="AP266">
        <f t="shared" si="93"/>
        <v>0</v>
      </c>
      <c r="AQ266">
        <f>IF(EXACT(Asistencia!F279,"FL"),1,0)</f>
        <v>0</v>
      </c>
      <c r="AR266">
        <f>IF(EXACT(Asistencia!G279,"FL"),1,0)</f>
        <v>0</v>
      </c>
      <c r="AS266">
        <f>IF(EXACT(Asistencia!H279,"FL"),1,0)</f>
        <v>0</v>
      </c>
      <c r="AT266">
        <f>IF(EXACT(Asistencia!I279,"FL"),1,0)</f>
        <v>0</v>
      </c>
      <c r="AU266">
        <f>IF(EXACT(Asistencia!J279,"FL"),1,0)</f>
        <v>0</v>
      </c>
      <c r="AV266">
        <f>IF(EXACT(Asistencia!K279,"FL"),1,0)</f>
        <v>0</v>
      </c>
      <c r="AW266">
        <f>IF(EXACT(Asistencia!L279,"FL"),1,0)</f>
        <v>0</v>
      </c>
      <c r="AX266">
        <f t="shared" si="94"/>
        <v>0</v>
      </c>
      <c r="AY266">
        <f>IF(EXACT(Asistencia!F279,"DL"),1,0)</f>
        <v>0</v>
      </c>
      <c r="AZ266">
        <f>IF(EXACT(Asistencia!G279,"DL"),1,0)</f>
        <v>0</v>
      </c>
      <c r="BA266">
        <f>IF(EXACT(Asistencia!H279,"DL"),1,0)</f>
        <v>0</v>
      </c>
      <c r="BB266">
        <f>IF(EXACT(Asistencia!I279,"DL"),1,0)</f>
        <v>0</v>
      </c>
      <c r="BC266">
        <f>IF(EXACT(Asistencia!J279,"DL"),1,0)</f>
        <v>0</v>
      </c>
      <c r="BD266">
        <f>IF(EXACT(Asistencia!K279,"DL"),1,0)</f>
        <v>0</v>
      </c>
      <c r="BE266">
        <f>IF(EXACT(Asistencia!L279,"DL"),1,0)</f>
        <v>0</v>
      </c>
      <c r="BF266">
        <f t="shared" si="95"/>
        <v>0</v>
      </c>
      <c r="BG266">
        <f>IF(ISNUMBER(Asistencia!M279),Asistencia!M279,0)</f>
        <v>0</v>
      </c>
      <c r="BH266">
        <f>IF(ISNUMBER(Asistencia!N279),Asistencia!N279,0)</f>
        <v>0</v>
      </c>
      <c r="BI266">
        <f>IF(ISNUMBER(Asistencia!O279),Asistencia!O279,0)</f>
        <v>0</v>
      </c>
      <c r="BJ266">
        <f>IF(ISNUMBER(Asistencia!P279),Asistencia!P279,0)</f>
        <v>0</v>
      </c>
      <c r="BK266" t="str">
        <f>IF(Asistencia!F279="","",Asistencia!F279)</f>
        <v/>
      </c>
      <c r="BL266" t="str">
        <f>IF(Asistencia!G279="","",Asistencia!G279)</f>
        <v/>
      </c>
      <c r="BM266" t="str">
        <f>IF(Asistencia!H279="","",Asistencia!H279)</f>
        <v/>
      </c>
      <c r="BN266" t="str">
        <f>IF(Asistencia!I279="","",Asistencia!I279)</f>
        <v/>
      </c>
      <c r="BO266" t="str">
        <f>IF(Asistencia!J279="","",Asistencia!J279)</f>
        <v/>
      </c>
      <c r="BP266" t="str">
        <f>IF(Asistencia!K279="","",Asistencia!K279)</f>
        <v/>
      </c>
      <c r="BQ266" t="str">
        <f>IF(Asistencia!L279="","",Asistencia!L279)</f>
        <v/>
      </c>
    </row>
    <row r="267" spans="27:69" x14ac:dyDescent="0.25">
      <c r="AA267" t="str">
        <f t="shared" si="92"/>
        <v/>
      </c>
      <c r="AB267" t="str">
        <f>IF(Asistencia!A280="","",Asistencia!A280)</f>
        <v/>
      </c>
      <c r="AC267" t="str">
        <f>IF(Asistencia!A280="","",SUBSTITUTE(SUBSTITUTE(SUBSTITUTE(SUBSTITUTE(SUBSTITUTE(SUBSTITUTE(SUBSTITUTE(UPPER(TRIM(Asistencia!A280)),"Á","A"),"É","E"),"Í","I"),"Ó","O"),"Ú","U"),"Ñ","N"),"  "," "))</f>
        <v/>
      </c>
      <c r="AD267" t="str">
        <f>IF(Asistencia!E280="","",Asistencia!E280)</f>
        <v/>
      </c>
      <c r="AE267" t="str">
        <f>IF(Asistencia!D280="","",UPPER(TRIM(Asistencia!D280)))</f>
        <v/>
      </c>
      <c r="AF267" t="s">
        <v>198</v>
      </c>
      <c r="AG267">
        <f>IF(AND(AA267&lt;&gt;"",COUNTIF($AA$5:AA267,AA267)=1),1,0)</f>
        <v>0</v>
      </c>
      <c r="AH267" t="str">
        <f>IF(AG267=1,SUM($AG$5:AG267),"")</f>
        <v/>
      </c>
      <c r="AI267">
        <f>IF(OR(EXACT(Asistencia!F280,"A"),EXACT(Asistencia!F280,"R"),EXACT(Asistencia!F280,"DL"),EXACT(Asistencia!F280,"FL"),EXACT(Asistencia!F280,"FE"),EXACT(Asistencia!F280,"PCS"),EXACT(Asistencia!F280,"V")),1,0)</f>
        <v>0</v>
      </c>
      <c r="AJ267">
        <f>IF(OR(EXACT(Asistencia!G280,"A"),EXACT(Asistencia!G280,"R"),EXACT(Asistencia!G280,"DL"),EXACT(Asistencia!G280,"FL"),EXACT(Asistencia!G280,"FE"),EXACT(Asistencia!G280,"PCS"),EXACT(Asistencia!G280,"V")),1,0)</f>
        <v>0</v>
      </c>
      <c r="AK267">
        <f>IF(OR(EXACT(Asistencia!H280,"A"),EXACT(Asistencia!H280,"R"),EXACT(Asistencia!H280,"DL"),EXACT(Asistencia!H280,"FL"),EXACT(Asistencia!H280,"FE"),EXACT(Asistencia!H280,"PCS"),EXACT(Asistencia!H280,"V")),1,0)</f>
        <v>0</v>
      </c>
      <c r="AL267">
        <f>IF(OR(EXACT(Asistencia!I280,"A"),EXACT(Asistencia!I280,"R"),EXACT(Asistencia!I280,"DL"),EXACT(Asistencia!I280,"FL"),EXACT(Asistencia!I280,"FE"),EXACT(Asistencia!I280,"PCS"),EXACT(Asistencia!I280,"V")),1,0)</f>
        <v>0</v>
      </c>
      <c r="AM267">
        <f>IF(OR(EXACT(Asistencia!J280,"A"),EXACT(Asistencia!J280,"R"),EXACT(Asistencia!J280,"DL"),EXACT(Asistencia!J280,"FL"),EXACT(Asistencia!J280,"FE"),EXACT(Asistencia!J280,"PCS"),EXACT(Asistencia!J280,"V")),1,0)</f>
        <v>0</v>
      </c>
      <c r="AN267">
        <f>IF(OR(EXACT(Asistencia!K280,"A"),EXACT(Asistencia!K280,"R"),EXACT(Asistencia!K280,"DL"),EXACT(Asistencia!K280,"FL"),EXACT(Asistencia!K280,"FE"),EXACT(Asistencia!K280,"PCS"),EXACT(Asistencia!K280,"V")),1,0)</f>
        <v>0</v>
      </c>
      <c r="AO267">
        <f>IF(OR(EXACT(Asistencia!L280,"A"),EXACT(Asistencia!L280,"R"),EXACT(Asistencia!L280,"DL"),EXACT(Asistencia!L280,"FL"),EXACT(Asistencia!L280,"FE"),EXACT(Asistencia!L280,"PCS"),EXACT(Asistencia!L280,"V")),1,0)</f>
        <v>0</v>
      </c>
      <c r="AP267">
        <f t="shared" si="93"/>
        <v>0</v>
      </c>
      <c r="AQ267">
        <f>IF(EXACT(Asistencia!F280,"FL"),1,0)</f>
        <v>0</v>
      </c>
      <c r="AR267">
        <f>IF(EXACT(Asistencia!G280,"FL"),1,0)</f>
        <v>0</v>
      </c>
      <c r="AS267">
        <f>IF(EXACT(Asistencia!H280,"FL"),1,0)</f>
        <v>0</v>
      </c>
      <c r="AT267">
        <f>IF(EXACT(Asistencia!I280,"FL"),1,0)</f>
        <v>0</v>
      </c>
      <c r="AU267">
        <f>IF(EXACT(Asistencia!J280,"FL"),1,0)</f>
        <v>0</v>
      </c>
      <c r="AV267">
        <f>IF(EXACT(Asistencia!K280,"FL"),1,0)</f>
        <v>0</v>
      </c>
      <c r="AW267">
        <f>IF(EXACT(Asistencia!L280,"FL"),1,0)</f>
        <v>0</v>
      </c>
      <c r="AX267">
        <f t="shared" si="94"/>
        <v>0</v>
      </c>
      <c r="AY267">
        <f>IF(EXACT(Asistencia!F280,"DL"),1,0)</f>
        <v>0</v>
      </c>
      <c r="AZ267">
        <f>IF(EXACT(Asistencia!G280,"DL"),1,0)</f>
        <v>0</v>
      </c>
      <c r="BA267">
        <f>IF(EXACT(Asistencia!H280,"DL"),1,0)</f>
        <v>0</v>
      </c>
      <c r="BB267">
        <f>IF(EXACT(Asistencia!I280,"DL"),1,0)</f>
        <v>0</v>
      </c>
      <c r="BC267">
        <f>IF(EXACT(Asistencia!J280,"DL"),1,0)</f>
        <v>0</v>
      </c>
      <c r="BD267">
        <f>IF(EXACT(Asistencia!K280,"DL"),1,0)</f>
        <v>0</v>
      </c>
      <c r="BE267">
        <f>IF(EXACT(Asistencia!L280,"DL"),1,0)</f>
        <v>0</v>
      </c>
      <c r="BF267">
        <f t="shared" si="95"/>
        <v>0</v>
      </c>
      <c r="BG267">
        <f>IF(ISNUMBER(Asistencia!M280),Asistencia!M280,0)</f>
        <v>0</v>
      </c>
      <c r="BH267">
        <f>IF(ISNUMBER(Asistencia!N280),Asistencia!N280,0)</f>
        <v>0</v>
      </c>
      <c r="BI267">
        <f>IF(ISNUMBER(Asistencia!O280),Asistencia!O280,0)</f>
        <v>0</v>
      </c>
      <c r="BJ267">
        <f>IF(ISNUMBER(Asistencia!P280),Asistencia!P280,0)</f>
        <v>0</v>
      </c>
      <c r="BK267" t="str">
        <f>IF(Asistencia!F280="","",Asistencia!F280)</f>
        <v/>
      </c>
      <c r="BL267" t="str">
        <f>IF(Asistencia!G280="","",Asistencia!G280)</f>
        <v/>
      </c>
      <c r="BM267" t="str">
        <f>IF(Asistencia!H280="","",Asistencia!H280)</f>
        <v/>
      </c>
      <c r="BN267" t="str">
        <f>IF(Asistencia!I280="","",Asistencia!I280)</f>
        <v/>
      </c>
      <c r="BO267" t="str">
        <f>IF(Asistencia!J280="","",Asistencia!J280)</f>
        <v/>
      </c>
      <c r="BP267" t="str">
        <f>IF(Asistencia!K280="","",Asistencia!K280)</f>
        <v/>
      </c>
      <c r="BQ267" t="str">
        <f>IF(Asistencia!L280="","",Asistencia!L280)</f>
        <v/>
      </c>
    </row>
    <row r="268" spans="27:69" x14ac:dyDescent="0.25">
      <c r="AA268" t="str">
        <f t="shared" si="92"/>
        <v/>
      </c>
      <c r="AB268" t="str">
        <f>IF(Asistencia!A281="","",Asistencia!A281)</f>
        <v/>
      </c>
      <c r="AC268" t="str">
        <f>IF(Asistencia!A281="","",SUBSTITUTE(SUBSTITUTE(SUBSTITUTE(SUBSTITUTE(SUBSTITUTE(SUBSTITUTE(SUBSTITUTE(UPPER(TRIM(Asistencia!A281)),"Á","A"),"É","E"),"Í","I"),"Ó","O"),"Ú","U"),"Ñ","N"),"  "," "))</f>
        <v/>
      </c>
      <c r="AD268" t="str">
        <f>IF(Asistencia!E281="","",Asistencia!E281)</f>
        <v/>
      </c>
      <c r="AE268" t="str">
        <f>IF(Asistencia!D281="","",UPPER(TRIM(Asistencia!D281)))</f>
        <v/>
      </c>
      <c r="AF268" t="s">
        <v>198</v>
      </c>
      <c r="AG268">
        <f>IF(AND(AA268&lt;&gt;"",COUNTIF($AA$5:AA268,AA268)=1),1,0)</f>
        <v>0</v>
      </c>
      <c r="AH268" t="str">
        <f>IF(AG268=1,SUM($AG$5:AG268),"")</f>
        <v/>
      </c>
      <c r="AI268">
        <f>IF(OR(EXACT(Asistencia!F281,"A"),EXACT(Asistencia!F281,"R"),EXACT(Asistencia!F281,"DL"),EXACT(Asistencia!F281,"FL"),EXACT(Asistencia!F281,"FE"),EXACT(Asistencia!F281,"PCS"),EXACT(Asistencia!F281,"V")),1,0)</f>
        <v>0</v>
      </c>
      <c r="AJ268">
        <f>IF(OR(EXACT(Asistencia!G281,"A"),EXACT(Asistencia!G281,"R"),EXACT(Asistencia!G281,"DL"),EXACT(Asistencia!G281,"FL"),EXACT(Asistencia!G281,"FE"),EXACT(Asistencia!G281,"PCS"),EXACT(Asistencia!G281,"V")),1,0)</f>
        <v>0</v>
      </c>
      <c r="AK268">
        <f>IF(OR(EXACT(Asistencia!H281,"A"),EXACT(Asistencia!H281,"R"),EXACT(Asistencia!H281,"DL"),EXACT(Asistencia!H281,"FL"),EXACT(Asistencia!H281,"FE"),EXACT(Asistencia!H281,"PCS"),EXACT(Asistencia!H281,"V")),1,0)</f>
        <v>0</v>
      </c>
      <c r="AL268">
        <f>IF(OR(EXACT(Asistencia!I281,"A"),EXACT(Asistencia!I281,"R"),EXACT(Asistencia!I281,"DL"),EXACT(Asistencia!I281,"FL"),EXACT(Asistencia!I281,"FE"),EXACT(Asistencia!I281,"PCS"),EXACT(Asistencia!I281,"V")),1,0)</f>
        <v>0</v>
      </c>
      <c r="AM268">
        <f>IF(OR(EXACT(Asistencia!J281,"A"),EXACT(Asistencia!J281,"R"),EXACT(Asistencia!J281,"DL"),EXACT(Asistencia!J281,"FL"),EXACT(Asistencia!J281,"FE"),EXACT(Asistencia!J281,"PCS"),EXACT(Asistencia!J281,"V")),1,0)</f>
        <v>0</v>
      </c>
      <c r="AN268">
        <f>IF(OR(EXACT(Asistencia!K281,"A"),EXACT(Asistencia!K281,"R"),EXACT(Asistencia!K281,"DL"),EXACT(Asistencia!K281,"FL"),EXACT(Asistencia!K281,"FE"),EXACT(Asistencia!K281,"PCS"),EXACT(Asistencia!K281,"V")),1,0)</f>
        <v>0</v>
      </c>
      <c r="AO268">
        <f>IF(OR(EXACT(Asistencia!L281,"A"),EXACT(Asistencia!L281,"R"),EXACT(Asistencia!L281,"DL"),EXACT(Asistencia!L281,"FL"),EXACT(Asistencia!L281,"FE"),EXACT(Asistencia!L281,"PCS"),EXACT(Asistencia!L281,"V")),1,0)</f>
        <v>0</v>
      </c>
      <c r="AP268">
        <f t="shared" si="93"/>
        <v>0</v>
      </c>
      <c r="AQ268">
        <f>IF(EXACT(Asistencia!F281,"FL"),1,0)</f>
        <v>0</v>
      </c>
      <c r="AR268">
        <f>IF(EXACT(Asistencia!G281,"FL"),1,0)</f>
        <v>0</v>
      </c>
      <c r="AS268">
        <f>IF(EXACT(Asistencia!H281,"FL"),1,0)</f>
        <v>0</v>
      </c>
      <c r="AT268">
        <f>IF(EXACT(Asistencia!I281,"FL"),1,0)</f>
        <v>0</v>
      </c>
      <c r="AU268">
        <f>IF(EXACT(Asistencia!J281,"FL"),1,0)</f>
        <v>0</v>
      </c>
      <c r="AV268">
        <f>IF(EXACT(Asistencia!K281,"FL"),1,0)</f>
        <v>0</v>
      </c>
      <c r="AW268">
        <f>IF(EXACT(Asistencia!L281,"FL"),1,0)</f>
        <v>0</v>
      </c>
      <c r="AX268">
        <f t="shared" si="94"/>
        <v>0</v>
      </c>
      <c r="AY268">
        <f>IF(EXACT(Asistencia!F281,"DL"),1,0)</f>
        <v>0</v>
      </c>
      <c r="AZ268">
        <f>IF(EXACT(Asistencia!G281,"DL"),1,0)</f>
        <v>0</v>
      </c>
      <c r="BA268">
        <f>IF(EXACT(Asistencia!H281,"DL"),1,0)</f>
        <v>0</v>
      </c>
      <c r="BB268">
        <f>IF(EXACT(Asistencia!I281,"DL"),1,0)</f>
        <v>0</v>
      </c>
      <c r="BC268">
        <f>IF(EXACT(Asistencia!J281,"DL"),1,0)</f>
        <v>0</v>
      </c>
      <c r="BD268">
        <f>IF(EXACT(Asistencia!K281,"DL"),1,0)</f>
        <v>0</v>
      </c>
      <c r="BE268">
        <f>IF(EXACT(Asistencia!L281,"DL"),1,0)</f>
        <v>0</v>
      </c>
      <c r="BF268">
        <f t="shared" si="95"/>
        <v>0</v>
      </c>
      <c r="BG268">
        <f>IF(ISNUMBER(Asistencia!M281),Asistencia!M281,0)</f>
        <v>0</v>
      </c>
      <c r="BH268">
        <f>IF(ISNUMBER(Asistencia!N281),Asistencia!N281,0)</f>
        <v>0</v>
      </c>
      <c r="BI268">
        <f>IF(ISNUMBER(Asistencia!O281),Asistencia!O281,0)</f>
        <v>0</v>
      </c>
      <c r="BJ268">
        <f>IF(ISNUMBER(Asistencia!P281),Asistencia!P281,0)</f>
        <v>0</v>
      </c>
      <c r="BK268" t="str">
        <f>IF(Asistencia!F281="","",Asistencia!F281)</f>
        <v/>
      </c>
      <c r="BL268" t="str">
        <f>IF(Asistencia!G281="","",Asistencia!G281)</f>
        <v/>
      </c>
      <c r="BM268" t="str">
        <f>IF(Asistencia!H281="","",Asistencia!H281)</f>
        <v/>
      </c>
      <c r="BN268" t="str">
        <f>IF(Asistencia!I281="","",Asistencia!I281)</f>
        <v/>
      </c>
      <c r="BO268" t="str">
        <f>IF(Asistencia!J281="","",Asistencia!J281)</f>
        <v/>
      </c>
      <c r="BP268" t="str">
        <f>IF(Asistencia!K281="","",Asistencia!K281)</f>
        <v/>
      </c>
      <c r="BQ268" t="str">
        <f>IF(Asistencia!L281="","",Asistencia!L281)</f>
        <v/>
      </c>
    </row>
    <row r="269" spans="27:69" x14ac:dyDescent="0.25">
      <c r="AA269" t="str">
        <f t="shared" si="92"/>
        <v/>
      </c>
      <c r="AB269" t="str">
        <f>IF(Asistencia!A282="","",Asistencia!A282)</f>
        <v/>
      </c>
      <c r="AC269" t="str">
        <f>IF(Asistencia!A282="","",SUBSTITUTE(SUBSTITUTE(SUBSTITUTE(SUBSTITUTE(SUBSTITUTE(SUBSTITUTE(SUBSTITUTE(UPPER(TRIM(Asistencia!A282)),"Á","A"),"É","E"),"Í","I"),"Ó","O"),"Ú","U"),"Ñ","N"),"  "," "))</f>
        <v/>
      </c>
      <c r="AD269" t="str">
        <f>IF(Asistencia!E282="","",Asistencia!E282)</f>
        <v/>
      </c>
      <c r="AE269" t="str">
        <f>IF(Asistencia!D282="","",UPPER(TRIM(Asistencia!D282)))</f>
        <v/>
      </c>
      <c r="AF269" t="s">
        <v>198</v>
      </c>
      <c r="AG269">
        <f>IF(AND(AA269&lt;&gt;"",COUNTIF($AA$5:AA269,AA269)=1),1,0)</f>
        <v>0</v>
      </c>
      <c r="AH269" t="str">
        <f>IF(AG269=1,SUM($AG$5:AG269),"")</f>
        <v/>
      </c>
      <c r="AI269">
        <f>IF(OR(EXACT(Asistencia!F282,"A"),EXACT(Asistencia!F282,"R"),EXACT(Asistencia!F282,"DL"),EXACT(Asistencia!F282,"FL"),EXACT(Asistencia!F282,"FE"),EXACT(Asistencia!F282,"PCS"),EXACT(Asistencia!F282,"V")),1,0)</f>
        <v>0</v>
      </c>
      <c r="AJ269">
        <f>IF(OR(EXACT(Asistencia!G282,"A"),EXACT(Asistencia!G282,"R"),EXACT(Asistencia!G282,"DL"),EXACT(Asistencia!G282,"FL"),EXACT(Asistencia!G282,"FE"),EXACT(Asistencia!G282,"PCS"),EXACT(Asistencia!G282,"V")),1,0)</f>
        <v>0</v>
      </c>
      <c r="AK269">
        <f>IF(OR(EXACT(Asistencia!H282,"A"),EXACT(Asistencia!H282,"R"),EXACT(Asistencia!H282,"DL"),EXACT(Asistencia!H282,"FL"),EXACT(Asistencia!H282,"FE"),EXACT(Asistencia!H282,"PCS"),EXACT(Asistencia!H282,"V")),1,0)</f>
        <v>0</v>
      </c>
      <c r="AL269">
        <f>IF(OR(EXACT(Asistencia!I282,"A"),EXACT(Asistencia!I282,"R"),EXACT(Asistencia!I282,"DL"),EXACT(Asistencia!I282,"FL"),EXACT(Asistencia!I282,"FE"),EXACT(Asistencia!I282,"PCS"),EXACT(Asistencia!I282,"V")),1,0)</f>
        <v>0</v>
      </c>
      <c r="AM269">
        <f>IF(OR(EXACT(Asistencia!J282,"A"),EXACT(Asistencia!J282,"R"),EXACT(Asistencia!J282,"DL"),EXACT(Asistencia!J282,"FL"),EXACT(Asistencia!J282,"FE"),EXACT(Asistencia!J282,"PCS"),EXACT(Asistencia!J282,"V")),1,0)</f>
        <v>0</v>
      </c>
      <c r="AN269">
        <f>IF(OR(EXACT(Asistencia!K282,"A"),EXACT(Asistencia!K282,"R"),EXACT(Asistencia!K282,"DL"),EXACT(Asistencia!K282,"FL"),EXACT(Asistencia!K282,"FE"),EXACT(Asistencia!K282,"PCS"),EXACT(Asistencia!K282,"V")),1,0)</f>
        <v>0</v>
      </c>
      <c r="AO269">
        <f>IF(OR(EXACT(Asistencia!L282,"A"),EXACT(Asistencia!L282,"R"),EXACT(Asistencia!L282,"DL"),EXACT(Asistencia!L282,"FL"),EXACT(Asistencia!L282,"FE"),EXACT(Asistencia!L282,"PCS"),EXACT(Asistencia!L282,"V")),1,0)</f>
        <v>0</v>
      </c>
      <c r="AP269">
        <f t="shared" si="93"/>
        <v>0</v>
      </c>
      <c r="AQ269">
        <f>IF(EXACT(Asistencia!F282,"FL"),1,0)</f>
        <v>0</v>
      </c>
      <c r="AR269">
        <f>IF(EXACT(Asistencia!G282,"FL"),1,0)</f>
        <v>0</v>
      </c>
      <c r="AS269">
        <f>IF(EXACT(Asistencia!H282,"FL"),1,0)</f>
        <v>0</v>
      </c>
      <c r="AT269">
        <f>IF(EXACT(Asistencia!I282,"FL"),1,0)</f>
        <v>0</v>
      </c>
      <c r="AU269">
        <f>IF(EXACT(Asistencia!J282,"FL"),1,0)</f>
        <v>0</v>
      </c>
      <c r="AV269">
        <f>IF(EXACT(Asistencia!K282,"FL"),1,0)</f>
        <v>0</v>
      </c>
      <c r="AW269">
        <f>IF(EXACT(Asistencia!L282,"FL"),1,0)</f>
        <v>0</v>
      </c>
      <c r="AX269">
        <f t="shared" si="94"/>
        <v>0</v>
      </c>
      <c r="AY269">
        <f>IF(EXACT(Asistencia!F282,"DL"),1,0)</f>
        <v>0</v>
      </c>
      <c r="AZ269">
        <f>IF(EXACT(Asistencia!G282,"DL"),1,0)</f>
        <v>0</v>
      </c>
      <c r="BA269">
        <f>IF(EXACT(Asistencia!H282,"DL"),1,0)</f>
        <v>0</v>
      </c>
      <c r="BB269">
        <f>IF(EXACT(Asistencia!I282,"DL"),1,0)</f>
        <v>0</v>
      </c>
      <c r="BC269">
        <f>IF(EXACT(Asistencia!J282,"DL"),1,0)</f>
        <v>0</v>
      </c>
      <c r="BD269">
        <f>IF(EXACT(Asistencia!K282,"DL"),1,0)</f>
        <v>0</v>
      </c>
      <c r="BE269">
        <f>IF(EXACT(Asistencia!L282,"DL"),1,0)</f>
        <v>0</v>
      </c>
      <c r="BF269">
        <f t="shared" si="95"/>
        <v>0</v>
      </c>
      <c r="BG269">
        <f>IF(ISNUMBER(Asistencia!M282),Asistencia!M282,0)</f>
        <v>0</v>
      </c>
      <c r="BH269">
        <f>IF(ISNUMBER(Asistencia!N282),Asistencia!N282,0)</f>
        <v>0</v>
      </c>
      <c r="BI269">
        <f>IF(ISNUMBER(Asistencia!O282),Asistencia!O282,0)</f>
        <v>0</v>
      </c>
      <c r="BJ269">
        <f>IF(ISNUMBER(Asistencia!P282),Asistencia!P282,0)</f>
        <v>0</v>
      </c>
      <c r="BK269" t="str">
        <f>IF(Asistencia!F282="","",Asistencia!F282)</f>
        <v/>
      </c>
      <c r="BL269" t="str">
        <f>IF(Asistencia!G282="","",Asistencia!G282)</f>
        <v/>
      </c>
      <c r="BM269" t="str">
        <f>IF(Asistencia!H282="","",Asistencia!H282)</f>
        <v/>
      </c>
      <c r="BN269" t="str">
        <f>IF(Asistencia!I282="","",Asistencia!I282)</f>
        <v/>
      </c>
      <c r="BO269" t="str">
        <f>IF(Asistencia!J282="","",Asistencia!J282)</f>
        <v/>
      </c>
      <c r="BP269" t="str">
        <f>IF(Asistencia!K282="","",Asistencia!K282)</f>
        <v/>
      </c>
      <c r="BQ269" t="str">
        <f>IF(Asistencia!L282="","",Asistencia!L282)</f>
        <v/>
      </c>
    </row>
    <row r="270" spans="27:69" x14ac:dyDescent="0.25">
      <c r="AA270" t="str">
        <f t="shared" si="92"/>
        <v/>
      </c>
      <c r="AB270" t="str">
        <f>IF(Asistencia!A283="","",Asistencia!A283)</f>
        <v/>
      </c>
      <c r="AC270" t="str">
        <f>IF(Asistencia!A283="","",SUBSTITUTE(SUBSTITUTE(SUBSTITUTE(SUBSTITUTE(SUBSTITUTE(SUBSTITUTE(SUBSTITUTE(UPPER(TRIM(Asistencia!A283)),"Á","A"),"É","E"),"Í","I"),"Ó","O"),"Ú","U"),"Ñ","N"),"  "," "))</f>
        <v/>
      </c>
      <c r="AD270" t="str">
        <f>IF(Asistencia!E283="","",Asistencia!E283)</f>
        <v/>
      </c>
      <c r="AE270" t="str">
        <f>IF(Asistencia!D283="","",UPPER(TRIM(Asistencia!D283)))</f>
        <v/>
      </c>
      <c r="AF270" t="s">
        <v>198</v>
      </c>
      <c r="AG270">
        <f>IF(AND(AA270&lt;&gt;"",COUNTIF($AA$5:AA270,AA270)=1),1,0)</f>
        <v>0</v>
      </c>
      <c r="AH270" t="str">
        <f>IF(AG270=1,SUM($AG$5:AG270),"")</f>
        <v/>
      </c>
      <c r="AI270">
        <f>IF(OR(EXACT(Asistencia!F283,"A"),EXACT(Asistencia!F283,"R"),EXACT(Asistencia!F283,"DL"),EXACT(Asistencia!F283,"FL"),EXACT(Asistencia!F283,"FE"),EXACT(Asistencia!F283,"PCS"),EXACT(Asistencia!F283,"V")),1,0)</f>
        <v>0</v>
      </c>
      <c r="AJ270">
        <f>IF(OR(EXACT(Asistencia!G283,"A"),EXACT(Asistencia!G283,"R"),EXACT(Asistencia!G283,"DL"),EXACT(Asistencia!G283,"FL"),EXACT(Asistencia!G283,"FE"),EXACT(Asistencia!G283,"PCS"),EXACT(Asistencia!G283,"V")),1,0)</f>
        <v>0</v>
      </c>
      <c r="AK270">
        <f>IF(OR(EXACT(Asistencia!H283,"A"),EXACT(Asistencia!H283,"R"),EXACT(Asistencia!H283,"DL"),EXACT(Asistencia!H283,"FL"),EXACT(Asistencia!H283,"FE"),EXACT(Asistencia!H283,"PCS"),EXACT(Asistencia!H283,"V")),1,0)</f>
        <v>0</v>
      </c>
      <c r="AL270">
        <f>IF(OR(EXACT(Asistencia!I283,"A"),EXACT(Asistencia!I283,"R"),EXACT(Asistencia!I283,"DL"),EXACT(Asistencia!I283,"FL"),EXACT(Asistencia!I283,"FE"),EXACT(Asistencia!I283,"PCS"),EXACT(Asistencia!I283,"V")),1,0)</f>
        <v>0</v>
      </c>
      <c r="AM270">
        <f>IF(OR(EXACT(Asistencia!J283,"A"),EXACT(Asistencia!J283,"R"),EXACT(Asistencia!J283,"DL"),EXACT(Asistencia!J283,"FL"),EXACT(Asistencia!J283,"FE"),EXACT(Asistencia!J283,"PCS"),EXACT(Asistencia!J283,"V")),1,0)</f>
        <v>0</v>
      </c>
      <c r="AN270">
        <f>IF(OR(EXACT(Asistencia!K283,"A"),EXACT(Asistencia!K283,"R"),EXACT(Asistencia!K283,"DL"),EXACT(Asistencia!K283,"FL"),EXACT(Asistencia!K283,"FE"),EXACT(Asistencia!K283,"PCS"),EXACT(Asistencia!K283,"V")),1,0)</f>
        <v>0</v>
      </c>
      <c r="AO270">
        <f>IF(OR(EXACT(Asistencia!L283,"A"),EXACT(Asistencia!L283,"R"),EXACT(Asistencia!L283,"DL"),EXACT(Asistencia!L283,"FL"),EXACT(Asistencia!L283,"FE"),EXACT(Asistencia!L283,"PCS"),EXACT(Asistencia!L283,"V")),1,0)</f>
        <v>0</v>
      </c>
      <c r="AP270">
        <f t="shared" si="93"/>
        <v>0</v>
      </c>
      <c r="AQ270">
        <f>IF(EXACT(Asistencia!F283,"FL"),1,0)</f>
        <v>0</v>
      </c>
      <c r="AR270">
        <f>IF(EXACT(Asistencia!G283,"FL"),1,0)</f>
        <v>0</v>
      </c>
      <c r="AS270">
        <f>IF(EXACT(Asistencia!H283,"FL"),1,0)</f>
        <v>0</v>
      </c>
      <c r="AT270">
        <f>IF(EXACT(Asistencia!I283,"FL"),1,0)</f>
        <v>0</v>
      </c>
      <c r="AU270">
        <f>IF(EXACT(Asistencia!J283,"FL"),1,0)</f>
        <v>0</v>
      </c>
      <c r="AV270">
        <f>IF(EXACT(Asistencia!K283,"FL"),1,0)</f>
        <v>0</v>
      </c>
      <c r="AW270">
        <f>IF(EXACT(Asistencia!L283,"FL"),1,0)</f>
        <v>0</v>
      </c>
      <c r="AX270">
        <f t="shared" si="94"/>
        <v>0</v>
      </c>
      <c r="AY270">
        <f>IF(EXACT(Asistencia!F283,"DL"),1,0)</f>
        <v>0</v>
      </c>
      <c r="AZ270">
        <f>IF(EXACT(Asistencia!G283,"DL"),1,0)</f>
        <v>0</v>
      </c>
      <c r="BA270">
        <f>IF(EXACT(Asistencia!H283,"DL"),1,0)</f>
        <v>0</v>
      </c>
      <c r="BB270">
        <f>IF(EXACT(Asistencia!I283,"DL"),1,0)</f>
        <v>0</v>
      </c>
      <c r="BC270">
        <f>IF(EXACT(Asistencia!J283,"DL"),1,0)</f>
        <v>0</v>
      </c>
      <c r="BD270">
        <f>IF(EXACT(Asistencia!K283,"DL"),1,0)</f>
        <v>0</v>
      </c>
      <c r="BE270">
        <f>IF(EXACT(Asistencia!L283,"DL"),1,0)</f>
        <v>0</v>
      </c>
      <c r="BF270">
        <f t="shared" si="95"/>
        <v>0</v>
      </c>
      <c r="BG270">
        <f>IF(ISNUMBER(Asistencia!M283),Asistencia!M283,0)</f>
        <v>0</v>
      </c>
      <c r="BH270">
        <f>IF(ISNUMBER(Asistencia!N283),Asistencia!N283,0)</f>
        <v>0</v>
      </c>
      <c r="BI270">
        <f>IF(ISNUMBER(Asistencia!O283),Asistencia!O283,0)</f>
        <v>0</v>
      </c>
      <c r="BJ270">
        <f>IF(ISNUMBER(Asistencia!P283),Asistencia!P283,0)</f>
        <v>0</v>
      </c>
      <c r="BK270" t="str">
        <f>IF(Asistencia!F283="","",Asistencia!F283)</f>
        <v/>
      </c>
      <c r="BL270" t="str">
        <f>IF(Asistencia!G283="","",Asistencia!G283)</f>
        <v/>
      </c>
      <c r="BM270" t="str">
        <f>IF(Asistencia!H283="","",Asistencia!H283)</f>
        <v/>
      </c>
      <c r="BN270" t="str">
        <f>IF(Asistencia!I283="","",Asistencia!I283)</f>
        <v/>
      </c>
      <c r="BO270" t="str">
        <f>IF(Asistencia!J283="","",Asistencia!J283)</f>
        <v/>
      </c>
      <c r="BP270" t="str">
        <f>IF(Asistencia!K283="","",Asistencia!K283)</f>
        <v/>
      </c>
      <c r="BQ270" t="str">
        <f>IF(Asistencia!L283="","",Asistencia!L283)</f>
        <v/>
      </c>
    </row>
    <row r="271" spans="27:69" x14ac:dyDescent="0.25">
      <c r="AA271" t="str">
        <f t="shared" si="92"/>
        <v/>
      </c>
      <c r="AB271" t="str">
        <f>IF(Asistencia!A284="","",Asistencia!A284)</f>
        <v/>
      </c>
      <c r="AC271" t="str">
        <f>IF(Asistencia!A284="","",SUBSTITUTE(SUBSTITUTE(SUBSTITUTE(SUBSTITUTE(SUBSTITUTE(SUBSTITUTE(SUBSTITUTE(UPPER(TRIM(Asistencia!A284)),"Á","A"),"É","E"),"Í","I"),"Ó","O"),"Ú","U"),"Ñ","N"),"  "," "))</f>
        <v/>
      </c>
      <c r="AD271" t="str">
        <f>IF(Asistencia!E284="","",Asistencia!E284)</f>
        <v/>
      </c>
      <c r="AE271" t="str">
        <f>IF(Asistencia!D284="","",UPPER(TRIM(Asistencia!D284)))</f>
        <v/>
      </c>
      <c r="AF271" t="s">
        <v>198</v>
      </c>
      <c r="AG271">
        <f>IF(AND(AA271&lt;&gt;"",COUNTIF($AA$5:AA271,AA271)=1),1,0)</f>
        <v>0</v>
      </c>
      <c r="AH271" t="str">
        <f>IF(AG271=1,SUM($AG$5:AG271),"")</f>
        <v/>
      </c>
      <c r="AI271">
        <f>IF(OR(EXACT(Asistencia!F284,"A"),EXACT(Asistencia!F284,"R"),EXACT(Asistencia!F284,"DL"),EXACT(Asistencia!F284,"FL"),EXACT(Asistencia!F284,"FE"),EXACT(Asistencia!F284,"PCS"),EXACT(Asistencia!F284,"V")),1,0)</f>
        <v>0</v>
      </c>
      <c r="AJ271">
        <f>IF(OR(EXACT(Asistencia!G284,"A"),EXACT(Asistencia!G284,"R"),EXACT(Asistencia!G284,"DL"),EXACT(Asistencia!G284,"FL"),EXACT(Asistencia!G284,"FE"),EXACT(Asistencia!G284,"PCS"),EXACT(Asistencia!G284,"V")),1,0)</f>
        <v>0</v>
      </c>
      <c r="AK271">
        <f>IF(OR(EXACT(Asistencia!H284,"A"),EXACT(Asistencia!H284,"R"),EXACT(Asistencia!H284,"DL"),EXACT(Asistencia!H284,"FL"),EXACT(Asistencia!H284,"FE"),EXACT(Asistencia!H284,"PCS"),EXACT(Asistencia!H284,"V")),1,0)</f>
        <v>0</v>
      </c>
      <c r="AL271">
        <f>IF(OR(EXACT(Asistencia!I284,"A"),EXACT(Asistencia!I284,"R"),EXACT(Asistencia!I284,"DL"),EXACT(Asistencia!I284,"FL"),EXACT(Asistencia!I284,"FE"),EXACT(Asistencia!I284,"PCS"),EXACT(Asistencia!I284,"V")),1,0)</f>
        <v>0</v>
      </c>
      <c r="AM271">
        <f>IF(OR(EXACT(Asistencia!J284,"A"),EXACT(Asistencia!J284,"R"),EXACT(Asistencia!J284,"DL"),EXACT(Asistencia!J284,"FL"),EXACT(Asistencia!J284,"FE"),EXACT(Asistencia!J284,"PCS"),EXACT(Asistencia!J284,"V")),1,0)</f>
        <v>0</v>
      </c>
      <c r="AN271">
        <f>IF(OR(EXACT(Asistencia!K284,"A"),EXACT(Asistencia!K284,"R"),EXACT(Asistencia!K284,"DL"),EXACT(Asistencia!K284,"FL"),EXACT(Asistencia!K284,"FE"),EXACT(Asistencia!K284,"PCS"),EXACT(Asistencia!K284,"V")),1,0)</f>
        <v>0</v>
      </c>
      <c r="AO271">
        <f>IF(OR(EXACT(Asistencia!L284,"A"),EXACT(Asistencia!L284,"R"),EXACT(Asistencia!L284,"DL"),EXACT(Asistencia!L284,"FL"),EXACT(Asistencia!L284,"FE"),EXACT(Asistencia!L284,"PCS"),EXACT(Asistencia!L284,"V")),1,0)</f>
        <v>0</v>
      </c>
      <c r="AP271">
        <f t="shared" si="93"/>
        <v>0</v>
      </c>
      <c r="AQ271">
        <f>IF(EXACT(Asistencia!F284,"FL"),1,0)</f>
        <v>0</v>
      </c>
      <c r="AR271">
        <f>IF(EXACT(Asistencia!G284,"FL"),1,0)</f>
        <v>0</v>
      </c>
      <c r="AS271">
        <f>IF(EXACT(Asistencia!H284,"FL"),1,0)</f>
        <v>0</v>
      </c>
      <c r="AT271">
        <f>IF(EXACT(Asistencia!I284,"FL"),1,0)</f>
        <v>0</v>
      </c>
      <c r="AU271">
        <f>IF(EXACT(Asistencia!J284,"FL"),1,0)</f>
        <v>0</v>
      </c>
      <c r="AV271">
        <f>IF(EXACT(Asistencia!K284,"FL"),1,0)</f>
        <v>0</v>
      </c>
      <c r="AW271">
        <f>IF(EXACT(Asistencia!L284,"FL"),1,0)</f>
        <v>0</v>
      </c>
      <c r="AX271">
        <f t="shared" si="94"/>
        <v>0</v>
      </c>
      <c r="AY271">
        <f>IF(EXACT(Asistencia!F284,"DL"),1,0)</f>
        <v>0</v>
      </c>
      <c r="AZ271">
        <f>IF(EXACT(Asistencia!G284,"DL"),1,0)</f>
        <v>0</v>
      </c>
      <c r="BA271">
        <f>IF(EXACT(Asistencia!H284,"DL"),1,0)</f>
        <v>0</v>
      </c>
      <c r="BB271">
        <f>IF(EXACT(Asistencia!I284,"DL"),1,0)</f>
        <v>0</v>
      </c>
      <c r="BC271">
        <f>IF(EXACT(Asistencia!J284,"DL"),1,0)</f>
        <v>0</v>
      </c>
      <c r="BD271">
        <f>IF(EXACT(Asistencia!K284,"DL"),1,0)</f>
        <v>0</v>
      </c>
      <c r="BE271">
        <f>IF(EXACT(Asistencia!L284,"DL"),1,0)</f>
        <v>0</v>
      </c>
      <c r="BF271">
        <f t="shared" si="95"/>
        <v>0</v>
      </c>
      <c r="BG271">
        <f>IF(ISNUMBER(Asistencia!M284),Asistencia!M284,0)</f>
        <v>0</v>
      </c>
      <c r="BH271">
        <f>IF(ISNUMBER(Asistencia!N284),Asistencia!N284,0)</f>
        <v>0</v>
      </c>
      <c r="BI271">
        <f>IF(ISNUMBER(Asistencia!O284),Asistencia!O284,0)</f>
        <v>0</v>
      </c>
      <c r="BJ271">
        <f>IF(ISNUMBER(Asistencia!P284),Asistencia!P284,0)</f>
        <v>0</v>
      </c>
      <c r="BK271" t="str">
        <f>IF(Asistencia!F284="","",Asistencia!F284)</f>
        <v/>
      </c>
      <c r="BL271" t="str">
        <f>IF(Asistencia!G284="","",Asistencia!G284)</f>
        <v/>
      </c>
      <c r="BM271" t="str">
        <f>IF(Asistencia!H284="","",Asistencia!H284)</f>
        <v/>
      </c>
      <c r="BN271" t="str">
        <f>IF(Asistencia!I284="","",Asistencia!I284)</f>
        <v/>
      </c>
      <c r="BO271" t="str">
        <f>IF(Asistencia!J284="","",Asistencia!J284)</f>
        <v/>
      </c>
      <c r="BP271" t="str">
        <f>IF(Asistencia!K284="","",Asistencia!K284)</f>
        <v/>
      </c>
      <c r="BQ271" t="str">
        <f>IF(Asistencia!L284="","",Asistencia!L284)</f>
        <v/>
      </c>
    </row>
    <row r="272" spans="27:69" x14ac:dyDescent="0.25">
      <c r="AA272" t="str">
        <f t="shared" si="92"/>
        <v/>
      </c>
      <c r="AB272" t="str">
        <f>IF(Asistencia!A285="","",Asistencia!A285)</f>
        <v/>
      </c>
      <c r="AC272" t="str">
        <f>IF(Asistencia!A285="","",SUBSTITUTE(SUBSTITUTE(SUBSTITUTE(SUBSTITUTE(SUBSTITUTE(SUBSTITUTE(SUBSTITUTE(UPPER(TRIM(Asistencia!A285)),"Á","A"),"É","E"),"Í","I"),"Ó","O"),"Ú","U"),"Ñ","N"),"  "," "))</f>
        <v/>
      </c>
      <c r="AD272" t="str">
        <f>IF(Asistencia!E285="","",Asistencia!E285)</f>
        <v/>
      </c>
      <c r="AE272" t="str">
        <f>IF(Asistencia!D285="","",UPPER(TRIM(Asistencia!D285)))</f>
        <v/>
      </c>
      <c r="AF272" t="s">
        <v>198</v>
      </c>
      <c r="AG272">
        <f>IF(AND(AA272&lt;&gt;"",COUNTIF($AA$5:AA272,AA272)=1),1,0)</f>
        <v>0</v>
      </c>
      <c r="AH272" t="str">
        <f>IF(AG272=1,SUM($AG$5:AG272),"")</f>
        <v/>
      </c>
      <c r="AI272">
        <f>IF(OR(EXACT(Asistencia!F285,"A"),EXACT(Asistencia!F285,"R"),EXACT(Asistencia!F285,"DL"),EXACT(Asistencia!F285,"FL"),EXACT(Asistencia!F285,"FE"),EXACT(Asistencia!F285,"PCS"),EXACT(Asistencia!F285,"V")),1,0)</f>
        <v>0</v>
      </c>
      <c r="AJ272">
        <f>IF(OR(EXACT(Asistencia!G285,"A"),EXACT(Asistencia!G285,"R"),EXACT(Asistencia!G285,"DL"),EXACT(Asistencia!G285,"FL"),EXACT(Asistencia!G285,"FE"),EXACT(Asistencia!G285,"PCS"),EXACT(Asistencia!G285,"V")),1,0)</f>
        <v>0</v>
      </c>
      <c r="AK272">
        <f>IF(OR(EXACT(Asistencia!H285,"A"),EXACT(Asistencia!H285,"R"),EXACT(Asistencia!H285,"DL"),EXACT(Asistencia!H285,"FL"),EXACT(Asistencia!H285,"FE"),EXACT(Asistencia!H285,"PCS"),EXACT(Asistencia!H285,"V")),1,0)</f>
        <v>0</v>
      </c>
      <c r="AL272">
        <f>IF(OR(EXACT(Asistencia!I285,"A"),EXACT(Asistencia!I285,"R"),EXACT(Asistencia!I285,"DL"),EXACT(Asistencia!I285,"FL"),EXACT(Asistencia!I285,"FE"),EXACT(Asistencia!I285,"PCS"),EXACT(Asistencia!I285,"V")),1,0)</f>
        <v>0</v>
      </c>
      <c r="AM272">
        <f>IF(OR(EXACT(Asistencia!J285,"A"),EXACT(Asistencia!J285,"R"),EXACT(Asistencia!J285,"DL"),EXACT(Asistencia!J285,"FL"),EXACT(Asistencia!J285,"FE"),EXACT(Asistencia!J285,"PCS"),EXACT(Asistencia!J285,"V")),1,0)</f>
        <v>0</v>
      </c>
      <c r="AN272">
        <f>IF(OR(EXACT(Asistencia!K285,"A"),EXACT(Asistencia!K285,"R"),EXACT(Asistencia!K285,"DL"),EXACT(Asistencia!K285,"FL"),EXACT(Asistencia!K285,"FE"),EXACT(Asistencia!K285,"PCS"),EXACT(Asistencia!K285,"V")),1,0)</f>
        <v>0</v>
      </c>
      <c r="AO272">
        <f>IF(OR(EXACT(Asistencia!L285,"A"),EXACT(Asistencia!L285,"R"),EXACT(Asistencia!L285,"DL"),EXACT(Asistencia!L285,"FL"),EXACT(Asistencia!L285,"FE"),EXACT(Asistencia!L285,"PCS"),EXACT(Asistencia!L285,"V")),1,0)</f>
        <v>0</v>
      </c>
      <c r="AP272">
        <f t="shared" si="93"/>
        <v>0</v>
      </c>
      <c r="AQ272">
        <f>IF(EXACT(Asistencia!F285,"FL"),1,0)</f>
        <v>0</v>
      </c>
      <c r="AR272">
        <f>IF(EXACT(Asistencia!G285,"FL"),1,0)</f>
        <v>0</v>
      </c>
      <c r="AS272">
        <f>IF(EXACT(Asistencia!H285,"FL"),1,0)</f>
        <v>0</v>
      </c>
      <c r="AT272">
        <f>IF(EXACT(Asistencia!I285,"FL"),1,0)</f>
        <v>0</v>
      </c>
      <c r="AU272">
        <f>IF(EXACT(Asistencia!J285,"FL"),1,0)</f>
        <v>0</v>
      </c>
      <c r="AV272">
        <f>IF(EXACT(Asistencia!K285,"FL"),1,0)</f>
        <v>0</v>
      </c>
      <c r="AW272">
        <f>IF(EXACT(Asistencia!L285,"FL"),1,0)</f>
        <v>0</v>
      </c>
      <c r="AX272">
        <f t="shared" si="94"/>
        <v>0</v>
      </c>
      <c r="AY272">
        <f>IF(EXACT(Asistencia!F285,"DL"),1,0)</f>
        <v>0</v>
      </c>
      <c r="AZ272">
        <f>IF(EXACT(Asistencia!G285,"DL"),1,0)</f>
        <v>0</v>
      </c>
      <c r="BA272">
        <f>IF(EXACT(Asistencia!H285,"DL"),1,0)</f>
        <v>0</v>
      </c>
      <c r="BB272">
        <f>IF(EXACT(Asistencia!I285,"DL"),1,0)</f>
        <v>0</v>
      </c>
      <c r="BC272">
        <f>IF(EXACT(Asistencia!J285,"DL"),1,0)</f>
        <v>0</v>
      </c>
      <c r="BD272">
        <f>IF(EXACT(Asistencia!K285,"DL"),1,0)</f>
        <v>0</v>
      </c>
      <c r="BE272">
        <f>IF(EXACT(Asistencia!L285,"DL"),1,0)</f>
        <v>0</v>
      </c>
      <c r="BF272">
        <f t="shared" si="95"/>
        <v>0</v>
      </c>
      <c r="BG272">
        <f>IF(ISNUMBER(Asistencia!M285),Asistencia!M285,0)</f>
        <v>0</v>
      </c>
      <c r="BH272">
        <f>IF(ISNUMBER(Asistencia!N285),Asistencia!N285,0)</f>
        <v>0</v>
      </c>
      <c r="BI272">
        <f>IF(ISNUMBER(Asistencia!O285),Asistencia!O285,0)</f>
        <v>0</v>
      </c>
      <c r="BJ272">
        <f>IF(ISNUMBER(Asistencia!P285),Asistencia!P285,0)</f>
        <v>0</v>
      </c>
      <c r="BK272" t="str">
        <f>IF(Asistencia!F285="","",Asistencia!F285)</f>
        <v/>
      </c>
      <c r="BL272" t="str">
        <f>IF(Asistencia!G285="","",Asistencia!G285)</f>
        <v/>
      </c>
      <c r="BM272" t="str">
        <f>IF(Asistencia!H285="","",Asistencia!H285)</f>
        <v/>
      </c>
      <c r="BN272" t="str">
        <f>IF(Asistencia!I285="","",Asistencia!I285)</f>
        <v/>
      </c>
      <c r="BO272" t="str">
        <f>IF(Asistencia!J285="","",Asistencia!J285)</f>
        <v/>
      </c>
      <c r="BP272" t="str">
        <f>IF(Asistencia!K285="","",Asistencia!K285)</f>
        <v/>
      </c>
      <c r="BQ272" t="str">
        <f>IF(Asistencia!L285="","",Asistencia!L285)</f>
        <v/>
      </c>
    </row>
    <row r="273" spans="27:69" x14ac:dyDescent="0.25">
      <c r="AA273" t="str">
        <f t="shared" si="92"/>
        <v/>
      </c>
      <c r="AB273" t="str">
        <f>IF(Asistencia!A286="","",Asistencia!A286)</f>
        <v/>
      </c>
      <c r="AC273" t="str">
        <f>IF(Asistencia!A286="","",SUBSTITUTE(SUBSTITUTE(SUBSTITUTE(SUBSTITUTE(SUBSTITUTE(SUBSTITUTE(SUBSTITUTE(UPPER(TRIM(Asistencia!A286)),"Á","A"),"É","E"),"Í","I"),"Ó","O"),"Ú","U"),"Ñ","N"),"  "," "))</f>
        <v/>
      </c>
      <c r="AD273" t="str">
        <f>IF(Asistencia!E286="","",Asistencia!E286)</f>
        <v/>
      </c>
      <c r="AE273" t="str">
        <f>IF(Asistencia!D286="","",UPPER(TRIM(Asistencia!D286)))</f>
        <v/>
      </c>
      <c r="AF273" t="s">
        <v>198</v>
      </c>
      <c r="AG273">
        <f>IF(AND(AA273&lt;&gt;"",COUNTIF($AA$5:AA273,AA273)=1),1,0)</f>
        <v>0</v>
      </c>
      <c r="AH273" t="str">
        <f>IF(AG273=1,SUM($AG$5:AG273),"")</f>
        <v/>
      </c>
      <c r="AI273">
        <f>IF(OR(EXACT(Asistencia!F286,"A"),EXACT(Asistencia!F286,"R"),EXACT(Asistencia!F286,"DL"),EXACT(Asistencia!F286,"FL"),EXACT(Asistencia!F286,"FE"),EXACT(Asistencia!F286,"PCS"),EXACT(Asistencia!F286,"V")),1,0)</f>
        <v>0</v>
      </c>
      <c r="AJ273">
        <f>IF(OR(EXACT(Asistencia!G286,"A"),EXACT(Asistencia!G286,"R"),EXACT(Asistencia!G286,"DL"),EXACT(Asistencia!G286,"FL"),EXACT(Asistencia!G286,"FE"),EXACT(Asistencia!G286,"PCS"),EXACT(Asistencia!G286,"V")),1,0)</f>
        <v>0</v>
      </c>
      <c r="AK273">
        <f>IF(OR(EXACT(Asistencia!H286,"A"),EXACT(Asistencia!H286,"R"),EXACT(Asistencia!H286,"DL"),EXACT(Asistencia!H286,"FL"),EXACT(Asistencia!H286,"FE"),EXACT(Asistencia!H286,"PCS"),EXACT(Asistencia!H286,"V")),1,0)</f>
        <v>0</v>
      </c>
      <c r="AL273">
        <f>IF(OR(EXACT(Asistencia!I286,"A"),EXACT(Asistencia!I286,"R"),EXACT(Asistencia!I286,"DL"),EXACT(Asistencia!I286,"FL"),EXACT(Asistencia!I286,"FE"),EXACT(Asistencia!I286,"PCS"),EXACT(Asistencia!I286,"V")),1,0)</f>
        <v>0</v>
      </c>
      <c r="AM273">
        <f>IF(OR(EXACT(Asistencia!J286,"A"),EXACT(Asistencia!J286,"R"),EXACT(Asistencia!J286,"DL"),EXACT(Asistencia!J286,"FL"),EXACT(Asistencia!J286,"FE"),EXACT(Asistencia!J286,"PCS"),EXACT(Asistencia!J286,"V")),1,0)</f>
        <v>0</v>
      </c>
      <c r="AN273">
        <f>IF(OR(EXACT(Asistencia!K286,"A"),EXACT(Asistencia!K286,"R"),EXACT(Asistencia!K286,"DL"),EXACT(Asistencia!K286,"FL"),EXACT(Asistencia!K286,"FE"),EXACT(Asistencia!K286,"PCS"),EXACT(Asistencia!K286,"V")),1,0)</f>
        <v>0</v>
      </c>
      <c r="AO273">
        <f>IF(OR(EXACT(Asistencia!L286,"A"),EXACT(Asistencia!L286,"R"),EXACT(Asistencia!L286,"DL"),EXACT(Asistencia!L286,"FL"),EXACT(Asistencia!L286,"FE"),EXACT(Asistencia!L286,"PCS"),EXACT(Asistencia!L286,"V")),1,0)</f>
        <v>0</v>
      </c>
      <c r="AP273">
        <f t="shared" si="93"/>
        <v>0</v>
      </c>
      <c r="AQ273">
        <f>IF(EXACT(Asistencia!F286,"FL"),1,0)</f>
        <v>0</v>
      </c>
      <c r="AR273">
        <f>IF(EXACT(Asistencia!G286,"FL"),1,0)</f>
        <v>0</v>
      </c>
      <c r="AS273">
        <f>IF(EXACT(Asistencia!H286,"FL"),1,0)</f>
        <v>0</v>
      </c>
      <c r="AT273">
        <f>IF(EXACT(Asistencia!I286,"FL"),1,0)</f>
        <v>0</v>
      </c>
      <c r="AU273">
        <f>IF(EXACT(Asistencia!J286,"FL"),1,0)</f>
        <v>0</v>
      </c>
      <c r="AV273">
        <f>IF(EXACT(Asistencia!K286,"FL"),1,0)</f>
        <v>0</v>
      </c>
      <c r="AW273">
        <f>IF(EXACT(Asistencia!L286,"FL"),1,0)</f>
        <v>0</v>
      </c>
      <c r="AX273">
        <f t="shared" si="94"/>
        <v>0</v>
      </c>
      <c r="AY273">
        <f>IF(EXACT(Asistencia!F286,"DL"),1,0)</f>
        <v>0</v>
      </c>
      <c r="AZ273">
        <f>IF(EXACT(Asistencia!G286,"DL"),1,0)</f>
        <v>0</v>
      </c>
      <c r="BA273">
        <f>IF(EXACT(Asistencia!H286,"DL"),1,0)</f>
        <v>0</v>
      </c>
      <c r="BB273">
        <f>IF(EXACT(Asistencia!I286,"DL"),1,0)</f>
        <v>0</v>
      </c>
      <c r="BC273">
        <f>IF(EXACT(Asistencia!J286,"DL"),1,0)</f>
        <v>0</v>
      </c>
      <c r="BD273">
        <f>IF(EXACT(Asistencia!K286,"DL"),1,0)</f>
        <v>0</v>
      </c>
      <c r="BE273">
        <f>IF(EXACT(Asistencia!L286,"DL"),1,0)</f>
        <v>0</v>
      </c>
      <c r="BF273">
        <f t="shared" si="95"/>
        <v>0</v>
      </c>
      <c r="BG273">
        <f>IF(ISNUMBER(Asistencia!M286),Asistencia!M286,0)</f>
        <v>0</v>
      </c>
      <c r="BH273">
        <f>IF(ISNUMBER(Asistencia!N286),Asistencia!N286,0)</f>
        <v>0</v>
      </c>
      <c r="BI273">
        <f>IF(ISNUMBER(Asistencia!O286),Asistencia!O286,0)</f>
        <v>0</v>
      </c>
      <c r="BJ273">
        <f>IF(ISNUMBER(Asistencia!P286),Asistencia!P286,0)</f>
        <v>0</v>
      </c>
      <c r="BK273" t="str">
        <f>IF(Asistencia!F286="","",Asistencia!F286)</f>
        <v/>
      </c>
      <c r="BL273" t="str">
        <f>IF(Asistencia!G286="","",Asistencia!G286)</f>
        <v/>
      </c>
      <c r="BM273" t="str">
        <f>IF(Asistencia!H286="","",Asistencia!H286)</f>
        <v/>
      </c>
      <c r="BN273" t="str">
        <f>IF(Asistencia!I286="","",Asistencia!I286)</f>
        <v/>
      </c>
      <c r="BO273" t="str">
        <f>IF(Asistencia!J286="","",Asistencia!J286)</f>
        <v/>
      </c>
      <c r="BP273" t="str">
        <f>IF(Asistencia!K286="","",Asistencia!K286)</f>
        <v/>
      </c>
      <c r="BQ273" t="str">
        <f>IF(Asistencia!L286="","",Asistencia!L286)</f>
        <v/>
      </c>
    </row>
    <row r="274" spans="27:69" x14ac:dyDescent="0.25">
      <c r="AA274" t="str">
        <f t="shared" si="92"/>
        <v/>
      </c>
      <c r="AB274" t="str">
        <f>IF(Asistencia!A287="","",Asistencia!A287)</f>
        <v/>
      </c>
      <c r="AC274" t="str">
        <f>IF(Asistencia!A287="","",SUBSTITUTE(SUBSTITUTE(SUBSTITUTE(SUBSTITUTE(SUBSTITUTE(SUBSTITUTE(SUBSTITUTE(UPPER(TRIM(Asistencia!A287)),"Á","A"),"É","E"),"Í","I"),"Ó","O"),"Ú","U"),"Ñ","N"),"  "," "))</f>
        <v/>
      </c>
      <c r="AD274" t="str">
        <f>IF(Asistencia!E287="","",Asistencia!E287)</f>
        <v/>
      </c>
      <c r="AE274" t="str">
        <f>IF(Asistencia!D287="","",UPPER(TRIM(Asistencia!D287)))</f>
        <v/>
      </c>
      <c r="AF274" t="s">
        <v>198</v>
      </c>
      <c r="AG274">
        <f>IF(AND(AA274&lt;&gt;"",COUNTIF($AA$5:AA274,AA274)=1),1,0)</f>
        <v>0</v>
      </c>
      <c r="AH274" t="str">
        <f>IF(AG274=1,SUM($AG$5:AG274),"")</f>
        <v/>
      </c>
      <c r="AI274">
        <f>IF(OR(EXACT(Asistencia!F287,"A"),EXACT(Asistencia!F287,"R"),EXACT(Asistencia!F287,"DL"),EXACT(Asistencia!F287,"FL"),EXACT(Asistencia!F287,"FE"),EXACT(Asistencia!F287,"PCS"),EXACT(Asistencia!F287,"V")),1,0)</f>
        <v>0</v>
      </c>
      <c r="AJ274">
        <f>IF(OR(EXACT(Asistencia!G287,"A"),EXACT(Asistencia!G287,"R"),EXACT(Asistencia!G287,"DL"),EXACT(Asistencia!G287,"FL"),EXACT(Asistencia!G287,"FE"),EXACT(Asistencia!G287,"PCS"),EXACT(Asistencia!G287,"V")),1,0)</f>
        <v>0</v>
      </c>
      <c r="AK274">
        <f>IF(OR(EXACT(Asistencia!H287,"A"),EXACT(Asistencia!H287,"R"),EXACT(Asistencia!H287,"DL"),EXACT(Asistencia!H287,"FL"),EXACT(Asistencia!H287,"FE"),EXACT(Asistencia!H287,"PCS"),EXACT(Asistencia!H287,"V")),1,0)</f>
        <v>0</v>
      </c>
      <c r="AL274">
        <f>IF(OR(EXACT(Asistencia!I287,"A"),EXACT(Asistencia!I287,"R"),EXACT(Asistencia!I287,"DL"),EXACT(Asistencia!I287,"FL"),EXACT(Asistencia!I287,"FE"),EXACT(Asistencia!I287,"PCS"),EXACT(Asistencia!I287,"V")),1,0)</f>
        <v>0</v>
      </c>
      <c r="AM274">
        <f>IF(OR(EXACT(Asistencia!J287,"A"),EXACT(Asistencia!J287,"R"),EXACT(Asistencia!J287,"DL"),EXACT(Asistencia!J287,"FL"),EXACT(Asistencia!J287,"FE"),EXACT(Asistencia!J287,"PCS"),EXACT(Asistencia!J287,"V")),1,0)</f>
        <v>0</v>
      </c>
      <c r="AN274">
        <f>IF(OR(EXACT(Asistencia!K287,"A"),EXACT(Asistencia!K287,"R"),EXACT(Asistencia!K287,"DL"),EXACT(Asistencia!K287,"FL"),EXACT(Asistencia!K287,"FE"),EXACT(Asistencia!K287,"PCS"),EXACT(Asistencia!K287,"V")),1,0)</f>
        <v>0</v>
      </c>
      <c r="AO274">
        <f>IF(OR(EXACT(Asistencia!L287,"A"),EXACT(Asistencia!L287,"R"),EXACT(Asistencia!L287,"DL"),EXACT(Asistencia!L287,"FL"),EXACT(Asistencia!L287,"FE"),EXACT(Asistencia!L287,"PCS"),EXACT(Asistencia!L287,"V")),1,0)</f>
        <v>0</v>
      </c>
      <c r="AP274">
        <f t="shared" si="93"/>
        <v>0</v>
      </c>
      <c r="AQ274">
        <f>IF(EXACT(Asistencia!F287,"FL"),1,0)</f>
        <v>0</v>
      </c>
      <c r="AR274">
        <f>IF(EXACT(Asistencia!G287,"FL"),1,0)</f>
        <v>0</v>
      </c>
      <c r="AS274">
        <f>IF(EXACT(Asistencia!H287,"FL"),1,0)</f>
        <v>0</v>
      </c>
      <c r="AT274">
        <f>IF(EXACT(Asistencia!I287,"FL"),1,0)</f>
        <v>0</v>
      </c>
      <c r="AU274">
        <f>IF(EXACT(Asistencia!J287,"FL"),1,0)</f>
        <v>0</v>
      </c>
      <c r="AV274">
        <f>IF(EXACT(Asistencia!K287,"FL"),1,0)</f>
        <v>0</v>
      </c>
      <c r="AW274">
        <f>IF(EXACT(Asistencia!L287,"FL"),1,0)</f>
        <v>0</v>
      </c>
      <c r="AX274">
        <f t="shared" si="94"/>
        <v>0</v>
      </c>
      <c r="AY274">
        <f>IF(EXACT(Asistencia!F287,"DL"),1,0)</f>
        <v>0</v>
      </c>
      <c r="AZ274">
        <f>IF(EXACT(Asistencia!G287,"DL"),1,0)</f>
        <v>0</v>
      </c>
      <c r="BA274">
        <f>IF(EXACT(Asistencia!H287,"DL"),1,0)</f>
        <v>0</v>
      </c>
      <c r="BB274">
        <f>IF(EXACT(Asistencia!I287,"DL"),1,0)</f>
        <v>0</v>
      </c>
      <c r="BC274">
        <f>IF(EXACT(Asistencia!J287,"DL"),1,0)</f>
        <v>0</v>
      </c>
      <c r="BD274">
        <f>IF(EXACT(Asistencia!K287,"DL"),1,0)</f>
        <v>0</v>
      </c>
      <c r="BE274">
        <f>IF(EXACT(Asistencia!L287,"DL"),1,0)</f>
        <v>0</v>
      </c>
      <c r="BF274">
        <f t="shared" si="95"/>
        <v>0</v>
      </c>
      <c r="BG274">
        <f>IF(ISNUMBER(Asistencia!M287),Asistencia!M287,0)</f>
        <v>0</v>
      </c>
      <c r="BH274">
        <f>IF(ISNUMBER(Asistencia!N287),Asistencia!N287,0)</f>
        <v>0</v>
      </c>
      <c r="BI274">
        <f>IF(ISNUMBER(Asistencia!O287),Asistencia!O287,0)</f>
        <v>0</v>
      </c>
      <c r="BJ274">
        <f>IF(ISNUMBER(Asistencia!P287),Asistencia!P287,0)</f>
        <v>0</v>
      </c>
      <c r="BK274" t="str">
        <f>IF(Asistencia!F287="","",Asistencia!F287)</f>
        <v/>
      </c>
      <c r="BL274" t="str">
        <f>IF(Asistencia!G287="","",Asistencia!G287)</f>
        <v/>
      </c>
      <c r="BM274" t="str">
        <f>IF(Asistencia!H287="","",Asistencia!H287)</f>
        <v/>
      </c>
      <c r="BN274" t="str">
        <f>IF(Asistencia!I287="","",Asistencia!I287)</f>
        <v/>
      </c>
      <c r="BO274" t="str">
        <f>IF(Asistencia!J287="","",Asistencia!J287)</f>
        <v/>
      </c>
      <c r="BP274" t="str">
        <f>IF(Asistencia!K287="","",Asistencia!K287)</f>
        <v/>
      </c>
      <c r="BQ274" t="str">
        <f>IF(Asistencia!L287="","",Asistencia!L287)</f>
        <v/>
      </c>
    </row>
    <row r="275" spans="27:69" x14ac:dyDescent="0.25">
      <c r="AA275" t="str">
        <f t="shared" si="92"/>
        <v/>
      </c>
      <c r="AB275" t="str">
        <f>IF(Asistencia!A288="","",Asistencia!A288)</f>
        <v/>
      </c>
      <c r="AC275" t="str">
        <f>IF(Asistencia!A288="","",SUBSTITUTE(SUBSTITUTE(SUBSTITUTE(SUBSTITUTE(SUBSTITUTE(SUBSTITUTE(SUBSTITUTE(UPPER(TRIM(Asistencia!A288)),"Á","A"),"É","E"),"Í","I"),"Ó","O"),"Ú","U"),"Ñ","N"),"  "," "))</f>
        <v/>
      </c>
      <c r="AD275" t="str">
        <f>IF(Asistencia!E288="","",Asistencia!E288)</f>
        <v/>
      </c>
      <c r="AE275" t="str">
        <f>IF(Asistencia!D288="","",UPPER(TRIM(Asistencia!D288)))</f>
        <v/>
      </c>
      <c r="AF275" t="s">
        <v>198</v>
      </c>
      <c r="AG275">
        <f>IF(AND(AA275&lt;&gt;"",COUNTIF($AA$5:AA275,AA275)=1),1,0)</f>
        <v>0</v>
      </c>
      <c r="AH275" t="str">
        <f>IF(AG275=1,SUM($AG$5:AG275),"")</f>
        <v/>
      </c>
      <c r="AI275">
        <f>IF(OR(EXACT(Asistencia!F288,"A"),EXACT(Asistencia!F288,"R"),EXACT(Asistencia!F288,"DL"),EXACT(Asistencia!F288,"FL"),EXACT(Asistencia!F288,"FE"),EXACT(Asistencia!F288,"PCS"),EXACT(Asistencia!F288,"V")),1,0)</f>
        <v>0</v>
      </c>
      <c r="AJ275">
        <f>IF(OR(EXACT(Asistencia!G288,"A"),EXACT(Asistencia!G288,"R"),EXACT(Asistencia!G288,"DL"),EXACT(Asistencia!G288,"FL"),EXACT(Asistencia!G288,"FE"),EXACT(Asistencia!G288,"PCS"),EXACT(Asistencia!G288,"V")),1,0)</f>
        <v>0</v>
      </c>
      <c r="AK275">
        <f>IF(OR(EXACT(Asistencia!H288,"A"),EXACT(Asistencia!H288,"R"),EXACT(Asistencia!H288,"DL"),EXACT(Asistencia!H288,"FL"),EXACT(Asistencia!H288,"FE"),EXACT(Asistencia!H288,"PCS"),EXACT(Asistencia!H288,"V")),1,0)</f>
        <v>0</v>
      </c>
      <c r="AL275">
        <f>IF(OR(EXACT(Asistencia!I288,"A"),EXACT(Asistencia!I288,"R"),EXACT(Asistencia!I288,"DL"),EXACT(Asistencia!I288,"FL"),EXACT(Asistencia!I288,"FE"),EXACT(Asistencia!I288,"PCS"),EXACT(Asistencia!I288,"V")),1,0)</f>
        <v>0</v>
      </c>
      <c r="AM275">
        <f>IF(OR(EXACT(Asistencia!J288,"A"),EXACT(Asistencia!J288,"R"),EXACT(Asistencia!J288,"DL"),EXACT(Asistencia!J288,"FL"),EXACT(Asistencia!J288,"FE"),EXACT(Asistencia!J288,"PCS"),EXACT(Asistencia!J288,"V")),1,0)</f>
        <v>0</v>
      </c>
      <c r="AN275">
        <f>IF(OR(EXACT(Asistencia!K288,"A"),EXACT(Asistencia!K288,"R"),EXACT(Asistencia!K288,"DL"),EXACT(Asistencia!K288,"FL"),EXACT(Asistencia!K288,"FE"),EXACT(Asistencia!K288,"PCS"),EXACT(Asistencia!K288,"V")),1,0)</f>
        <v>0</v>
      </c>
      <c r="AO275">
        <f>IF(OR(EXACT(Asistencia!L288,"A"),EXACT(Asistencia!L288,"R"),EXACT(Asistencia!L288,"DL"),EXACT(Asistencia!L288,"FL"),EXACT(Asistencia!L288,"FE"),EXACT(Asistencia!L288,"PCS"),EXACT(Asistencia!L288,"V")),1,0)</f>
        <v>0</v>
      </c>
      <c r="AP275">
        <f t="shared" si="93"/>
        <v>0</v>
      </c>
      <c r="AQ275">
        <f>IF(EXACT(Asistencia!F288,"FL"),1,0)</f>
        <v>0</v>
      </c>
      <c r="AR275">
        <f>IF(EXACT(Asistencia!G288,"FL"),1,0)</f>
        <v>0</v>
      </c>
      <c r="AS275">
        <f>IF(EXACT(Asistencia!H288,"FL"),1,0)</f>
        <v>0</v>
      </c>
      <c r="AT275">
        <f>IF(EXACT(Asistencia!I288,"FL"),1,0)</f>
        <v>0</v>
      </c>
      <c r="AU275">
        <f>IF(EXACT(Asistencia!J288,"FL"),1,0)</f>
        <v>0</v>
      </c>
      <c r="AV275">
        <f>IF(EXACT(Asistencia!K288,"FL"),1,0)</f>
        <v>0</v>
      </c>
      <c r="AW275">
        <f>IF(EXACT(Asistencia!L288,"FL"),1,0)</f>
        <v>0</v>
      </c>
      <c r="AX275">
        <f t="shared" si="94"/>
        <v>0</v>
      </c>
      <c r="AY275">
        <f>IF(EXACT(Asistencia!F288,"DL"),1,0)</f>
        <v>0</v>
      </c>
      <c r="AZ275">
        <f>IF(EXACT(Asistencia!G288,"DL"),1,0)</f>
        <v>0</v>
      </c>
      <c r="BA275">
        <f>IF(EXACT(Asistencia!H288,"DL"),1,0)</f>
        <v>0</v>
      </c>
      <c r="BB275">
        <f>IF(EXACT(Asistencia!I288,"DL"),1,0)</f>
        <v>0</v>
      </c>
      <c r="BC275">
        <f>IF(EXACT(Asistencia!J288,"DL"),1,0)</f>
        <v>0</v>
      </c>
      <c r="BD275">
        <f>IF(EXACT(Asistencia!K288,"DL"),1,0)</f>
        <v>0</v>
      </c>
      <c r="BE275">
        <f>IF(EXACT(Asistencia!L288,"DL"),1,0)</f>
        <v>0</v>
      </c>
      <c r="BF275">
        <f t="shared" si="95"/>
        <v>0</v>
      </c>
      <c r="BG275">
        <f>IF(ISNUMBER(Asistencia!M288),Asistencia!M288,0)</f>
        <v>0</v>
      </c>
      <c r="BH275">
        <f>IF(ISNUMBER(Asistencia!N288),Asistencia!N288,0)</f>
        <v>0</v>
      </c>
      <c r="BI275">
        <f>IF(ISNUMBER(Asistencia!O288),Asistencia!O288,0)</f>
        <v>0</v>
      </c>
      <c r="BJ275">
        <f>IF(ISNUMBER(Asistencia!P288),Asistencia!P288,0)</f>
        <v>0</v>
      </c>
      <c r="BK275" t="str">
        <f>IF(Asistencia!F288="","",Asistencia!F288)</f>
        <v/>
      </c>
      <c r="BL275" t="str">
        <f>IF(Asistencia!G288="","",Asistencia!G288)</f>
        <v/>
      </c>
      <c r="BM275" t="str">
        <f>IF(Asistencia!H288="","",Asistencia!H288)</f>
        <v/>
      </c>
      <c r="BN275" t="str">
        <f>IF(Asistencia!I288="","",Asistencia!I288)</f>
        <v/>
      </c>
      <c r="BO275" t="str">
        <f>IF(Asistencia!J288="","",Asistencia!J288)</f>
        <v/>
      </c>
      <c r="BP275" t="str">
        <f>IF(Asistencia!K288="","",Asistencia!K288)</f>
        <v/>
      </c>
      <c r="BQ275" t="str">
        <f>IF(Asistencia!L288="","",Asistencia!L288)</f>
        <v/>
      </c>
    </row>
    <row r="276" spans="27:69" x14ac:dyDescent="0.25">
      <c r="AA276" t="str">
        <f t="shared" si="92"/>
        <v/>
      </c>
      <c r="AB276" t="str">
        <f>IF(Asistencia!A289="","",Asistencia!A289)</f>
        <v/>
      </c>
      <c r="AC276" t="str">
        <f>IF(Asistencia!A289="","",SUBSTITUTE(SUBSTITUTE(SUBSTITUTE(SUBSTITUTE(SUBSTITUTE(SUBSTITUTE(SUBSTITUTE(UPPER(TRIM(Asistencia!A289)),"Á","A"),"É","E"),"Í","I"),"Ó","O"),"Ú","U"),"Ñ","N"),"  "," "))</f>
        <v/>
      </c>
      <c r="AD276" t="str">
        <f>IF(Asistencia!E289="","",Asistencia!E289)</f>
        <v/>
      </c>
      <c r="AE276" t="str">
        <f>IF(Asistencia!D289="","",UPPER(TRIM(Asistencia!D289)))</f>
        <v/>
      </c>
      <c r="AF276" t="s">
        <v>198</v>
      </c>
      <c r="AG276">
        <f>IF(AND(AA276&lt;&gt;"",COUNTIF($AA$5:AA276,AA276)=1),1,0)</f>
        <v>0</v>
      </c>
      <c r="AH276" t="str">
        <f>IF(AG276=1,SUM($AG$5:AG276),"")</f>
        <v/>
      </c>
      <c r="AI276">
        <f>IF(OR(EXACT(Asistencia!F289,"A"),EXACT(Asistencia!F289,"R"),EXACT(Asistencia!F289,"DL"),EXACT(Asistencia!F289,"FL"),EXACT(Asistencia!F289,"FE"),EXACT(Asistencia!F289,"PCS"),EXACT(Asistencia!F289,"V")),1,0)</f>
        <v>0</v>
      </c>
      <c r="AJ276">
        <f>IF(OR(EXACT(Asistencia!G289,"A"),EXACT(Asistencia!G289,"R"),EXACT(Asistencia!G289,"DL"),EXACT(Asistencia!G289,"FL"),EXACT(Asistencia!G289,"FE"),EXACT(Asistencia!G289,"PCS"),EXACT(Asistencia!G289,"V")),1,0)</f>
        <v>0</v>
      </c>
      <c r="AK276">
        <f>IF(OR(EXACT(Asistencia!H289,"A"),EXACT(Asistencia!H289,"R"),EXACT(Asistencia!H289,"DL"),EXACT(Asistencia!H289,"FL"),EXACT(Asistencia!H289,"FE"),EXACT(Asistencia!H289,"PCS"),EXACT(Asistencia!H289,"V")),1,0)</f>
        <v>0</v>
      </c>
      <c r="AL276">
        <f>IF(OR(EXACT(Asistencia!I289,"A"),EXACT(Asistencia!I289,"R"),EXACT(Asistencia!I289,"DL"),EXACT(Asistencia!I289,"FL"),EXACT(Asistencia!I289,"FE"),EXACT(Asistencia!I289,"PCS"),EXACT(Asistencia!I289,"V")),1,0)</f>
        <v>0</v>
      </c>
      <c r="AM276">
        <f>IF(OR(EXACT(Asistencia!J289,"A"),EXACT(Asistencia!J289,"R"),EXACT(Asistencia!J289,"DL"),EXACT(Asistencia!J289,"FL"),EXACT(Asistencia!J289,"FE"),EXACT(Asistencia!J289,"PCS"),EXACT(Asistencia!J289,"V")),1,0)</f>
        <v>0</v>
      </c>
      <c r="AN276">
        <f>IF(OR(EXACT(Asistencia!K289,"A"),EXACT(Asistencia!K289,"R"),EXACT(Asistencia!K289,"DL"),EXACT(Asistencia!K289,"FL"),EXACT(Asistencia!K289,"FE"),EXACT(Asistencia!K289,"PCS"),EXACT(Asistencia!K289,"V")),1,0)</f>
        <v>0</v>
      </c>
      <c r="AO276">
        <f>IF(OR(EXACT(Asistencia!L289,"A"),EXACT(Asistencia!L289,"R"),EXACT(Asistencia!L289,"DL"),EXACT(Asistencia!L289,"FL"),EXACT(Asistencia!L289,"FE"),EXACT(Asistencia!L289,"PCS"),EXACT(Asistencia!L289,"V")),1,0)</f>
        <v>0</v>
      </c>
      <c r="AP276">
        <f t="shared" si="93"/>
        <v>0</v>
      </c>
      <c r="AQ276">
        <f>IF(EXACT(Asistencia!F289,"FL"),1,0)</f>
        <v>0</v>
      </c>
      <c r="AR276">
        <f>IF(EXACT(Asistencia!G289,"FL"),1,0)</f>
        <v>0</v>
      </c>
      <c r="AS276">
        <f>IF(EXACT(Asistencia!H289,"FL"),1,0)</f>
        <v>0</v>
      </c>
      <c r="AT276">
        <f>IF(EXACT(Asistencia!I289,"FL"),1,0)</f>
        <v>0</v>
      </c>
      <c r="AU276">
        <f>IF(EXACT(Asistencia!J289,"FL"),1,0)</f>
        <v>0</v>
      </c>
      <c r="AV276">
        <f>IF(EXACT(Asistencia!K289,"FL"),1,0)</f>
        <v>0</v>
      </c>
      <c r="AW276">
        <f>IF(EXACT(Asistencia!L289,"FL"),1,0)</f>
        <v>0</v>
      </c>
      <c r="AX276">
        <f t="shared" si="94"/>
        <v>0</v>
      </c>
      <c r="AY276">
        <f>IF(EXACT(Asistencia!F289,"DL"),1,0)</f>
        <v>0</v>
      </c>
      <c r="AZ276">
        <f>IF(EXACT(Asistencia!G289,"DL"),1,0)</f>
        <v>0</v>
      </c>
      <c r="BA276">
        <f>IF(EXACT(Asistencia!H289,"DL"),1,0)</f>
        <v>0</v>
      </c>
      <c r="BB276">
        <f>IF(EXACT(Asistencia!I289,"DL"),1,0)</f>
        <v>0</v>
      </c>
      <c r="BC276">
        <f>IF(EXACT(Asistencia!J289,"DL"),1,0)</f>
        <v>0</v>
      </c>
      <c r="BD276">
        <f>IF(EXACT(Asistencia!K289,"DL"),1,0)</f>
        <v>0</v>
      </c>
      <c r="BE276">
        <f>IF(EXACT(Asistencia!L289,"DL"),1,0)</f>
        <v>0</v>
      </c>
      <c r="BF276">
        <f t="shared" si="95"/>
        <v>0</v>
      </c>
      <c r="BG276">
        <f>IF(ISNUMBER(Asistencia!M289),Asistencia!M289,0)</f>
        <v>0</v>
      </c>
      <c r="BH276">
        <f>IF(ISNUMBER(Asistencia!N289),Asistencia!N289,0)</f>
        <v>0</v>
      </c>
      <c r="BI276">
        <f>IF(ISNUMBER(Asistencia!O289),Asistencia!O289,0)</f>
        <v>0</v>
      </c>
      <c r="BJ276">
        <f>IF(ISNUMBER(Asistencia!P289),Asistencia!P289,0)</f>
        <v>0</v>
      </c>
      <c r="BK276" t="str">
        <f>IF(Asistencia!F289="","",Asistencia!F289)</f>
        <v/>
      </c>
      <c r="BL276" t="str">
        <f>IF(Asistencia!G289="","",Asistencia!G289)</f>
        <v/>
      </c>
      <c r="BM276" t="str">
        <f>IF(Asistencia!H289="","",Asistencia!H289)</f>
        <v/>
      </c>
      <c r="BN276" t="str">
        <f>IF(Asistencia!I289="","",Asistencia!I289)</f>
        <v/>
      </c>
      <c r="BO276" t="str">
        <f>IF(Asistencia!J289="","",Asistencia!J289)</f>
        <v/>
      </c>
      <c r="BP276" t="str">
        <f>IF(Asistencia!K289="","",Asistencia!K289)</f>
        <v/>
      </c>
      <c r="BQ276" t="str">
        <f>IF(Asistencia!L289="","",Asistencia!L289)</f>
        <v/>
      </c>
    </row>
    <row r="277" spans="27:69" x14ac:dyDescent="0.25">
      <c r="AA277" t="str">
        <f t="shared" si="92"/>
        <v/>
      </c>
      <c r="AB277" t="str">
        <f>IF(Asistencia!A290="","",Asistencia!A290)</f>
        <v/>
      </c>
      <c r="AC277" t="str">
        <f>IF(Asistencia!A290="","",SUBSTITUTE(SUBSTITUTE(SUBSTITUTE(SUBSTITUTE(SUBSTITUTE(SUBSTITUTE(SUBSTITUTE(UPPER(TRIM(Asistencia!A290)),"Á","A"),"É","E"),"Í","I"),"Ó","O"),"Ú","U"),"Ñ","N"),"  "," "))</f>
        <v/>
      </c>
      <c r="AD277" t="str">
        <f>IF(Asistencia!E290="","",Asistencia!E290)</f>
        <v/>
      </c>
      <c r="AE277" t="str">
        <f>IF(Asistencia!D290="","",UPPER(TRIM(Asistencia!D290)))</f>
        <v/>
      </c>
      <c r="AF277" t="s">
        <v>198</v>
      </c>
      <c r="AG277">
        <f>IF(AND(AA277&lt;&gt;"",COUNTIF($AA$5:AA277,AA277)=1),1,0)</f>
        <v>0</v>
      </c>
      <c r="AH277" t="str">
        <f>IF(AG277=1,SUM($AG$5:AG277),"")</f>
        <v/>
      </c>
      <c r="AI277">
        <f>IF(OR(EXACT(Asistencia!F290,"A"),EXACT(Asistencia!F290,"R"),EXACT(Asistencia!F290,"DL"),EXACT(Asistencia!F290,"FL"),EXACT(Asistencia!F290,"FE"),EXACT(Asistencia!F290,"PCS"),EXACT(Asistencia!F290,"V")),1,0)</f>
        <v>0</v>
      </c>
      <c r="AJ277">
        <f>IF(OR(EXACT(Asistencia!G290,"A"),EXACT(Asistencia!G290,"R"),EXACT(Asistencia!G290,"DL"),EXACT(Asistencia!G290,"FL"),EXACT(Asistencia!G290,"FE"),EXACT(Asistencia!G290,"PCS"),EXACT(Asistencia!G290,"V")),1,0)</f>
        <v>0</v>
      </c>
      <c r="AK277">
        <f>IF(OR(EXACT(Asistencia!H290,"A"),EXACT(Asistencia!H290,"R"),EXACT(Asistencia!H290,"DL"),EXACT(Asistencia!H290,"FL"),EXACT(Asistencia!H290,"FE"),EXACT(Asistencia!H290,"PCS"),EXACT(Asistencia!H290,"V")),1,0)</f>
        <v>0</v>
      </c>
      <c r="AL277">
        <f>IF(OR(EXACT(Asistencia!I290,"A"),EXACT(Asistencia!I290,"R"),EXACT(Asistencia!I290,"DL"),EXACT(Asistencia!I290,"FL"),EXACT(Asistencia!I290,"FE"),EXACT(Asistencia!I290,"PCS"),EXACT(Asistencia!I290,"V")),1,0)</f>
        <v>0</v>
      </c>
      <c r="AM277">
        <f>IF(OR(EXACT(Asistencia!J290,"A"),EXACT(Asistencia!J290,"R"),EXACT(Asistencia!J290,"DL"),EXACT(Asistencia!J290,"FL"),EXACT(Asistencia!J290,"FE"),EXACT(Asistencia!J290,"PCS"),EXACT(Asistencia!J290,"V")),1,0)</f>
        <v>0</v>
      </c>
      <c r="AN277">
        <f>IF(OR(EXACT(Asistencia!K290,"A"),EXACT(Asistencia!K290,"R"),EXACT(Asistencia!K290,"DL"),EXACT(Asistencia!K290,"FL"),EXACT(Asistencia!K290,"FE"),EXACT(Asistencia!K290,"PCS"),EXACT(Asistencia!K290,"V")),1,0)</f>
        <v>0</v>
      </c>
      <c r="AO277">
        <f>IF(OR(EXACT(Asistencia!L290,"A"),EXACT(Asistencia!L290,"R"),EXACT(Asistencia!L290,"DL"),EXACT(Asistencia!L290,"FL"),EXACT(Asistencia!L290,"FE"),EXACT(Asistencia!L290,"PCS"),EXACT(Asistencia!L290,"V")),1,0)</f>
        <v>0</v>
      </c>
      <c r="AP277">
        <f t="shared" si="93"/>
        <v>0</v>
      </c>
      <c r="AQ277">
        <f>IF(EXACT(Asistencia!F290,"FL"),1,0)</f>
        <v>0</v>
      </c>
      <c r="AR277">
        <f>IF(EXACT(Asistencia!G290,"FL"),1,0)</f>
        <v>0</v>
      </c>
      <c r="AS277">
        <f>IF(EXACT(Asistencia!H290,"FL"),1,0)</f>
        <v>0</v>
      </c>
      <c r="AT277">
        <f>IF(EXACT(Asistencia!I290,"FL"),1,0)</f>
        <v>0</v>
      </c>
      <c r="AU277">
        <f>IF(EXACT(Asistencia!J290,"FL"),1,0)</f>
        <v>0</v>
      </c>
      <c r="AV277">
        <f>IF(EXACT(Asistencia!K290,"FL"),1,0)</f>
        <v>0</v>
      </c>
      <c r="AW277">
        <f>IF(EXACT(Asistencia!L290,"FL"),1,0)</f>
        <v>0</v>
      </c>
      <c r="AX277">
        <f t="shared" si="94"/>
        <v>0</v>
      </c>
      <c r="AY277">
        <f>IF(EXACT(Asistencia!F290,"DL"),1,0)</f>
        <v>0</v>
      </c>
      <c r="AZ277">
        <f>IF(EXACT(Asistencia!G290,"DL"),1,0)</f>
        <v>0</v>
      </c>
      <c r="BA277">
        <f>IF(EXACT(Asistencia!H290,"DL"),1,0)</f>
        <v>0</v>
      </c>
      <c r="BB277">
        <f>IF(EXACT(Asistencia!I290,"DL"),1,0)</f>
        <v>0</v>
      </c>
      <c r="BC277">
        <f>IF(EXACT(Asistencia!J290,"DL"),1,0)</f>
        <v>0</v>
      </c>
      <c r="BD277">
        <f>IF(EXACT(Asistencia!K290,"DL"),1,0)</f>
        <v>0</v>
      </c>
      <c r="BE277">
        <f>IF(EXACT(Asistencia!L290,"DL"),1,0)</f>
        <v>0</v>
      </c>
      <c r="BF277">
        <f t="shared" si="95"/>
        <v>0</v>
      </c>
      <c r="BG277">
        <f>IF(ISNUMBER(Asistencia!M290),Asistencia!M290,0)</f>
        <v>0</v>
      </c>
      <c r="BH277">
        <f>IF(ISNUMBER(Asistencia!N290),Asistencia!N290,0)</f>
        <v>0</v>
      </c>
      <c r="BI277">
        <f>IF(ISNUMBER(Asistencia!O290),Asistencia!O290,0)</f>
        <v>0</v>
      </c>
      <c r="BJ277">
        <f>IF(ISNUMBER(Asistencia!P290),Asistencia!P290,0)</f>
        <v>0</v>
      </c>
      <c r="BK277" t="str">
        <f>IF(Asistencia!F290="","",Asistencia!F290)</f>
        <v/>
      </c>
      <c r="BL277" t="str">
        <f>IF(Asistencia!G290="","",Asistencia!G290)</f>
        <v/>
      </c>
      <c r="BM277" t="str">
        <f>IF(Asistencia!H290="","",Asistencia!H290)</f>
        <v/>
      </c>
      <c r="BN277" t="str">
        <f>IF(Asistencia!I290="","",Asistencia!I290)</f>
        <v/>
      </c>
      <c r="BO277" t="str">
        <f>IF(Asistencia!J290="","",Asistencia!J290)</f>
        <v/>
      </c>
      <c r="BP277" t="str">
        <f>IF(Asistencia!K290="","",Asistencia!K290)</f>
        <v/>
      </c>
      <c r="BQ277" t="str">
        <f>IF(Asistencia!L290="","",Asistencia!L290)</f>
        <v/>
      </c>
    </row>
    <row r="278" spans="27:69" x14ac:dyDescent="0.25">
      <c r="AA278" t="str">
        <f t="shared" si="92"/>
        <v/>
      </c>
      <c r="AB278" t="str">
        <f>IF(Asistencia!A291="","",Asistencia!A291)</f>
        <v/>
      </c>
      <c r="AC278" t="str">
        <f>IF(Asistencia!A291="","",SUBSTITUTE(SUBSTITUTE(SUBSTITUTE(SUBSTITUTE(SUBSTITUTE(SUBSTITUTE(SUBSTITUTE(UPPER(TRIM(Asistencia!A291)),"Á","A"),"É","E"),"Í","I"),"Ó","O"),"Ú","U"),"Ñ","N"),"  "," "))</f>
        <v/>
      </c>
      <c r="AD278" t="str">
        <f>IF(Asistencia!E291="","",Asistencia!E291)</f>
        <v/>
      </c>
      <c r="AE278" t="str">
        <f>IF(Asistencia!D291="","",UPPER(TRIM(Asistencia!D291)))</f>
        <v/>
      </c>
      <c r="AF278" t="s">
        <v>198</v>
      </c>
      <c r="AG278">
        <f>IF(AND(AA278&lt;&gt;"",COUNTIF($AA$5:AA278,AA278)=1),1,0)</f>
        <v>0</v>
      </c>
      <c r="AH278" t="str">
        <f>IF(AG278=1,SUM($AG$5:AG278),"")</f>
        <v/>
      </c>
      <c r="AI278">
        <f>IF(OR(EXACT(Asistencia!F291,"A"),EXACT(Asistencia!F291,"R"),EXACT(Asistencia!F291,"DL"),EXACT(Asistencia!F291,"FL"),EXACT(Asistencia!F291,"FE"),EXACT(Asistencia!F291,"PCS"),EXACT(Asistencia!F291,"V")),1,0)</f>
        <v>0</v>
      </c>
      <c r="AJ278">
        <f>IF(OR(EXACT(Asistencia!G291,"A"),EXACT(Asistencia!G291,"R"),EXACT(Asistencia!G291,"DL"),EXACT(Asistencia!G291,"FL"),EXACT(Asistencia!G291,"FE"),EXACT(Asistencia!G291,"PCS"),EXACT(Asistencia!G291,"V")),1,0)</f>
        <v>0</v>
      </c>
      <c r="AK278">
        <f>IF(OR(EXACT(Asistencia!H291,"A"),EXACT(Asistencia!H291,"R"),EXACT(Asistencia!H291,"DL"),EXACT(Asistencia!H291,"FL"),EXACT(Asistencia!H291,"FE"),EXACT(Asistencia!H291,"PCS"),EXACT(Asistencia!H291,"V")),1,0)</f>
        <v>0</v>
      </c>
      <c r="AL278">
        <f>IF(OR(EXACT(Asistencia!I291,"A"),EXACT(Asistencia!I291,"R"),EXACT(Asistencia!I291,"DL"),EXACT(Asistencia!I291,"FL"),EXACT(Asistencia!I291,"FE"),EXACT(Asistencia!I291,"PCS"),EXACT(Asistencia!I291,"V")),1,0)</f>
        <v>0</v>
      </c>
      <c r="AM278">
        <f>IF(OR(EXACT(Asistencia!J291,"A"),EXACT(Asistencia!J291,"R"),EXACT(Asistencia!J291,"DL"),EXACT(Asistencia!J291,"FL"),EXACT(Asistencia!J291,"FE"),EXACT(Asistencia!J291,"PCS"),EXACT(Asistencia!J291,"V")),1,0)</f>
        <v>0</v>
      </c>
      <c r="AN278">
        <f>IF(OR(EXACT(Asistencia!K291,"A"),EXACT(Asistencia!K291,"R"),EXACT(Asistencia!K291,"DL"),EXACT(Asistencia!K291,"FL"),EXACT(Asistencia!K291,"FE"),EXACT(Asistencia!K291,"PCS"),EXACT(Asistencia!K291,"V")),1,0)</f>
        <v>0</v>
      </c>
      <c r="AO278">
        <f>IF(OR(EXACT(Asistencia!L291,"A"),EXACT(Asistencia!L291,"R"),EXACT(Asistencia!L291,"DL"),EXACT(Asistencia!L291,"FL"),EXACT(Asistencia!L291,"FE"),EXACT(Asistencia!L291,"PCS"),EXACT(Asistencia!L291,"V")),1,0)</f>
        <v>0</v>
      </c>
      <c r="AP278">
        <f t="shared" si="93"/>
        <v>0</v>
      </c>
      <c r="AQ278">
        <f>IF(EXACT(Asistencia!F291,"FL"),1,0)</f>
        <v>0</v>
      </c>
      <c r="AR278">
        <f>IF(EXACT(Asistencia!G291,"FL"),1,0)</f>
        <v>0</v>
      </c>
      <c r="AS278">
        <f>IF(EXACT(Asistencia!H291,"FL"),1,0)</f>
        <v>0</v>
      </c>
      <c r="AT278">
        <f>IF(EXACT(Asistencia!I291,"FL"),1,0)</f>
        <v>0</v>
      </c>
      <c r="AU278">
        <f>IF(EXACT(Asistencia!J291,"FL"),1,0)</f>
        <v>0</v>
      </c>
      <c r="AV278">
        <f>IF(EXACT(Asistencia!K291,"FL"),1,0)</f>
        <v>0</v>
      </c>
      <c r="AW278">
        <f>IF(EXACT(Asistencia!L291,"FL"),1,0)</f>
        <v>0</v>
      </c>
      <c r="AX278">
        <f t="shared" si="94"/>
        <v>0</v>
      </c>
      <c r="AY278">
        <f>IF(EXACT(Asistencia!F291,"DL"),1,0)</f>
        <v>0</v>
      </c>
      <c r="AZ278">
        <f>IF(EXACT(Asistencia!G291,"DL"),1,0)</f>
        <v>0</v>
      </c>
      <c r="BA278">
        <f>IF(EXACT(Asistencia!H291,"DL"),1,0)</f>
        <v>0</v>
      </c>
      <c r="BB278">
        <f>IF(EXACT(Asistencia!I291,"DL"),1,0)</f>
        <v>0</v>
      </c>
      <c r="BC278">
        <f>IF(EXACT(Asistencia!J291,"DL"),1,0)</f>
        <v>0</v>
      </c>
      <c r="BD278">
        <f>IF(EXACT(Asistencia!K291,"DL"),1,0)</f>
        <v>0</v>
      </c>
      <c r="BE278">
        <f>IF(EXACT(Asistencia!L291,"DL"),1,0)</f>
        <v>0</v>
      </c>
      <c r="BF278">
        <f t="shared" si="95"/>
        <v>0</v>
      </c>
      <c r="BG278">
        <f>IF(ISNUMBER(Asistencia!M291),Asistencia!M291,0)</f>
        <v>0</v>
      </c>
      <c r="BH278">
        <f>IF(ISNUMBER(Asistencia!N291),Asistencia!N291,0)</f>
        <v>0</v>
      </c>
      <c r="BI278">
        <f>IF(ISNUMBER(Asistencia!O291),Asistencia!O291,0)</f>
        <v>0</v>
      </c>
      <c r="BJ278">
        <f>IF(ISNUMBER(Asistencia!P291),Asistencia!P291,0)</f>
        <v>0</v>
      </c>
      <c r="BK278" t="str">
        <f>IF(Asistencia!F291="","",Asistencia!F291)</f>
        <v/>
      </c>
      <c r="BL278" t="str">
        <f>IF(Asistencia!G291="","",Asistencia!G291)</f>
        <v/>
      </c>
      <c r="BM278" t="str">
        <f>IF(Asistencia!H291="","",Asistencia!H291)</f>
        <v/>
      </c>
      <c r="BN278" t="str">
        <f>IF(Asistencia!I291="","",Asistencia!I291)</f>
        <v/>
      </c>
      <c r="BO278" t="str">
        <f>IF(Asistencia!J291="","",Asistencia!J291)</f>
        <v/>
      </c>
      <c r="BP278" t="str">
        <f>IF(Asistencia!K291="","",Asistencia!K291)</f>
        <v/>
      </c>
      <c r="BQ278" t="str">
        <f>IF(Asistencia!L291="","",Asistencia!L291)</f>
        <v/>
      </c>
    </row>
    <row r="279" spans="27:69" x14ac:dyDescent="0.25">
      <c r="AA279" t="str">
        <f t="shared" si="92"/>
        <v/>
      </c>
      <c r="AB279" t="str">
        <f>IF(Asistencia!A292="","",Asistencia!A292)</f>
        <v/>
      </c>
      <c r="AC279" t="str">
        <f>IF(Asistencia!A292="","",SUBSTITUTE(SUBSTITUTE(SUBSTITUTE(SUBSTITUTE(SUBSTITUTE(SUBSTITUTE(SUBSTITUTE(UPPER(TRIM(Asistencia!A292)),"Á","A"),"É","E"),"Í","I"),"Ó","O"),"Ú","U"),"Ñ","N"),"  "," "))</f>
        <v/>
      </c>
      <c r="AD279" t="str">
        <f>IF(Asistencia!E292="","",Asistencia!E292)</f>
        <v/>
      </c>
      <c r="AE279" t="str">
        <f>IF(Asistencia!D292="","",UPPER(TRIM(Asistencia!D292)))</f>
        <v/>
      </c>
      <c r="AF279" t="s">
        <v>198</v>
      </c>
      <c r="AG279">
        <f>IF(AND(AA279&lt;&gt;"",COUNTIF($AA$5:AA279,AA279)=1),1,0)</f>
        <v>0</v>
      </c>
      <c r="AH279" t="str">
        <f>IF(AG279=1,SUM($AG$5:AG279),"")</f>
        <v/>
      </c>
      <c r="AI279">
        <f>IF(OR(EXACT(Asistencia!F292,"A"),EXACT(Asistencia!F292,"R"),EXACT(Asistencia!F292,"DL"),EXACT(Asistencia!F292,"FL"),EXACT(Asistencia!F292,"FE"),EXACT(Asistencia!F292,"PCS"),EXACT(Asistencia!F292,"V")),1,0)</f>
        <v>0</v>
      </c>
      <c r="AJ279">
        <f>IF(OR(EXACT(Asistencia!G292,"A"),EXACT(Asistencia!G292,"R"),EXACT(Asistencia!G292,"DL"),EXACT(Asistencia!G292,"FL"),EXACT(Asistencia!G292,"FE"),EXACT(Asistencia!G292,"PCS"),EXACT(Asistencia!G292,"V")),1,0)</f>
        <v>0</v>
      </c>
      <c r="AK279">
        <f>IF(OR(EXACT(Asistencia!H292,"A"),EXACT(Asistencia!H292,"R"),EXACT(Asistencia!H292,"DL"),EXACT(Asistencia!H292,"FL"),EXACT(Asistencia!H292,"FE"),EXACT(Asistencia!H292,"PCS"),EXACT(Asistencia!H292,"V")),1,0)</f>
        <v>0</v>
      </c>
      <c r="AL279">
        <f>IF(OR(EXACT(Asistencia!I292,"A"),EXACT(Asistencia!I292,"R"),EXACT(Asistencia!I292,"DL"),EXACT(Asistencia!I292,"FL"),EXACT(Asistencia!I292,"FE"),EXACT(Asistencia!I292,"PCS"),EXACT(Asistencia!I292,"V")),1,0)</f>
        <v>0</v>
      </c>
      <c r="AM279">
        <f>IF(OR(EXACT(Asistencia!J292,"A"),EXACT(Asistencia!J292,"R"),EXACT(Asistencia!J292,"DL"),EXACT(Asistencia!J292,"FL"),EXACT(Asistencia!J292,"FE"),EXACT(Asistencia!J292,"PCS"),EXACT(Asistencia!J292,"V")),1,0)</f>
        <v>0</v>
      </c>
      <c r="AN279">
        <f>IF(OR(EXACT(Asistencia!K292,"A"),EXACT(Asistencia!K292,"R"),EXACT(Asistencia!K292,"DL"),EXACT(Asistencia!K292,"FL"),EXACT(Asistencia!K292,"FE"),EXACT(Asistencia!K292,"PCS"),EXACT(Asistencia!K292,"V")),1,0)</f>
        <v>0</v>
      </c>
      <c r="AO279">
        <f>IF(OR(EXACT(Asistencia!L292,"A"),EXACT(Asistencia!L292,"R"),EXACT(Asistencia!L292,"DL"),EXACT(Asistencia!L292,"FL"),EXACT(Asistencia!L292,"FE"),EXACT(Asistencia!L292,"PCS"),EXACT(Asistencia!L292,"V")),1,0)</f>
        <v>0</v>
      </c>
      <c r="AP279">
        <f t="shared" si="93"/>
        <v>0</v>
      </c>
      <c r="AQ279">
        <f>IF(EXACT(Asistencia!F292,"FL"),1,0)</f>
        <v>0</v>
      </c>
      <c r="AR279">
        <f>IF(EXACT(Asistencia!G292,"FL"),1,0)</f>
        <v>0</v>
      </c>
      <c r="AS279">
        <f>IF(EXACT(Asistencia!H292,"FL"),1,0)</f>
        <v>0</v>
      </c>
      <c r="AT279">
        <f>IF(EXACT(Asistencia!I292,"FL"),1,0)</f>
        <v>0</v>
      </c>
      <c r="AU279">
        <f>IF(EXACT(Asistencia!J292,"FL"),1,0)</f>
        <v>0</v>
      </c>
      <c r="AV279">
        <f>IF(EXACT(Asistencia!K292,"FL"),1,0)</f>
        <v>0</v>
      </c>
      <c r="AW279">
        <f>IF(EXACT(Asistencia!L292,"FL"),1,0)</f>
        <v>0</v>
      </c>
      <c r="AX279">
        <f t="shared" si="94"/>
        <v>0</v>
      </c>
      <c r="AY279">
        <f>IF(EXACT(Asistencia!F292,"DL"),1,0)</f>
        <v>0</v>
      </c>
      <c r="AZ279">
        <f>IF(EXACT(Asistencia!G292,"DL"),1,0)</f>
        <v>0</v>
      </c>
      <c r="BA279">
        <f>IF(EXACT(Asistencia!H292,"DL"),1,0)</f>
        <v>0</v>
      </c>
      <c r="BB279">
        <f>IF(EXACT(Asistencia!I292,"DL"),1,0)</f>
        <v>0</v>
      </c>
      <c r="BC279">
        <f>IF(EXACT(Asistencia!J292,"DL"),1,0)</f>
        <v>0</v>
      </c>
      <c r="BD279">
        <f>IF(EXACT(Asistencia!K292,"DL"),1,0)</f>
        <v>0</v>
      </c>
      <c r="BE279">
        <f>IF(EXACT(Asistencia!L292,"DL"),1,0)</f>
        <v>0</v>
      </c>
      <c r="BF279">
        <f t="shared" si="95"/>
        <v>0</v>
      </c>
      <c r="BG279">
        <f>IF(ISNUMBER(Asistencia!M292),Asistencia!M292,0)</f>
        <v>0</v>
      </c>
      <c r="BH279">
        <f>IF(ISNUMBER(Asistencia!N292),Asistencia!N292,0)</f>
        <v>0</v>
      </c>
      <c r="BI279">
        <f>IF(ISNUMBER(Asistencia!O292),Asistencia!O292,0)</f>
        <v>0</v>
      </c>
      <c r="BJ279">
        <f>IF(ISNUMBER(Asistencia!P292),Asistencia!P292,0)</f>
        <v>0</v>
      </c>
      <c r="BK279" t="str">
        <f>IF(Asistencia!F292="","",Asistencia!F292)</f>
        <v/>
      </c>
      <c r="BL279" t="str">
        <f>IF(Asistencia!G292="","",Asistencia!G292)</f>
        <v/>
      </c>
      <c r="BM279" t="str">
        <f>IF(Asistencia!H292="","",Asistencia!H292)</f>
        <v/>
      </c>
      <c r="BN279" t="str">
        <f>IF(Asistencia!I292="","",Asistencia!I292)</f>
        <v/>
      </c>
      <c r="BO279" t="str">
        <f>IF(Asistencia!J292="","",Asistencia!J292)</f>
        <v/>
      </c>
      <c r="BP279" t="str">
        <f>IF(Asistencia!K292="","",Asistencia!K292)</f>
        <v/>
      </c>
      <c r="BQ279" t="str">
        <f>IF(Asistencia!L292="","",Asistencia!L292)</f>
        <v/>
      </c>
    </row>
    <row r="280" spans="27:69" x14ac:dyDescent="0.25">
      <c r="AA280" t="str">
        <f t="shared" si="92"/>
        <v/>
      </c>
      <c r="AB280" t="str">
        <f>IF(Asistencia!A293="","",Asistencia!A293)</f>
        <v/>
      </c>
      <c r="AC280" t="str">
        <f>IF(Asistencia!A293="","",SUBSTITUTE(SUBSTITUTE(SUBSTITUTE(SUBSTITUTE(SUBSTITUTE(SUBSTITUTE(SUBSTITUTE(UPPER(TRIM(Asistencia!A293)),"Á","A"),"É","E"),"Í","I"),"Ó","O"),"Ú","U"),"Ñ","N"),"  "," "))</f>
        <v/>
      </c>
      <c r="AD280" t="str">
        <f>IF(Asistencia!E293="","",Asistencia!E293)</f>
        <v/>
      </c>
      <c r="AE280" t="str">
        <f>IF(Asistencia!D293="","",UPPER(TRIM(Asistencia!D293)))</f>
        <v/>
      </c>
      <c r="AF280" t="s">
        <v>198</v>
      </c>
      <c r="AG280">
        <f>IF(AND(AA280&lt;&gt;"",COUNTIF($AA$5:AA280,AA280)=1),1,0)</f>
        <v>0</v>
      </c>
      <c r="AH280" t="str">
        <f>IF(AG280=1,SUM($AG$5:AG280),"")</f>
        <v/>
      </c>
      <c r="AI280">
        <f>IF(OR(EXACT(Asistencia!F293,"A"),EXACT(Asistencia!F293,"R"),EXACT(Asistencia!F293,"DL"),EXACT(Asistencia!F293,"FL"),EXACT(Asistencia!F293,"FE"),EXACT(Asistencia!F293,"PCS"),EXACT(Asistencia!F293,"V")),1,0)</f>
        <v>0</v>
      </c>
      <c r="AJ280">
        <f>IF(OR(EXACT(Asistencia!G293,"A"),EXACT(Asistencia!G293,"R"),EXACT(Asistencia!G293,"DL"),EXACT(Asistencia!G293,"FL"),EXACT(Asistencia!G293,"FE"),EXACT(Asistencia!G293,"PCS"),EXACT(Asistencia!G293,"V")),1,0)</f>
        <v>0</v>
      </c>
      <c r="AK280">
        <f>IF(OR(EXACT(Asistencia!H293,"A"),EXACT(Asistencia!H293,"R"),EXACT(Asistencia!H293,"DL"),EXACT(Asistencia!H293,"FL"),EXACT(Asistencia!H293,"FE"),EXACT(Asistencia!H293,"PCS"),EXACT(Asistencia!H293,"V")),1,0)</f>
        <v>0</v>
      </c>
      <c r="AL280">
        <f>IF(OR(EXACT(Asistencia!I293,"A"),EXACT(Asistencia!I293,"R"),EXACT(Asistencia!I293,"DL"),EXACT(Asistencia!I293,"FL"),EXACT(Asistencia!I293,"FE"),EXACT(Asistencia!I293,"PCS"),EXACT(Asistencia!I293,"V")),1,0)</f>
        <v>0</v>
      </c>
      <c r="AM280">
        <f>IF(OR(EXACT(Asistencia!J293,"A"),EXACT(Asistencia!J293,"R"),EXACT(Asistencia!J293,"DL"),EXACT(Asistencia!J293,"FL"),EXACT(Asistencia!J293,"FE"),EXACT(Asistencia!J293,"PCS"),EXACT(Asistencia!J293,"V")),1,0)</f>
        <v>0</v>
      </c>
      <c r="AN280">
        <f>IF(OR(EXACT(Asistencia!K293,"A"),EXACT(Asistencia!K293,"R"),EXACT(Asistencia!K293,"DL"),EXACT(Asistencia!K293,"FL"),EXACT(Asistencia!K293,"FE"),EXACT(Asistencia!K293,"PCS"),EXACT(Asistencia!K293,"V")),1,0)</f>
        <v>0</v>
      </c>
      <c r="AO280">
        <f>IF(OR(EXACT(Asistencia!L293,"A"),EXACT(Asistencia!L293,"R"),EXACT(Asistencia!L293,"DL"),EXACT(Asistencia!L293,"FL"),EXACT(Asistencia!L293,"FE"),EXACT(Asistencia!L293,"PCS"),EXACT(Asistencia!L293,"V")),1,0)</f>
        <v>0</v>
      </c>
      <c r="AP280">
        <f t="shared" si="93"/>
        <v>0</v>
      </c>
      <c r="AQ280">
        <f>IF(EXACT(Asistencia!F293,"FL"),1,0)</f>
        <v>0</v>
      </c>
      <c r="AR280">
        <f>IF(EXACT(Asistencia!G293,"FL"),1,0)</f>
        <v>0</v>
      </c>
      <c r="AS280">
        <f>IF(EXACT(Asistencia!H293,"FL"),1,0)</f>
        <v>0</v>
      </c>
      <c r="AT280">
        <f>IF(EXACT(Asistencia!I293,"FL"),1,0)</f>
        <v>0</v>
      </c>
      <c r="AU280">
        <f>IF(EXACT(Asistencia!J293,"FL"),1,0)</f>
        <v>0</v>
      </c>
      <c r="AV280">
        <f>IF(EXACT(Asistencia!K293,"FL"),1,0)</f>
        <v>0</v>
      </c>
      <c r="AW280">
        <f>IF(EXACT(Asistencia!L293,"FL"),1,0)</f>
        <v>0</v>
      </c>
      <c r="AX280">
        <f t="shared" si="94"/>
        <v>0</v>
      </c>
      <c r="AY280">
        <f>IF(EXACT(Asistencia!F293,"DL"),1,0)</f>
        <v>0</v>
      </c>
      <c r="AZ280">
        <f>IF(EXACT(Asistencia!G293,"DL"),1,0)</f>
        <v>0</v>
      </c>
      <c r="BA280">
        <f>IF(EXACT(Asistencia!H293,"DL"),1,0)</f>
        <v>0</v>
      </c>
      <c r="BB280">
        <f>IF(EXACT(Asistencia!I293,"DL"),1,0)</f>
        <v>0</v>
      </c>
      <c r="BC280">
        <f>IF(EXACT(Asistencia!J293,"DL"),1,0)</f>
        <v>0</v>
      </c>
      <c r="BD280">
        <f>IF(EXACT(Asistencia!K293,"DL"),1,0)</f>
        <v>0</v>
      </c>
      <c r="BE280">
        <f>IF(EXACT(Asistencia!L293,"DL"),1,0)</f>
        <v>0</v>
      </c>
      <c r="BF280">
        <f t="shared" si="95"/>
        <v>0</v>
      </c>
      <c r="BG280">
        <f>IF(ISNUMBER(Asistencia!M293),Asistencia!M293,0)</f>
        <v>0</v>
      </c>
      <c r="BH280">
        <f>IF(ISNUMBER(Asistencia!N293),Asistencia!N293,0)</f>
        <v>0</v>
      </c>
      <c r="BI280">
        <f>IF(ISNUMBER(Asistencia!O293),Asistencia!O293,0)</f>
        <v>0</v>
      </c>
      <c r="BJ280">
        <f>IF(ISNUMBER(Asistencia!P293),Asistencia!P293,0)</f>
        <v>0</v>
      </c>
      <c r="BK280" t="str">
        <f>IF(Asistencia!F293="","",Asistencia!F293)</f>
        <v/>
      </c>
      <c r="BL280" t="str">
        <f>IF(Asistencia!G293="","",Asistencia!G293)</f>
        <v/>
      </c>
      <c r="BM280" t="str">
        <f>IF(Asistencia!H293="","",Asistencia!H293)</f>
        <v/>
      </c>
      <c r="BN280" t="str">
        <f>IF(Asistencia!I293="","",Asistencia!I293)</f>
        <v/>
      </c>
      <c r="BO280" t="str">
        <f>IF(Asistencia!J293="","",Asistencia!J293)</f>
        <v/>
      </c>
      <c r="BP280" t="str">
        <f>IF(Asistencia!K293="","",Asistencia!K293)</f>
        <v/>
      </c>
      <c r="BQ280" t="str">
        <f>IF(Asistencia!L293="","",Asistencia!L293)</f>
        <v/>
      </c>
    </row>
    <row r="281" spans="27:69" x14ac:dyDescent="0.25">
      <c r="AA281" t="str">
        <f t="shared" si="92"/>
        <v/>
      </c>
      <c r="AB281" t="str">
        <f>IF(Asistencia!A294="","",Asistencia!A294)</f>
        <v/>
      </c>
      <c r="AC281" t="str">
        <f>IF(Asistencia!A294="","",SUBSTITUTE(SUBSTITUTE(SUBSTITUTE(SUBSTITUTE(SUBSTITUTE(SUBSTITUTE(SUBSTITUTE(UPPER(TRIM(Asistencia!A294)),"Á","A"),"É","E"),"Í","I"),"Ó","O"),"Ú","U"),"Ñ","N"),"  "," "))</f>
        <v/>
      </c>
      <c r="AD281" t="str">
        <f>IF(Asistencia!E294="","",Asistencia!E294)</f>
        <v/>
      </c>
      <c r="AE281" t="str">
        <f>IF(Asistencia!D294="","",UPPER(TRIM(Asistencia!D294)))</f>
        <v/>
      </c>
      <c r="AF281" t="s">
        <v>198</v>
      </c>
      <c r="AG281">
        <f>IF(AND(AA281&lt;&gt;"",COUNTIF($AA$5:AA281,AA281)=1),1,0)</f>
        <v>0</v>
      </c>
      <c r="AH281" t="str">
        <f>IF(AG281=1,SUM($AG$5:AG281),"")</f>
        <v/>
      </c>
      <c r="AI281">
        <f>IF(OR(EXACT(Asistencia!F294,"A"),EXACT(Asistencia!F294,"R"),EXACT(Asistencia!F294,"DL"),EXACT(Asistencia!F294,"FL"),EXACT(Asistencia!F294,"FE"),EXACT(Asistencia!F294,"PCS"),EXACT(Asistencia!F294,"V")),1,0)</f>
        <v>0</v>
      </c>
      <c r="AJ281">
        <f>IF(OR(EXACT(Asistencia!G294,"A"),EXACT(Asistencia!G294,"R"),EXACT(Asistencia!G294,"DL"),EXACT(Asistencia!G294,"FL"),EXACT(Asistencia!G294,"FE"),EXACT(Asistencia!G294,"PCS"),EXACT(Asistencia!G294,"V")),1,0)</f>
        <v>0</v>
      </c>
      <c r="AK281">
        <f>IF(OR(EXACT(Asistencia!H294,"A"),EXACT(Asistencia!H294,"R"),EXACT(Asistencia!H294,"DL"),EXACT(Asistencia!H294,"FL"),EXACT(Asistencia!H294,"FE"),EXACT(Asistencia!H294,"PCS"),EXACT(Asistencia!H294,"V")),1,0)</f>
        <v>0</v>
      </c>
      <c r="AL281">
        <f>IF(OR(EXACT(Asistencia!I294,"A"),EXACT(Asistencia!I294,"R"),EXACT(Asistencia!I294,"DL"),EXACT(Asistencia!I294,"FL"),EXACT(Asistencia!I294,"FE"),EXACT(Asistencia!I294,"PCS"),EXACT(Asistencia!I294,"V")),1,0)</f>
        <v>0</v>
      </c>
      <c r="AM281">
        <f>IF(OR(EXACT(Asistencia!J294,"A"),EXACT(Asistencia!J294,"R"),EXACT(Asistencia!J294,"DL"),EXACT(Asistencia!J294,"FL"),EXACT(Asistencia!J294,"FE"),EXACT(Asistencia!J294,"PCS"),EXACT(Asistencia!J294,"V")),1,0)</f>
        <v>0</v>
      </c>
      <c r="AN281">
        <f>IF(OR(EXACT(Asistencia!K294,"A"),EXACT(Asistencia!K294,"R"),EXACT(Asistencia!K294,"DL"),EXACT(Asistencia!K294,"FL"),EXACT(Asistencia!K294,"FE"),EXACT(Asistencia!K294,"PCS"),EXACT(Asistencia!K294,"V")),1,0)</f>
        <v>0</v>
      </c>
      <c r="AO281">
        <f>IF(OR(EXACT(Asistencia!L294,"A"),EXACT(Asistencia!L294,"R"),EXACT(Asistencia!L294,"DL"),EXACT(Asistencia!L294,"FL"),EXACT(Asistencia!L294,"FE"),EXACT(Asistencia!L294,"PCS"),EXACT(Asistencia!L294,"V")),1,0)</f>
        <v>0</v>
      </c>
      <c r="AP281">
        <f t="shared" si="93"/>
        <v>0</v>
      </c>
      <c r="AQ281">
        <f>IF(EXACT(Asistencia!F294,"FL"),1,0)</f>
        <v>0</v>
      </c>
      <c r="AR281">
        <f>IF(EXACT(Asistencia!G294,"FL"),1,0)</f>
        <v>0</v>
      </c>
      <c r="AS281">
        <f>IF(EXACT(Asistencia!H294,"FL"),1,0)</f>
        <v>0</v>
      </c>
      <c r="AT281">
        <f>IF(EXACT(Asistencia!I294,"FL"),1,0)</f>
        <v>0</v>
      </c>
      <c r="AU281">
        <f>IF(EXACT(Asistencia!J294,"FL"),1,0)</f>
        <v>0</v>
      </c>
      <c r="AV281">
        <f>IF(EXACT(Asistencia!K294,"FL"),1,0)</f>
        <v>0</v>
      </c>
      <c r="AW281">
        <f>IF(EXACT(Asistencia!L294,"FL"),1,0)</f>
        <v>0</v>
      </c>
      <c r="AX281">
        <f t="shared" si="94"/>
        <v>0</v>
      </c>
      <c r="AY281">
        <f>IF(EXACT(Asistencia!F294,"DL"),1,0)</f>
        <v>0</v>
      </c>
      <c r="AZ281">
        <f>IF(EXACT(Asistencia!G294,"DL"),1,0)</f>
        <v>0</v>
      </c>
      <c r="BA281">
        <f>IF(EXACT(Asistencia!H294,"DL"),1,0)</f>
        <v>0</v>
      </c>
      <c r="BB281">
        <f>IF(EXACT(Asistencia!I294,"DL"),1,0)</f>
        <v>0</v>
      </c>
      <c r="BC281">
        <f>IF(EXACT(Asistencia!J294,"DL"),1,0)</f>
        <v>0</v>
      </c>
      <c r="BD281">
        <f>IF(EXACT(Asistencia!K294,"DL"),1,0)</f>
        <v>0</v>
      </c>
      <c r="BE281">
        <f>IF(EXACT(Asistencia!L294,"DL"),1,0)</f>
        <v>0</v>
      </c>
      <c r="BF281">
        <f t="shared" si="95"/>
        <v>0</v>
      </c>
      <c r="BG281">
        <f>IF(ISNUMBER(Asistencia!M294),Asistencia!M294,0)</f>
        <v>0</v>
      </c>
      <c r="BH281">
        <f>IF(ISNUMBER(Asistencia!N294),Asistencia!N294,0)</f>
        <v>0</v>
      </c>
      <c r="BI281">
        <f>IF(ISNUMBER(Asistencia!O294),Asistencia!O294,0)</f>
        <v>0</v>
      </c>
      <c r="BJ281">
        <f>IF(ISNUMBER(Asistencia!P294),Asistencia!P294,0)</f>
        <v>0</v>
      </c>
      <c r="BK281" t="str">
        <f>IF(Asistencia!F294="","",Asistencia!F294)</f>
        <v/>
      </c>
      <c r="BL281" t="str">
        <f>IF(Asistencia!G294="","",Asistencia!G294)</f>
        <v/>
      </c>
      <c r="BM281" t="str">
        <f>IF(Asistencia!H294="","",Asistencia!H294)</f>
        <v/>
      </c>
      <c r="BN281" t="str">
        <f>IF(Asistencia!I294="","",Asistencia!I294)</f>
        <v/>
      </c>
      <c r="BO281" t="str">
        <f>IF(Asistencia!J294="","",Asistencia!J294)</f>
        <v/>
      </c>
      <c r="BP281" t="str">
        <f>IF(Asistencia!K294="","",Asistencia!K294)</f>
        <v/>
      </c>
      <c r="BQ281" t="str">
        <f>IF(Asistencia!L294="","",Asistencia!L294)</f>
        <v/>
      </c>
    </row>
    <row r="282" spans="27:69" x14ac:dyDescent="0.25">
      <c r="AA282" t="str">
        <f t="shared" si="92"/>
        <v/>
      </c>
      <c r="AB282" t="str">
        <f>IF(Asistencia!A295="","",Asistencia!A295)</f>
        <v/>
      </c>
      <c r="AC282" t="str">
        <f>IF(Asistencia!A295="","",SUBSTITUTE(SUBSTITUTE(SUBSTITUTE(SUBSTITUTE(SUBSTITUTE(SUBSTITUTE(SUBSTITUTE(UPPER(TRIM(Asistencia!A295)),"Á","A"),"É","E"),"Í","I"),"Ó","O"),"Ú","U"),"Ñ","N"),"  "," "))</f>
        <v/>
      </c>
      <c r="AD282" t="str">
        <f>IF(Asistencia!E295="","",Asistencia!E295)</f>
        <v/>
      </c>
      <c r="AE282" t="str">
        <f>IF(Asistencia!D295="","",UPPER(TRIM(Asistencia!D295)))</f>
        <v/>
      </c>
      <c r="AF282" t="s">
        <v>198</v>
      </c>
      <c r="AG282">
        <f>IF(AND(AA282&lt;&gt;"",COUNTIF($AA$5:AA282,AA282)=1),1,0)</f>
        <v>0</v>
      </c>
      <c r="AH282" t="str">
        <f>IF(AG282=1,SUM($AG$5:AG282),"")</f>
        <v/>
      </c>
      <c r="AI282">
        <f>IF(OR(EXACT(Asistencia!F295,"A"),EXACT(Asistencia!F295,"R"),EXACT(Asistencia!F295,"DL"),EXACT(Asistencia!F295,"FL"),EXACT(Asistencia!F295,"FE"),EXACT(Asistencia!F295,"PCS"),EXACT(Asistencia!F295,"V")),1,0)</f>
        <v>0</v>
      </c>
      <c r="AJ282">
        <f>IF(OR(EXACT(Asistencia!G295,"A"),EXACT(Asistencia!G295,"R"),EXACT(Asistencia!G295,"DL"),EXACT(Asistencia!G295,"FL"),EXACT(Asistencia!G295,"FE"),EXACT(Asistencia!G295,"PCS"),EXACT(Asistencia!G295,"V")),1,0)</f>
        <v>0</v>
      </c>
      <c r="AK282">
        <f>IF(OR(EXACT(Asistencia!H295,"A"),EXACT(Asistencia!H295,"R"),EXACT(Asistencia!H295,"DL"),EXACT(Asistencia!H295,"FL"),EXACT(Asistencia!H295,"FE"),EXACT(Asistencia!H295,"PCS"),EXACT(Asistencia!H295,"V")),1,0)</f>
        <v>0</v>
      </c>
      <c r="AL282">
        <f>IF(OR(EXACT(Asistencia!I295,"A"),EXACT(Asistencia!I295,"R"),EXACT(Asistencia!I295,"DL"),EXACT(Asistencia!I295,"FL"),EXACT(Asistencia!I295,"FE"),EXACT(Asistencia!I295,"PCS"),EXACT(Asistencia!I295,"V")),1,0)</f>
        <v>0</v>
      </c>
      <c r="AM282">
        <f>IF(OR(EXACT(Asistencia!J295,"A"),EXACT(Asistencia!J295,"R"),EXACT(Asistencia!J295,"DL"),EXACT(Asistencia!J295,"FL"),EXACT(Asistencia!J295,"FE"),EXACT(Asistencia!J295,"PCS"),EXACT(Asistencia!J295,"V")),1,0)</f>
        <v>0</v>
      </c>
      <c r="AN282">
        <f>IF(OR(EXACT(Asistencia!K295,"A"),EXACT(Asistencia!K295,"R"),EXACT(Asistencia!K295,"DL"),EXACT(Asistencia!K295,"FL"),EXACT(Asistencia!K295,"FE"),EXACT(Asistencia!K295,"PCS"),EXACT(Asistencia!K295,"V")),1,0)</f>
        <v>0</v>
      </c>
      <c r="AO282">
        <f>IF(OR(EXACT(Asistencia!L295,"A"),EXACT(Asistencia!L295,"R"),EXACT(Asistencia!L295,"DL"),EXACT(Asistencia!L295,"FL"),EXACT(Asistencia!L295,"FE"),EXACT(Asistencia!L295,"PCS"),EXACT(Asistencia!L295,"V")),1,0)</f>
        <v>0</v>
      </c>
      <c r="AP282">
        <f t="shared" si="93"/>
        <v>0</v>
      </c>
      <c r="AQ282">
        <f>IF(EXACT(Asistencia!F295,"FL"),1,0)</f>
        <v>0</v>
      </c>
      <c r="AR282">
        <f>IF(EXACT(Asistencia!G295,"FL"),1,0)</f>
        <v>0</v>
      </c>
      <c r="AS282">
        <f>IF(EXACT(Asistencia!H295,"FL"),1,0)</f>
        <v>0</v>
      </c>
      <c r="AT282">
        <f>IF(EXACT(Asistencia!I295,"FL"),1,0)</f>
        <v>0</v>
      </c>
      <c r="AU282">
        <f>IF(EXACT(Asistencia!J295,"FL"),1,0)</f>
        <v>0</v>
      </c>
      <c r="AV282">
        <f>IF(EXACT(Asistencia!K295,"FL"),1,0)</f>
        <v>0</v>
      </c>
      <c r="AW282">
        <f>IF(EXACT(Asistencia!L295,"FL"),1,0)</f>
        <v>0</v>
      </c>
      <c r="AX282">
        <f t="shared" si="94"/>
        <v>0</v>
      </c>
      <c r="AY282">
        <f>IF(EXACT(Asistencia!F295,"DL"),1,0)</f>
        <v>0</v>
      </c>
      <c r="AZ282">
        <f>IF(EXACT(Asistencia!G295,"DL"),1,0)</f>
        <v>0</v>
      </c>
      <c r="BA282">
        <f>IF(EXACT(Asistencia!H295,"DL"),1,0)</f>
        <v>0</v>
      </c>
      <c r="BB282">
        <f>IF(EXACT(Asistencia!I295,"DL"),1,0)</f>
        <v>0</v>
      </c>
      <c r="BC282">
        <f>IF(EXACT(Asistencia!J295,"DL"),1,0)</f>
        <v>0</v>
      </c>
      <c r="BD282">
        <f>IF(EXACT(Asistencia!K295,"DL"),1,0)</f>
        <v>0</v>
      </c>
      <c r="BE282">
        <f>IF(EXACT(Asistencia!L295,"DL"),1,0)</f>
        <v>0</v>
      </c>
      <c r="BF282">
        <f t="shared" si="95"/>
        <v>0</v>
      </c>
      <c r="BG282">
        <f>IF(ISNUMBER(Asistencia!M295),Asistencia!M295,0)</f>
        <v>0</v>
      </c>
      <c r="BH282">
        <f>IF(ISNUMBER(Asistencia!N295),Asistencia!N295,0)</f>
        <v>0</v>
      </c>
      <c r="BI282">
        <f>IF(ISNUMBER(Asistencia!O295),Asistencia!O295,0)</f>
        <v>0</v>
      </c>
      <c r="BJ282">
        <f>IF(ISNUMBER(Asistencia!P295),Asistencia!P295,0)</f>
        <v>0</v>
      </c>
      <c r="BK282" t="str">
        <f>IF(Asistencia!F295="","",Asistencia!F295)</f>
        <v/>
      </c>
      <c r="BL282" t="str">
        <f>IF(Asistencia!G295="","",Asistencia!G295)</f>
        <v/>
      </c>
      <c r="BM282" t="str">
        <f>IF(Asistencia!H295="","",Asistencia!H295)</f>
        <v/>
      </c>
      <c r="BN282" t="str">
        <f>IF(Asistencia!I295="","",Asistencia!I295)</f>
        <v/>
      </c>
      <c r="BO282" t="str">
        <f>IF(Asistencia!J295="","",Asistencia!J295)</f>
        <v/>
      </c>
      <c r="BP282" t="str">
        <f>IF(Asistencia!K295="","",Asistencia!K295)</f>
        <v/>
      </c>
      <c r="BQ282" t="str">
        <f>IF(Asistencia!L295="","",Asistencia!L295)</f>
        <v/>
      </c>
    </row>
    <row r="283" spans="27:69" x14ac:dyDescent="0.25">
      <c r="AA283" t="str">
        <f t="shared" si="92"/>
        <v/>
      </c>
      <c r="AB283" t="str">
        <f>IF(Asistencia!A296="","",Asistencia!A296)</f>
        <v/>
      </c>
      <c r="AC283" t="str">
        <f>IF(Asistencia!A296="","",SUBSTITUTE(SUBSTITUTE(SUBSTITUTE(SUBSTITUTE(SUBSTITUTE(SUBSTITUTE(SUBSTITUTE(UPPER(TRIM(Asistencia!A296)),"Á","A"),"É","E"),"Í","I"),"Ó","O"),"Ú","U"),"Ñ","N"),"  "," "))</f>
        <v/>
      </c>
      <c r="AD283" t="str">
        <f>IF(Asistencia!E296="","",Asistencia!E296)</f>
        <v/>
      </c>
      <c r="AE283" t="str">
        <f>IF(Asistencia!D296="","",UPPER(TRIM(Asistencia!D296)))</f>
        <v/>
      </c>
      <c r="AF283" t="s">
        <v>198</v>
      </c>
      <c r="AG283">
        <f>IF(AND(AA283&lt;&gt;"",COUNTIF($AA$5:AA283,AA283)=1),1,0)</f>
        <v>0</v>
      </c>
      <c r="AH283" t="str">
        <f>IF(AG283=1,SUM($AG$5:AG283),"")</f>
        <v/>
      </c>
      <c r="AI283">
        <f>IF(OR(EXACT(Asistencia!F296,"A"),EXACT(Asistencia!F296,"R"),EXACT(Asistencia!F296,"DL"),EXACT(Asistencia!F296,"FL"),EXACT(Asistencia!F296,"FE"),EXACT(Asistencia!F296,"PCS"),EXACT(Asistencia!F296,"V")),1,0)</f>
        <v>0</v>
      </c>
      <c r="AJ283">
        <f>IF(OR(EXACT(Asistencia!G296,"A"),EXACT(Asistencia!G296,"R"),EXACT(Asistencia!G296,"DL"),EXACT(Asistencia!G296,"FL"),EXACT(Asistencia!G296,"FE"),EXACT(Asistencia!G296,"PCS"),EXACT(Asistencia!G296,"V")),1,0)</f>
        <v>0</v>
      </c>
      <c r="AK283">
        <f>IF(OR(EXACT(Asistencia!H296,"A"),EXACT(Asistencia!H296,"R"),EXACT(Asistencia!H296,"DL"),EXACT(Asistencia!H296,"FL"),EXACT(Asistencia!H296,"FE"),EXACT(Asistencia!H296,"PCS"),EXACT(Asistencia!H296,"V")),1,0)</f>
        <v>0</v>
      </c>
      <c r="AL283">
        <f>IF(OR(EXACT(Asistencia!I296,"A"),EXACT(Asistencia!I296,"R"),EXACT(Asistencia!I296,"DL"),EXACT(Asistencia!I296,"FL"),EXACT(Asistencia!I296,"FE"),EXACT(Asistencia!I296,"PCS"),EXACT(Asistencia!I296,"V")),1,0)</f>
        <v>0</v>
      </c>
      <c r="AM283">
        <f>IF(OR(EXACT(Asistencia!J296,"A"),EXACT(Asistencia!J296,"R"),EXACT(Asistencia!J296,"DL"),EXACT(Asistencia!J296,"FL"),EXACT(Asistencia!J296,"FE"),EXACT(Asistencia!J296,"PCS"),EXACT(Asistencia!J296,"V")),1,0)</f>
        <v>0</v>
      </c>
      <c r="AN283">
        <f>IF(OR(EXACT(Asistencia!K296,"A"),EXACT(Asistencia!K296,"R"),EXACT(Asistencia!K296,"DL"),EXACT(Asistencia!K296,"FL"),EXACT(Asistencia!K296,"FE"),EXACT(Asistencia!K296,"PCS"),EXACT(Asistencia!K296,"V")),1,0)</f>
        <v>0</v>
      </c>
      <c r="AO283">
        <f>IF(OR(EXACT(Asistencia!L296,"A"),EXACT(Asistencia!L296,"R"),EXACT(Asistencia!L296,"DL"),EXACT(Asistencia!L296,"FL"),EXACT(Asistencia!L296,"FE"),EXACT(Asistencia!L296,"PCS"),EXACT(Asistencia!L296,"V")),1,0)</f>
        <v>0</v>
      </c>
      <c r="AP283">
        <f t="shared" si="93"/>
        <v>0</v>
      </c>
      <c r="AQ283">
        <f>IF(EXACT(Asistencia!F296,"FL"),1,0)</f>
        <v>0</v>
      </c>
      <c r="AR283">
        <f>IF(EXACT(Asistencia!G296,"FL"),1,0)</f>
        <v>0</v>
      </c>
      <c r="AS283">
        <f>IF(EXACT(Asistencia!H296,"FL"),1,0)</f>
        <v>0</v>
      </c>
      <c r="AT283">
        <f>IF(EXACT(Asistencia!I296,"FL"),1,0)</f>
        <v>0</v>
      </c>
      <c r="AU283">
        <f>IF(EXACT(Asistencia!J296,"FL"),1,0)</f>
        <v>0</v>
      </c>
      <c r="AV283">
        <f>IF(EXACT(Asistencia!K296,"FL"),1,0)</f>
        <v>0</v>
      </c>
      <c r="AW283">
        <f>IF(EXACT(Asistencia!L296,"FL"),1,0)</f>
        <v>0</v>
      </c>
      <c r="AX283">
        <f t="shared" si="94"/>
        <v>0</v>
      </c>
      <c r="AY283">
        <f>IF(EXACT(Asistencia!F296,"DL"),1,0)</f>
        <v>0</v>
      </c>
      <c r="AZ283">
        <f>IF(EXACT(Asistencia!G296,"DL"),1,0)</f>
        <v>0</v>
      </c>
      <c r="BA283">
        <f>IF(EXACT(Asistencia!H296,"DL"),1,0)</f>
        <v>0</v>
      </c>
      <c r="BB283">
        <f>IF(EXACT(Asistencia!I296,"DL"),1,0)</f>
        <v>0</v>
      </c>
      <c r="BC283">
        <f>IF(EXACT(Asistencia!J296,"DL"),1,0)</f>
        <v>0</v>
      </c>
      <c r="BD283">
        <f>IF(EXACT(Asistencia!K296,"DL"),1,0)</f>
        <v>0</v>
      </c>
      <c r="BE283">
        <f>IF(EXACT(Asistencia!L296,"DL"),1,0)</f>
        <v>0</v>
      </c>
      <c r="BF283">
        <f t="shared" si="95"/>
        <v>0</v>
      </c>
      <c r="BG283">
        <f>IF(ISNUMBER(Asistencia!M296),Asistencia!M296,0)</f>
        <v>0</v>
      </c>
      <c r="BH283">
        <f>IF(ISNUMBER(Asistencia!N296),Asistencia!N296,0)</f>
        <v>0</v>
      </c>
      <c r="BI283">
        <f>IF(ISNUMBER(Asistencia!O296),Asistencia!O296,0)</f>
        <v>0</v>
      </c>
      <c r="BJ283">
        <f>IF(ISNUMBER(Asistencia!P296),Asistencia!P296,0)</f>
        <v>0</v>
      </c>
      <c r="BK283" t="str">
        <f>IF(Asistencia!F296="","",Asistencia!F296)</f>
        <v/>
      </c>
      <c r="BL283" t="str">
        <f>IF(Asistencia!G296="","",Asistencia!G296)</f>
        <v/>
      </c>
      <c r="BM283" t="str">
        <f>IF(Asistencia!H296="","",Asistencia!H296)</f>
        <v/>
      </c>
      <c r="BN283" t="str">
        <f>IF(Asistencia!I296="","",Asistencia!I296)</f>
        <v/>
      </c>
      <c r="BO283" t="str">
        <f>IF(Asistencia!J296="","",Asistencia!J296)</f>
        <v/>
      </c>
      <c r="BP283" t="str">
        <f>IF(Asistencia!K296="","",Asistencia!K296)</f>
        <v/>
      </c>
      <c r="BQ283" t="str">
        <f>IF(Asistencia!L296="","",Asistencia!L296)</f>
        <v/>
      </c>
    </row>
    <row r="284" spans="27:69" x14ac:dyDescent="0.25">
      <c r="AA284" t="str">
        <f t="shared" si="92"/>
        <v/>
      </c>
      <c r="AB284" t="str">
        <f>IF(Asistencia!A297="","",Asistencia!A297)</f>
        <v/>
      </c>
      <c r="AC284" t="str">
        <f>IF(Asistencia!A297="","",SUBSTITUTE(SUBSTITUTE(SUBSTITUTE(SUBSTITUTE(SUBSTITUTE(SUBSTITUTE(SUBSTITUTE(UPPER(TRIM(Asistencia!A297)),"Á","A"),"É","E"),"Í","I"),"Ó","O"),"Ú","U"),"Ñ","N"),"  "," "))</f>
        <v/>
      </c>
      <c r="AD284" t="str">
        <f>IF(Asistencia!E297="","",Asistencia!E297)</f>
        <v/>
      </c>
      <c r="AE284" t="str">
        <f>IF(Asistencia!D297="","",UPPER(TRIM(Asistencia!D297)))</f>
        <v/>
      </c>
      <c r="AF284" t="s">
        <v>198</v>
      </c>
      <c r="AG284">
        <f>IF(AND(AA284&lt;&gt;"",COUNTIF($AA$5:AA284,AA284)=1),1,0)</f>
        <v>0</v>
      </c>
      <c r="AH284" t="str">
        <f>IF(AG284=1,SUM($AG$5:AG284),"")</f>
        <v/>
      </c>
      <c r="AI284">
        <f>IF(OR(EXACT(Asistencia!F297,"A"),EXACT(Asistencia!F297,"R"),EXACT(Asistencia!F297,"DL"),EXACT(Asistencia!F297,"FL"),EXACT(Asistencia!F297,"FE"),EXACT(Asistencia!F297,"PCS"),EXACT(Asistencia!F297,"V")),1,0)</f>
        <v>0</v>
      </c>
      <c r="AJ284">
        <f>IF(OR(EXACT(Asistencia!G297,"A"),EXACT(Asistencia!G297,"R"),EXACT(Asistencia!G297,"DL"),EXACT(Asistencia!G297,"FL"),EXACT(Asistencia!G297,"FE"),EXACT(Asistencia!G297,"PCS"),EXACT(Asistencia!G297,"V")),1,0)</f>
        <v>0</v>
      </c>
      <c r="AK284">
        <f>IF(OR(EXACT(Asistencia!H297,"A"),EXACT(Asistencia!H297,"R"),EXACT(Asistencia!H297,"DL"),EXACT(Asistencia!H297,"FL"),EXACT(Asistencia!H297,"FE"),EXACT(Asistencia!H297,"PCS"),EXACT(Asistencia!H297,"V")),1,0)</f>
        <v>0</v>
      </c>
      <c r="AL284">
        <f>IF(OR(EXACT(Asistencia!I297,"A"),EXACT(Asistencia!I297,"R"),EXACT(Asistencia!I297,"DL"),EXACT(Asistencia!I297,"FL"),EXACT(Asistencia!I297,"FE"),EXACT(Asistencia!I297,"PCS"),EXACT(Asistencia!I297,"V")),1,0)</f>
        <v>0</v>
      </c>
      <c r="AM284">
        <f>IF(OR(EXACT(Asistencia!J297,"A"),EXACT(Asistencia!J297,"R"),EXACT(Asistencia!J297,"DL"),EXACT(Asistencia!J297,"FL"),EXACT(Asistencia!J297,"FE"),EXACT(Asistencia!J297,"PCS"),EXACT(Asistencia!J297,"V")),1,0)</f>
        <v>0</v>
      </c>
      <c r="AN284">
        <f>IF(OR(EXACT(Asistencia!K297,"A"),EXACT(Asistencia!K297,"R"),EXACT(Asistencia!K297,"DL"),EXACT(Asistencia!K297,"FL"),EXACT(Asistencia!K297,"FE"),EXACT(Asistencia!K297,"PCS"),EXACT(Asistencia!K297,"V")),1,0)</f>
        <v>0</v>
      </c>
      <c r="AO284">
        <f>IF(OR(EXACT(Asistencia!L297,"A"),EXACT(Asistencia!L297,"R"),EXACT(Asistencia!L297,"DL"),EXACT(Asistencia!L297,"FL"),EXACT(Asistencia!L297,"FE"),EXACT(Asistencia!L297,"PCS"),EXACT(Asistencia!L297,"V")),1,0)</f>
        <v>0</v>
      </c>
      <c r="AP284">
        <f t="shared" si="93"/>
        <v>0</v>
      </c>
      <c r="AQ284">
        <f>IF(EXACT(Asistencia!F297,"FL"),1,0)</f>
        <v>0</v>
      </c>
      <c r="AR284">
        <f>IF(EXACT(Asistencia!G297,"FL"),1,0)</f>
        <v>0</v>
      </c>
      <c r="AS284">
        <f>IF(EXACT(Asistencia!H297,"FL"),1,0)</f>
        <v>0</v>
      </c>
      <c r="AT284">
        <f>IF(EXACT(Asistencia!I297,"FL"),1,0)</f>
        <v>0</v>
      </c>
      <c r="AU284">
        <f>IF(EXACT(Asistencia!J297,"FL"),1,0)</f>
        <v>0</v>
      </c>
      <c r="AV284">
        <f>IF(EXACT(Asistencia!K297,"FL"),1,0)</f>
        <v>0</v>
      </c>
      <c r="AW284">
        <f>IF(EXACT(Asistencia!L297,"FL"),1,0)</f>
        <v>0</v>
      </c>
      <c r="AX284">
        <f t="shared" si="94"/>
        <v>0</v>
      </c>
      <c r="AY284">
        <f>IF(EXACT(Asistencia!F297,"DL"),1,0)</f>
        <v>0</v>
      </c>
      <c r="AZ284">
        <f>IF(EXACT(Asistencia!G297,"DL"),1,0)</f>
        <v>0</v>
      </c>
      <c r="BA284">
        <f>IF(EXACT(Asistencia!H297,"DL"),1,0)</f>
        <v>0</v>
      </c>
      <c r="BB284">
        <f>IF(EXACT(Asistencia!I297,"DL"),1,0)</f>
        <v>0</v>
      </c>
      <c r="BC284">
        <f>IF(EXACT(Asistencia!J297,"DL"),1,0)</f>
        <v>0</v>
      </c>
      <c r="BD284">
        <f>IF(EXACT(Asistencia!K297,"DL"),1,0)</f>
        <v>0</v>
      </c>
      <c r="BE284">
        <f>IF(EXACT(Asistencia!L297,"DL"),1,0)</f>
        <v>0</v>
      </c>
      <c r="BF284">
        <f t="shared" si="95"/>
        <v>0</v>
      </c>
      <c r="BG284">
        <f>IF(ISNUMBER(Asistencia!M297),Asistencia!M297,0)</f>
        <v>0</v>
      </c>
      <c r="BH284">
        <f>IF(ISNUMBER(Asistencia!N297),Asistencia!N297,0)</f>
        <v>0</v>
      </c>
      <c r="BI284">
        <f>IF(ISNUMBER(Asistencia!O297),Asistencia!O297,0)</f>
        <v>0</v>
      </c>
      <c r="BJ284">
        <f>IF(ISNUMBER(Asistencia!P297),Asistencia!P297,0)</f>
        <v>0</v>
      </c>
      <c r="BK284" t="str">
        <f>IF(Asistencia!F297="","",Asistencia!F297)</f>
        <v/>
      </c>
      <c r="BL284" t="str">
        <f>IF(Asistencia!G297="","",Asistencia!G297)</f>
        <v/>
      </c>
      <c r="BM284" t="str">
        <f>IF(Asistencia!H297="","",Asistencia!H297)</f>
        <v/>
      </c>
      <c r="BN284" t="str">
        <f>IF(Asistencia!I297="","",Asistencia!I297)</f>
        <v/>
      </c>
      <c r="BO284" t="str">
        <f>IF(Asistencia!J297="","",Asistencia!J297)</f>
        <v/>
      </c>
      <c r="BP284" t="str">
        <f>IF(Asistencia!K297="","",Asistencia!K297)</f>
        <v/>
      </c>
      <c r="BQ284" t="str">
        <f>IF(Asistencia!L297="","",Asistencia!L297)</f>
        <v/>
      </c>
    </row>
    <row r="285" spans="27:69" x14ac:dyDescent="0.25">
      <c r="AA285" t="str">
        <f t="shared" si="92"/>
        <v/>
      </c>
      <c r="AB285" t="str">
        <f>IF(Asistencia!A300="","",Asistencia!A300)</f>
        <v/>
      </c>
      <c r="AC285" t="str">
        <f>IF(Asistencia!A300="","",SUBSTITUTE(SUBSTITUTE(SUBSTITUTE(SUBSTITUTE(SUBSTITUTE(SUBSTITUTE(SUBSTITUTE(UPPER(TRIM(Asistencia!A300)),"Á","A"),"É","E"),"Í","I"),"Ó","O"),"Ú","U"),"Ñ","N"),"  "," "))</f>
        <v/>
      </c>
      <c r="AD285" t="str">
        <f>IF(Asistencia!E300="","",Asistencia!E300)</f>
        <v/>
      </c>
      <c r="AE285" t="str">
        <f>IF(Asistencia!D300="","",UPPER(TRIM(Asistencia!D300)))</f>
        <v/>
      </c>
      <c r="AF285" t="s">
        <v>200</v>
      </c>
      <c r="AG285">
        <f>IF(AND(AA285&lt;&gt;"",COUNTIF($AA$5:AA285,AA285)=1),1,0)</f>
        <v>0</v>
      </c>
      <c r="AH285" t="str">
        <f>IF(AG285=1,SUM($AG$5:AG285),"")</f>
        <v/>
      </c>
      <c r="AI285">
        <f>IF(OR(EXACT(Asistencia!F300,"A"),EXACT(Asistencia!F300,"R"),EXACT(Asistencia!F300,"DL"),EXACT(Asistencia!F300,"FL"),EXACT(Asistencia!F300,"FE"),EXACT(Asistencia!F300,"PCS"),EXACT(Asistencia!F300,"V")),1,0)</f>
        <v>0</v>
      </c>
      <c r="AJ285">
        <f>IF(OR(EXACT(Asistencia!G300,"A"),EXACT(Asistencia!G300,"R"),EXACT(Asistencia!G300,"DL"),EXACT(Asistencia!G300,"FL"),EXACT(Asistencia!G300,"FE"),EXACT(Asistencia!G300,"PCS"),EXACT(Asistencia!G300,"V")),1,0)</f>
        <v>0</v>
      </c>
      <c r="AK285">
        <f>IF(OR(EXACT(Asistencia!H300,"A"),EXACT(Asistencia!H300,"R"),EXACT(Asistencia!H300,"DL"),EXACT(Asistencia!H300,"FL"),EXACT(Asistencia!H300,"FE"),EXACT(Asistencia!H300,"PCS"),EXACT(Asistencia!H300,"V")),1,0)</f>
        <v>0</v>
      </c>
      <c r="AL285">
        <f>IF(OR(EXACT(Asistencia!I300,"A"),EXACT(Asistencia!I300,"R"),EXACT(Asistencia!I300,"DL"),EXACT(Asistencia!I300,"FL"),EXACT(Asistencia!I300,"FE"),EXACT(Asistencia!I300,"PCS"),EXACT(Asistencia!I300,"V")),1,0)</f>
        <v>0</v>
      </c>
      <c r="AM285">
        <f>IF(OR(EXACT(Asistencia!J300,"A"),EXACT(Asistencia!J300,"R"),EXACT(Asistencia!J300,"DL"),EXACT(Asistencia!J300,"FL"),EXACT(Asistencia!J300,"FE"),EXACT(Asistencia!J300,"PCS"),EXACT(Asistencia!J300,"V")),1,0)</f>
        <v>0</v>
      </c>
      <c r="AN285">
        <f>IF(OR(EXACT(Asistencia!K300,"A"),EXACT(Asistencia!K300,"R"),EXACT(Asistencia!K300,"DL"),EXACT(Asistencia!K300,"FL"),EXACT(Asistencia!K300,"FE"),EXACT(Asistencia!K300,"PCS"),EXACT(Asistencia!K300,"V")),1,0)</f>
        <v>0</v>
      </c>
      <c r="AO285">
        <f>IF(OR(EXACT(Asistencia!L300,"A"),EXACT(Asistencia!L300,"R"),EXACT(Asistencia!L300,"DL"),EXACT(Asistencia!L300,"FL"),EXACT(Asistencia!L300,"FE"),EXACT(Asistencia!L300,"PCS"),EXACT(Asistencia!L300,"V")),1,0)</f>
        <v>0</v>
      </c>
      <c r="AP285">
        <f t="shared" si="93"/>
        <v>0</v>
      </c>
      <c r="AQ285">
        <f>IF(EXACT(Asistencia!F300,"FL"),1,0)</f>
        <v>0</v>
      </c>
      <c r="AR285">
        <f>IF(EXACT(Asistencia!G300,"FL"),1,0)</f>
        <v>0</v>
      </c>
      <c r="AS285">
        <f>IF(EXACT(Asistencia!H300,"FL"),1,0)</f>
        <v>0</v>
      </c>
      <c r="AT285">
        <f>IF(EXACT(Asistencia!I300,"FL"),1,0)</f>
        <v>0</v>
      </c>
      <c r="AU285">
        <f>IF(EXACT(Asistencia!J300,"FL"),1,0)</f>
        <v>0</v>
      </c>
      <c r="AV285">
        <f>IF(EXACT(Asistencia!K300,"FL"),1,0)</f>
        <v>0</v>
      </c>
      <c r="AW285">
        <f>IF(EXACT(Asistencia!L300,"FL"),1,0)</f>
        <v>0</v>
      </c>
      <c r="AX285">
        <f t="shared" si="94"/>
        <v>0</v>
      </c>
      <c r="AY285">
        <f>IF(EXACT(Asistencia!F300,"DL"),1,0)</f>
        <v>0</v>
      </c>
      <c r="AZ285">
        <f>IF(EXACT(Asistencia!G300,"DL"),1,0)</f>
        <v>0</v>
      </c>
      <c r="BA285">
        <f>IF(EXACT(Asistencia!H300,"DL"),1,0)</f>
        <v>0</v>
      </c>
      <c r="BB285">
        <f>IF(EXACT(Asistencia!I300,"DL"),1,0)</f>
        <v>0</v>
      </c>
      <c r="BC285">
        <f>IF(EXACT(Asistencia!J300,"DL"),1,0)</f>
        <v>0</v>
      </c>
      <c r="BD285">
        <f>IF(EXACT(Asistencia!K300,"DL"),1,0)</f>
        <v>0</v>
      </c>
      <c r="BE285">
        <f>IF(EXACT(Asistencia!L300,"DL"),1,0)</f>
        <v>0</v>
      </c>
      <c r="BF285">
        <f t="shared" si="95"/>
        <v>0</v>
      </c>
      <c r="BG285">
        <f>IF(ISNUMBER(Asistencia!M300),Asistencia!M300,0)</f>
        <v>0</v>
      </c>
      <c r="BH285">
        <f>IF(ISNUMBER(Asistencia!N300),Asistencia!N300,0)</f>
        <v>0</v>
      </c>
      <c r="BI285">
        <f>IF(ISNUMBER(Asistencia!O300),Asistencia!O300,0)</f>
        <v>0</v>
      </c>
      <c r="BJ285">
        <f>IF(ISNUMBER(Asistencia!P300),Asistencia!P300,0)</f>
        <v>0</v>
      </c>
      <c r="BK285" t="str">
        <f>IF(Asistencia!F300="","",Asistencia!F300)</f>
        <v/>
      </c>
      <c r="BL285" t="str">
        <f>IF(Asistencia!G300="","",Asistencia!G300)</f>
        <v/>
      </c>
      <c r="BM285" t="str">
        <f>IF(Asistencia!H300="","",Asistencia!H300)</f>
        <v/>
      </c>
      <c r="BN285" t="str">
        <f>IF(Asistencia!I300="","",Asistencia!I300)</f>
        <v/>
      </c>
      <c r="BO285" t="str">
        <f>IF(Asistencia!J300="","",Asistencia!J300)</f>
        <v/>
      </c>
      <c r="BP285" t="str">
        <f>IF(Asistencia!K300="","",Asistencia!K300)</f>
        <v/>
      </c>
      <c r="BQ285" t="str">
        <f>IF(Asistencia!L300="","",Asistencia!L300)</f>
        <v/>
      </c>
    </row>
    <row r="286" spans="27:69" x14ac:dyDescent="0.25">
      <c r="AA286" t="str">
        <f t="shared" si="92"/>
        <v/>
      </c>
      <c r="AB286" t="str">
        <f>IF(Asistencia!A301="","",Asistencia!A301)</f>
        <v/>
      </c>
      <c r="AC286" t="str">
        <f>IF(Asistencia!A301="","",SUBSTITUTE(SUBSTITUTE(SUBSTITUTE(SUBSTITUTE(SUBSTITUTE(SUBSTITUTE(SUBSTITUTE(UPPER(TRIM(Asistencia!A301)),"Á","A"),"É","E"),"Í","I"),"Ó","O"),"Ú","U"),"Ñ","N"),"  "," "))</f>
        <v/>
      </c>
      <c r="AD286" t="str">
        <f>IF(Asistencia!E301="","",Asistencia!E301)</f>
        <v/>
      </c>
      <c r="AE286" t="str">
        <f>IF(Asistencia!D301="","",UPPER(TRIM(Asistencia!D301)))</f>
        <v/>
      </c>
      <c r="AF286" t="s">
        <v>200</v>
      </c>
      <c r="AG286">
        <f>IF(AND(AA286&lt;&gt;"",COUNTIF($AA$5:AA286,AA286)=1),1,0)</f>
        <v>0</v>
      </c>
      <c r="AH286" t="str">
        <f>IF(AG286=1,SUM($AG$5:AG286),"")</f>
        <v/>
      </c>
      <c r="AI286">
        <f>IF(OR(EXACT(Asistencia!F301,"A"),EXACT(Asistencia!F301,"R"),EXACT(Asistencia!F301,"DL"),EXACT(Asistencia!F301,"FL"),EXACT(Asistencia!F301,"FE"),EXACT(Asistencia!F301,"PCS"),EXACT(Asistencia!F301,"V")),1,0)</f>
        <v>0</v>
      </c>
      <c r="AJ286">
        <f>IF(OR(EXACT(Asistencia!G301,"A"),EXACT(Asistencia!G301,"R"),EXACT(Asistencia!G301,"DL"),EXACT(Asistencia!G301,"FL"),EXACT(Asistencia!G301,"FE"),EXACT(Asistencia!G301,"PCS"),EXACT(Asistencia!G301,"V")),1,0)</f>
        <v>0</v>
      </c>
      <c r="AK286">
        <f>IF(OR(EXACT(Asistencia!H301,"A"),EXACT(Asistencia!H301,"R"),EXACT(Asistencia!H301,"DL"),EXACT(Asistencia!H301,"FL"),EXACT(Asistencia!H301,"FE"),EXACT(Asistencia!H301,"PCS"),EXACT(Asistencia!H301,"V")),1,0)</f>
        <v>0</v>
      </c>
      <c r="AL286">
        <f>IF(OR(EXACT(Asistencia!I301,"A"),EXACT(Asistencia!I301,"R"),EXACT(Asistencia!I301,"DL"),EXACT(Asistencia!I301,"FL"),EXACT(Asistencia!I301,"FE"),EXACT(Asistencia!I301,"PCS"),EXACT(Asistencia!I301,"V")),1,0)</f>
        <v>0</v>
      </c>
      <c r="AM286">
        <f>IF(OR(EXACT(Asistencia!J301,"A"),EXACT(Asistencia!J301,"R"),EXACT(Asistencia!J301,"DL"),EXACT(Asistencia!J301,"FL"),EXACT(Asistencia!J301,"FE"),EXACT(Asistencia!J301,"PCS"),EXACT(Asistencia!J301,"V")),1,0)</f>
        <v>0</v>
      </c>
      <c r="AN286">
        <f>IF(OR(EXACT(Asistencia!K301,"A"),EXACT(Asistencia!K301,"R"),EXACT(Asistencia!K301,"DL"),EXACT(Asistencia!K301,"FL"),EXACT(Asistencia!K301,"FE"),EXACT(Asistencia!K301,"PCS"),EXACT(Asistencia!K301,"V")),1,0)</f>
        <v>0</v>
      </c>
      <c r="AO286">
        <f>IF(OR(EXACT(Asistencia!L301,"A"),EXACT(Asistencia!L301,"R"),EXACT(Asistencia!L301,"DL"),EXACT(Asistencia!L301,"FL"),EXACT(Asistencia!L301,"FE"),EXACT(Asistencia!L301,"PCS"),EXACT(Asistencia!L301,"V")),1,0)</f>
        <v>0</v>
      </c>
      <c r="AP286">
        <f t="shared" si="93"/>
        <v>0</v>
      </c>
      <c r="AQ286">
        <f>IF(EXACT(Asistencia!F301,"FL"),1,0)</f>
        <v>0</v>
      </c>
      <c r="AR286">
        <f>IF(EXACT(Asistencia!G301,"FL"),1,0)</f>
        <v>0</v>
      </c>
      <c r="AS286">
        <f>IF(EXACT(Asistencia!H301,"FL"),1,0)</f>
        <v>0</v>
      </c>
      <c r="AT286">
        <f>IF(EXACT(Asistencia!I301,"FL"),1,0)</f>
        <v>0</v>
      </c>
      <c r="AU286">
        <f>IF(EXACT(Asistencia!J301,"FL"),1,0)</f>
        <v>0</v>
      </c>
      <c r="AV286">
        <f>IF(EXACT(Asistencia!K301,"FL"),1,0)</f>
        <v>0</v>
      </c>
      <c r="AW286">
        <f>IF(EXACT(Asistencia!L301,"FL"),1,0)</f>
        <v>0</v>
      </c>
      <c r="AX286">
        <f t="shared" si="94"/>
        <v>0</v>
      </c>
      <c r="AY286">
        <f>IF(EXACT(Asistencia!F301,"DL"),1,0)</f>
        <v>0</v>
      </c>
      <c r="AZ286">
        <f>IF(EXACT(Asistencia!G301,"DL"),1,0)</f>
        <v>0</v>
      </c>
      <c r="BA286">
        <f>IF(EXACT(Asistencia!H301,"DL"),1,0)</f>
        <v>0</v>
      </c>
      <c r="BB286">
        <f>IF(EXACT(Asistencia!I301,"DL"),1,0)</f>
        <v>0</v>
      </c>
      <c r="BC286">
        <f>IF(EXACT(Asistencia!J301,"DL"),1,0)</f>
        <v>0</v>
      </c>
      <c r="BD286">
        <f>IF(EXACT(Asistencia!K301,"DL"),1,0)</f>
        <v>0</v>
      </c>
      <c r="BE286">
        <f>IF(EXACT(Asistencia!L301,"DL"),1,0)</f>
        <v>0</v>
      </c>
      <c r="BF286">
        <f t="shared" si="95"/>
        <v>0</v>
      </c>
      <c r="BG286">
        <f>IF(ISNUMBER(Asistencia!M301),Asistencia!M301,0)</f>
        <v>0</v>
      </c>
      <c r="BH286">
        <f>IF(ISNUMBER(Asistencia!N301),Asistencia!N301,0)</f>
        <v>0</v>
      </c>
      <c r="BI286">
        <f>IF(ISNUMBER(Asistencia!O301),Asistencia!O301,0)</f>
        <v>0</v>
      </c>
      <c r="BJ286">
        <f>IF(ISNUMBER(Asistencia!P301),Asistencia!P301,0)</f>
        <v>0</v>
      </c>
      <c r="BK286" t="str">
        <f>IF(Asistencia!F301="","",Asistencia!F301)</f>
        <v/>
      </c>
      <c r="BL286" t="str">
        <f>IF(Asistencia!G301="","",Asistencia!G301)</f>
        <v/>
      </c>
      <c r="BM286" t="str">
        <f>IF(Asistencia!H301="","",Asistencia!H301)</f>
        <v/>
      </c>
      <c r="BN286" t="str">
        <f>IF(Asistencia!I301="","",Asistencia!I301)</f>
        <v/>
      </c>
      <c r="BO286" t="str">
        <f>IF(Asistencia!J301="","",Asistencia!J301)</f>
        <v/>
      </c>
      <c r="BP286" t="str">
        <f>IF(Asistencia!K301="","",Asistencia!K301)</f>
        <v/>
      </c>
      <c r="BQ286" t="str">
        <f>IF(Asistencia!L301="","",Asistencia!L301)</f>
        <v/>
      </c>
    </row>
    <row r="287" spans="27:69" x14ac:dyDescent="0.25">
      <c r="AA287" t="str">
        <f t="shared" si="92"/>
        <v/>
      </c>
      <c r="AB287" t="str">
        <f>IF(Asistencia!A302="","",Asistencia!A302)</f>
        <v/>
      </c>
      <c r="AC287" t="str">
        <f>IF(Asistencia!A302="","",SUBSTITUTE(SUBSTITUTE(SUBSTITUTE(SUBSTITUTE(SUBSTITUTE(SUBSTITUTE(SUBSTITUTE(UPPER(TRIM(Asistencia!A302)),"Á","A"),"É","E"),"Í","I"),"Ó","O"),"Ú","U"),"Ñ","N"),"  "," "))</f>
        <v/>
      </c>
      <c r="AD287" t="str">
        <f>IF(Asistencia!E302="","",Asistencia!E302)</f>
        <v/>
      </c>
      <c r="AE287" t="str">
        <f>IF(Asistencia!D302="","",UPPER(TRIM(Asistencia!D302)))</f>
        <v/>
      </c>
      <c r="AF287" t="s">
        <v>200</v>
      </c>
      <c r="AG287">
        <f>IF(AND(AA287&lt;&gt;"",COUNTIF($AA$5:AA287,AA287)=1),1,0)</f>
        <v>0</v>
      </c>
      <c r="AH287" t="str">
        <f>IF(AG287=1,SUM($AG$5:AG287),"")</f>
        <v/>
      </c>
      <c r="AI287">
        <f>IF(OR(EXACT(Asistencia!F302,"A"),EXACT(Asistencia!F302,"R"),EXACT(Asistencia!F302,"DL"),EXACT(Asistencia!F302,"FL"),EXACT(Asistencia!F302,"FE"),EXACT(Asistencia!F302,"PCS"),EXACT(Asistencia!F302,"V")),1,0)</f>
        <v>0</v>
      </c>
      <c r="AJ287">
        <f>IF(OR(EXACT(Asistencia!G302,"A"),EXACT(Asistencia!G302,"R"),EXACT(Asistencia!G302,"DL"),EXACT(Asistencia!G302,"FL"),EXACT(Asistencia!G302,"FE"),EXACT(Asistencia!G302,"PCS"),EXACT(Asistencia!G302,"V")),1,0)</f>
        <v>0</v>
      </c>
      <c r="AK287">
        <f>IF(OR(EXACT(Asistencia!H302,"A"),EXACT(Asistencia!H302,"R"),EXACT(Asistencia!H302,"DL"),EXACT(Asistencia!H302,"FL"),EXACT(Asistencia!H302,"FE"),EXACT(Asistencia!H302,"PCS"),EXACT(Asistencia!H302,"V")),1,0)</f>
        <v>0</v>
      </c>
      <c r="AL287">
        <f>IF(OR(EXACT(Asistencia!I302,"A"),EXACT(Asistencia!I302,"R"),EXACT(Asistencia!I302,"DL"),EXACT(Asistencia!I302,"FL"),EXACT(Asistencia!I302,"FE"),EXACT(Asistencia!I302,"PCS"),EXACT(Asistencia!I302,"V")),1,0)</f>
        <v>0</v>
      </c>
      <c r="AM287">
        <f>IF(OR(EXACT(Asistencia!J302,"A"),EXACT(Asistencia!J302,"R"),EXACT(Asistencia!J302,"DL"),EXACT(Asistencia!J302,"FL"),EXACT(Asistencia!J302,"FE"),EXACT(Asistencia!J302,"PCS"),EXACT(Asistencia!J302,"V")),1,0)</f>
        <v>0</v>
      </c>
      <c r="AN287">
        <f>IF(OR(EXACT(Asistencia!K302,"A"),EXACT(Asistencia!K302,"R"),EXACT(Asistencia!K302,"DL"),EXACT(Asistencia!K302,"FL"),EXACT(Asistencia!K302,"FE"),EXACT(Asistencia!K302,"PCS"),EXACT(Asistencia!K302,"V")),1,0)</f>
        <v>0</v>
      </c>
      <c r="AO287">
        <f>IF(OR(EXACT(Asistencia!L302,"A"),EXACT(Asistencia!L302,"R"),EXACT(Asistencia!L302,"DL"),EXACT(Asistencia!L302,"FL"),EXACT(Asistencia!L302,"FE"),EXACT(Asistencia!L302,"PCS"),EXACT(Asistencia!L302,"V")),1,0)</f>
        <v>0</v>
      </c>
      <c r="AP287">
        <f t="shared" si="93"/>
        <v>0</v>
      </c>
      <c r="AQ287">
        <f>IF(EXACT(Asistencia!F302,"FL"),1,0)</f>
        <v>0</v>
      </c>
      <c r="AR287">
        <f>IF(EXACT(Asistencia!G302,"FL"),1,0)</f>
        <v>0</v>
      </c>
      <c r="AS287">
        <f>IF(EXACT(Asistencia!H302,"FL"),1,0)</f>
        <v>0</v>
      </c>
      <c r="AT287">
        <f>IF(EXACT(Asistencia!I302,"FL"),1,0)</f>
        <v>0</v>
      </c>
      <c r="AU287">
        <f>IF(EXACT(Asistencia!J302,"FL"),1,0)</f>
        <v>0</v>
      </c>
      <c r="AV287">
        <f>IF(EXACT(Asistencia!K302,"FL"),1,0)</f>
        <v>0</v>
      </c>
      <c r="AW287">
        <f>IF(EXACT(Asistencia!L302,"FL"),1,0)</f>
        <v>0</v>
      </c>
      <c r="AX287">
        <f t="shared" si="94"/>
        <v>0</v>
      </c>
      <c r="AY287">
        <f>IF(EXACT(Asistencia!F302,"DL"),1,0)</f>
        <v>0</v>
      </c>
      <c r="AZ287">
        <f>IF(EXACT(Asistencia!G302,"DL"),1,0)</f>
        <v>0</v>
      </c>
      <c r="BA287">
        <f>IF(EXACT(Asistencia!H302,"DL"),1,0)</f>
        <v>0</v>
      </c>
      <c r="BB287">
        <f>IF(EXACT(Asistencia!I302,"DL"),1,0)</f>
        <v>0</v>
      </c>
      <c r="BC287">
        <f>IF(EXACT(Asistencia!J302,"DL"),1,0)</f>
        <v>0</v>
      </c>
      <c r="BD287">
        <f>IF(EXACT(Asistencia!K302,"DL"),1,0)</f>
        <v>0</v>
      </c>
      <c r="BE287">
        <f>IF(EXACT(Asistencia!L302,"DL"),1,0)</f>
        <v>0</v>
      </c>
      <c r="BF287">
        <f t="shared" si="95"/>
        <v>0</v>
      </c>
      <c r="BG287">
        <f>IF(ISNUMBER(Asistencia!M302),Asistencia!M302,0)</f>
        <v>0</v>
      </c>
      <c r="BH287">
        <f>IF(ISNUMBER(Asistencia!N302),Asistencia!N302,0)</f>
        <v>0</v>
      </c>
      <c r="BI287">
        <f>IF(ISNUMBER(Asistencia!O302),Asistencia!O302,0)</f>
        <v>0</v>
      </c>
      <c r="BJ287">
        <f>IF(ISNUMBER(Asistencia!P302),Asistencia!P302,0)</f>
        <v>0</v>
      </c>
      <c r="BK287" t="str">
        <f>IF(Asistencia!F302="","",Asistencia!F302)</f>
        <v/>
      </c>
      <c r="BL287" t="str">
        <f>IF(Asistencia!G302="","",Asistencia!G302)</f>
        <v/>
      </c>
      <c r="BM287" t="str">
        <f>IF(Asistencia!H302="","",Asistencia!H302)</f>
        <v/>
      </c>
      <c r="BN287" t="str">
        <f>IF(Asistencia!I302="","",Asistencia!I302)</f>
        <v/>
      </c>
      <c r="BO287" t="str">
        <f>IF(Asistencia!J302="","",Asistencia!J302)</f>
        <v/>
      </c>
      <c r="BP287" t="str">
        <f>IF(Asistencia!K302="","",Asistencia!K302)</f>
        <v/>
      </c>
      <c r="BQ287" t="str">
        <f>IF(Asistencia!L302="","",Asistencia!L302)</f>
        <v/>
      </c>
    </row>
    <row r="288" spans="27:69" x14ac:dyDescent="0.25">
      <c r="AA288" t="str">
        <f t="shared" si="92"/>
        <v/>
      </c>
      <c r="AB288" t="str">
        <f>IF(Asistencia!A303="","",Asistencia!A303)</f>
        <v/>
      </c>
      <c r="AC288" t="str">
        <f>IF(Asistencia!A303="","",SUBSTITUTE(SUBSTITUTE(SUBSTITUTE(SUBSTITUTE(SUBSTITUTE(SUBSTITUTE(SUBSTITUTE(UPPER(TRIM(Asistencia!A303)),"Á","A"),"É","E"),"Í","I"),"Ó","O"),"Ú","U"),"Ñ","N"),"  "," "))</f>
        <v/>
      </c>
      <c r="AD288" t="str">
        <f>IF(Asistencia!E303="","",Asistencia!E303)</f>
        <v/>
      </c>
      <c r="AE288" t="str">
        <f>IF(Asistencia!D303="","",UPPER(TRIM(Asistencia!D303)))</f>
        <v/>
      </c>
      <c r="AF288" t="s">
        <v>200</v>
      </c>
      <c r="AG288">
        <f>IF(AND(AA288&lt;&gt;"",COUNTIF($AA$5:AA288,AA288)=1),1,0)</f>
        <v>0</v>
      </c>
      <c r="AH288" t="str">
        <f>IF(AG288=1,SUM($AG$5:AG288),"")</f>
        <v/>
      </c>
      <c r="AI288">
        <f>IF(OR(EXACT(Asistencia!F303,"A"),EXACT(Asistencia!F303,"R"),EXACT(Asistencia!F303,"DL"),EXACT(Asistencia!F303,"FL"),EXACT(Asistencia!F303,"FE"),EXACT(Asistencia!F303,"PCS"),EXACT(Asistencia!F303,"V")),1,0)</f>
        <v>0</v>
      </c>
      <c r="AJ288">
        <f>IF(OR(EXACT(Asistencia!G303,"A"),EXACT(Asistencia!G303,"R"),EXACT(Asistencia!G303,"DL"),EXACT(Asistencia!G303,"FL"),EXACT(Asistencia!G303,"FE"),EXACT(Asistencia!G303,"PCS"),EXACT(Asistencia!G303,"V")),1,0)</f>
        <v>0</v>
      </c>
      <c r="AK288">
        <f>IF(OR(EXACT(Asistencia!H303,"A"),EXACT(Asistencia!H303,"R"),EXACT(Asistencia!H303,"DL"),EXACT(Asistencia!H303,"FL"),EXACT(Asistencia!H303,"FE"),EXACT(Asistencia!H303,"PCS"),EXACT(Asistencia!H303,"V")),1,0)</f>
        <v>0</v>
      </c>
      <c r="AL288">
        <f>IF(OR(EXACT(Asistencia!I303,"A"),EXACT(Asistencia!I303,"R"),EXACT(Asistencia!I303,"DL"),EXACT(Asistencia!I303,"FL"),EXACT(Asistencia!I303,"FE"),EXACT(Asistencia!I303,"PCS"),EXACT(Asistencia!I303,"V")),1,0)</f>
        <v>0</v>
      </c>
      <c r="AM288">
        <f>IF(OR(EXACT(Asistencia!J303,"A"),EXACT(Asistencia!J303,"R"),EXACT(Asistencia!J303,"DL"),EXACT(Asistencia!J303,"FL"),EXACT(Asistencia!J303,"FE"),EXACT(Asistencia!J303,"PCS"),EXACT(Asistencia!J303,"V")),1,0)</f>
        <v>0</v>
      </c>
      <c r="AN288">
        <f>IF(OR(EXACT(Asistencia!K303,"A"),EXACT(Asistencia!K303,"R"),EXACT(Asistencia!K303,"DL"),EXACT(Asistencia!K303,"FL"),EXACT(Asistencia!K303,"FE"),EXACT(Asistencia!K303,"PCS"),EXACT(Asistencia!K303,"V")),1,0)</f>
        <v>0</v>
      </c>
      <c r="AO288">
        <f>IF(OR(EXACT(Asistencia!L303,"A"),EXACT(Asistencia!L303,"R"),EXACT(Asistencia!L303,"DL"),EXACT(Asistencia!L303,"FL"),EXACT(Asistencia!L303,"FE"),EXACT(Asistencia!L303,"PCS"),EXACT(Asistencia!L303,"V")),1,0)</f>
        <v>0</v>
      </c>
      <c r="AP288">
        <f t="shared" si="93"/>
        <v>0</v>
      </c>
      <c r="AQ288">
        <f>IF(EXACT(Asistencia!F303,"FL"),1,0)</f>
        <v>0</v>
      </c>
      <c r="AR288">
        <f>IF(EXACT(Asistencia!G303,"FL"),1,0)</f>
        <v>0</v>
      </c>
      <c r="AS288">
        <f>IF(EXACT(Asistencia!H303,"FL"),1,0)</f>
        <v>0</v>
      </c>
      <c r="AT288">
        <f>IF(EXACT(Asistencia!I303,"FL"),1,0)</f>
        <v>0</v>
      </c>
      <c r="AU288">
        <f>IF(EXACT(Asistencia!J303,"FL"),1,0)</f>
        <v>0</v>
      </c>
      <c r="AV288">
        <f>IF(EXACT(Asistencia!K303,"FL"),1,0)</f>
        <v>0</v>
      </c>
      <c r="AW288">
        <f>IF(EXACT(Asistencia!L303,"FL"),1,0)</f>
        <v>0</v>
      </c>
      <c r="AX288">
        <f t="shared" si="94"/>
        <v>0</v>
      </c>
      <c r="AY288">
        <f>IF(EXACT(Asistencia!F303,"DL"),1,0)</f>
        <v>0</v>
      </c>
      <c r="AZ288">
        <f>IF(EXACT(Asistencia!G303,"DL"),1,0)</f>
        <v>0</v>
      </c>
      <c r="BA288">
        <f>IF(EXACT(Asistencia!H303,"DL"),1,0)</f>
        <v>0</v>
      </c>
      <c r="BB288">
        <f>IF(EXACT(Asistencia!I303,"DL"),1,0)</f>
        <v>0</v>
      </c>
      <c r="BC288">
        <f>IF(EXACT(Asistencia!J303,"DL"),1,0)</f>
        <v>0</v>
      </c>
      <c r="BD288">
        <f>IF(EXACT(Asistencia!K303,"DL"),1,0)</f>
        <v>0</v>
      </c>
      <c r="BE288">
        <f>IF(EXACT(Asistencia!L303,"DL"),1,0)</f>
        <v>0</v>
      </c>
      <c r="BF288">
        <f t="shared" si="95"/>
        <v>0</v>
      </c>
      <c r="BG288">
        <f>IF(ISNUMBER(Asistencia!M303),Asistencia!M303,0)</f>
        <v>0</v>
      </c>
      <c r="BH288">
        <f>IF(ISNUMBER(Asistencia!N303),Asistencia!N303,0)</f>
        <v>0</v>
      </c>
      <c r="BI288">
        <f>IF(ISNUMBER(Asistencia!O303),Asistencia!O303,0)</f>
        <v>0</v>
      </c>
      <c r="BJ288">
        <f>IF(ISNUMBER(Asistencia!P303),Asistencia!P303,0)</f>
        <v>0</v>
      </c>
      <c r="BK288" t="str">
        <f>IF(Asistencia!F303="","",Asistencia!F303)</f>
        <v/>
      </c>
      <c r="BL288" t="str">
        <f>IF(Asistencia!G303="","",Asistencia!G303)</f>
        <v/>
      </c>
      <c r="BM288" t="str">
        <f>IF(Asistencia!H303="","",Asistencia!H303)</f>
        <v/>
      </c>
      <c r="BN288" t="str">
        <f>IF(Asistencia!I303="","",Asistencia!I303)</f>
        <v/>
      </c>
      <c r="BO288" t="str">
        <f>IF(Asistencia!J303="","",Asistencia!J303)</f>
        <v/>
      </c>
      <c r="BP288" t="str">
        <f>IF(Asistencia!K303="","",Asistencia!K303)</f>
        <v/>
      </c>
      <c r="BQ288" t="str">
        <f>IF(Asistencia!L303="","",Asistencia!L303)</f>
        <v/>
      </c>
    </row>
    <row r="289" spans="27:69" x14ac:dyDescent="0.25">
      <c r="AA289" t="str">
        <f t="shared" si="92"/>
        <v/>
      </c>
      <c r="AB289" t="str">
        <f>IF(Asistencia!A304="","",Asistencia!A304)</f>
        <v/>
      </c>
      <c r="AC289" t="str">
        <f>IF(Asistencia!A304="","",SUBSTITUTE(SUBSTITUTE(SUBSTITUTE(SUBSTITUTE(SUBSTITUTE(SUBSTITUTE(SUBSTITUTE(UPPER(TRIM(Asistencia!A304)),"Á","A"),"É","E"),"Í","I"),"Ó","O"),"Ú","U"),"Ñ","N"),"  "," "))</f>
        <v/>
      </c>
      <c r="AD289" t="str">
        <f>IF(Asistencia!E304="","",Asistencia!E304)</f>
        <v/>
      </c>
      <c r="AE289" t="str">
        <f>IF(Asistencia!D304="","",UPPER(TRIM(Asistencia!D304)))</f>
        <v/>
      </c>
      <c r="AF289" t="s">
        <v>200</v>
      </c>
      <c r="AG289">
        <f>IF(AND(AA289&lt;&gt;"",COUNTIF($AA$5:AA289,AA289)=1),1,0)</f>
        <v>0</v>
      </c>
      <c r="AH289" t="str">
        <f>IF(AG289=1,SUM($AG$5:AG289),"")</f>
        <v/>
      </c>
      <c r="AI289">
        <f>IF(OR(EXACT(Asistencia!F304,"A"),EXACT(Asistencia!F304,"R"),EXACT(Asistencia!F304,"DL"),EXACT(Asistencia!F304,"FL"),EXACT(Asistencia!F304,"FE"),EXACT(Asistencia!F304,"PCS"),EXACT(Asistencia!F304,"V")),1,0)</f>
        <v>0</v>
      </c>
      <c r="AJ289">
        <f>IF(OR(EXACT(Asistencia!G304,"A"),EXACT(Asistencia!G304,"R"),EXACT(Asistencia!G304,"DL"),EXACT(Asistencia!G304,"FL"),EXACT(Asistencia!G304,"FE"),EXACT(Asistencia!G304,"PCS"),EXACT(Asistencia!G304,"V")),1,0)</f>
        <v>0</v>
      </c>
      <c r="AK289">
        <f>IF(OR(EXACT(Asistencia!H304,"A"),EXACT(Asistencia!H304,"R"),EXACT(Asistencia!H304,"DL"),EXACT(Asistencia!H304,"FL"),EXACT(Asistencia!H304,"FE"),EXACT(Asistencia!H304,"PCS"),EXACT(Asistencia!H304,"V")),1,0)</f>
        <v>0</v>
      </c>
      <c r="AL289">
        <f>IF(OR(EXACT(Asistencia!I304,"A"),EXACT(Asistencia!I304,"R"),EXACT(Asistencia!I304,"DL"),EXACT(Asistencia!I304,"FL"),EXACT(Asistencia!I304,"FE"),EXACT(Asistencia!I304,"PCS"),EXACT(Asistencia!I304,"V")),1,0)</f>
        <v>0</v>
      </c>
      <c r="AM289">
        <f>IF(OR(EXACT(Asistencia!J304,"A"),EXACT(Asistencia!J304,"R"),EXACT(Asistencia!J304,"DL"),EXACT(Asistencia!J304,"FL"),EXACT(Asistencia!J304,"FE"),EXACT(Asistencia!J304,"PCS"),EXACT(Asistencia!J304,"V")),1,0)</f>
        <v>0</v>
      </c>
      <c r="AN289">
        <f>IF(OR(EXACT(Asistencia!K304,"A"),EXACT(Asistencia!K304,"R"),EXACT(Asistencia!K304,"DL"),EXACT(Asistencia!K304,"FL"),EXACT(Asistencia!K304,"FE"),EXACT(Asistencia!K304,"PCS"),EXACT(Asistencia!K304,"V")),1,0)</f>
        <v>0</v>
      </c>
      <c r="AO289">
        <f>IF(OR(EXACT(Asistencia!L304,"A"),EXACT(Asistencia!L304,"R"),EXACT(Asistencia!L304,"DL"),EXACT(Asistencia!L304,"FL"),EXACT(Asistencia!L304,"FE"),EXACT(Asistencia!L304,"PCS"),EXACT(Asistencia!L304,"V")),1,0)</f>
        <v>0</v>
      </c>
      <c r="AP289">
        <f t="shared" si="93"/>
        <v>0</v>
      </c>
      <c r="AQ289">
        <f>IF(EXACT(Asistencia!F304,"FL"),1,0)</f>
        <v>0</v>
      </c>
      <c r="AR289">
        <f>IF(EXACT(Asistencia!G304,"FL"),1,0)</f>
        <v>0</v>
      </c>
      <c r="AS289">
        <f>IF(EXACT(Asistencia!H304,"FL"),1,0)</f>
        <v>0</v>
      </c>
      <c r="AT289">
        <f>IF(EXACT(Asistencia!I304,"FL"),1,0)</f>
        <v>0</v>
      </c>
      <c r="AU289">
        <f>IF(EXACT(Asistencia!J304,"FL"),1,0)</f>
        <v>0</v>
      </c>
      <c r="AV289">
        <f>IF(EXACT(Asistencia!K304,"FL"),1,0)</f>
        <v>0</v>
      </c>
      <c r="AW289">
        <f>IF(EXACT(Asistencia!L304,"FL"),1,0)</f>
        <v>0</v>
      </c>
      <c r="AX289">
        <f t="shared" si="94"/>
        <v>0</v>
      </c>
      <c r="AY289">
        <f>IF(EXACT(Asistencia!F304,"DL"),1,0)</f>
        <v>0</v>
      </c>
      <c r="AZ289">
        <f>IF(EXACT(Asistencia!G304,"DL"),1,0)</f>
        <v>0</v>
      </c>
      <c r="BA289">
        <f>IF(EXACT(Asistencia!H304,"DL"),1,0)</f>
        <v>0</v>
      </c>
      <c r="BB289">
        <f>IF(EXACT(Asistencia!I304,"DL"),1,0)</f>
        <v>0</v>
      </c>
      <c r="BC289">
        <f>IF(EXACT(Asistencia!J304,"DL"),1,0)</f>
        <v>0</v>
      </c>
      <c r="BD289">
        <f>IF(EXACT(Asistencia!K304,"DL"),1,0)</f>
        <v>0</v>
      </c>
      <c r="BE289">
        <f>IF(EXACT(Asistencia!L304,"DL"),1,0)</f>
        <v>0</v>
      </c>
      <c r="BF289">
        <f t="shared" si="95"/>
        <v>0</v>
      </c>
      <c r="BG289">
        <f>IF(ISNUMBER(Asistencia!M304),Asistencia!M304,0)</f>
        <v>0</v>
      </c>
      <c r="BH289">
        <f>IF(ISNUMBER(Asistencia!N304),Asistencia!N304,0)</f>
        <v>0</v>
      </c>
      <c r="BI289">
        <f>IF(ISNUMBER(Asistencia!O304),Asistencia!O304,0)</f>
        <v>0</v>
      </c>
      <c r="BJ289">
        <f>IF(ISNUMBER(Asistencia!P304),Asistencia!P304,0)</f>
        <v>0</v>
      </c>
      <c r="BK289" t="str">
        <f>IF(Asistencia!F304="","",Asistencia!F304)</f>
        <v/>
      </c>
      <c r="BL289" t="str">
        <f>IF(Asistencia!G304="","",Asistencia!G304)</f>
        <v/>
      </c>
      <c r="BM289" t="str">
        <f>IF(Asistencia!H304="","",Asistencia!H304)</f>
        <v/>
      </c>
      <c r="BN289" t="str">
        <f>IF(Asistencia!I304="","",Asistencia!I304)</f>
        <v/>
      </c>
      <c r="BO289" t="str">
        <f>IF(Asistencia!J304="","",Asistencia!J304)</f>
        <v/>
      </c>
      <c r="BP289" t="str">
        <f>IF(Asistencia!K304="","",Asistencia!K304)</f>
        <v/>
      </c>
      <c r="BQ289" t="str">
        <f>IF(Asistencia!L304="","",Asistencia!L304)</f>
        <v/>
      </c>
    </row>
    <row r="290" spans="27:69" x14ac:dyDescent="0.25">
      <c r="AA290" t="str">
        <f t="shared" si="92"/>
        <v/>
      </c>
      <c r="AB290" t="str">
        <f>IF(Asistencia!A305="","",Asistencia!A305)</f>
        <v/>
      </c>
      <c r="AC290" t="str">
        <f>IF(Asistencia!A305="","",SUBSTITUTE(SUBSTITUTE(SUBSTITUTE(SUBSTITUTE(SUBSTITUTE(SUBSTITUTE(SUBSTITUTE(UPPER(TRIM(Asistencia!A305)),"Á","A"),"É","E"),"Í","I"),"Ó","O"),"Ú","U"),"Ñ","N"),"  "," "))</f>
        <v/>
      </c>
      <c r="AD290" t="str">
        <f>IF(Asistencia!E305="","",Asistencia!E305)</f>
        <v/>
      </c>
      <c r="AE290" t="str">
        <f>IF(Asistencia!D305="","",UPPER(TRIM(Asistencia!D305)))</f>
        <v/>
      </c>
      <c r="AF290" t="s">
        <v>200</v>
      </c>
      <c r="AG290">
        <f>IF(AND(AA290&lt;&gt;"",COUNTIF($AA$5:AA290,AA290)=1),1,0)</f>
        <v>0</v>
      </c>
      <c r="AH290" t="str">
        <f>IF(AG290=1,SUM($AG$5:AG290),"")</f>
        <v/>
      </c>
      <c r="AI290">
        <f>IF(OR(EXACT(Asistencia!F305,"A"),EXACT(Asistencia!F305,"R"),EXACT(Asistencia!F305,"DL"),EXACT(Asistencia!F305,"FL"),EXACT(Asistencia!F305,"FE"),EXACT(Asistencia!F305,"PCS"),EXACT(Asistencia!F305,"V")),1,0)</f>
        <v>0</v>
      </c>
      <c r="AJ290">
        <f>IF(OR(EXACT(Asistencia!G305,"A"),EXACT(Asistencia!G305,"R"),EXACT(Asistencia!G305,"DL"),EXACT(Asistencia!G305,"FL"),EXACT(Asistencia!G305,"FE"),EXACT(Asistencia!G305,"PCS"),EXACT(Asistencia!G305,"V")),1,0)</f>
        <v>0</v>
      </c>
      <c r="AK290">
        <f>IF(OR(EXACT(Asistencia!H305,"A"),EXACT(Asistencia!H305,"R"),EXACT(Asistencia!H305,"DL"),EXACT(Asistencia!H305,"FL"),EXACT(Asistencia!H305,"FE"),EXACT(Asistencia!H305,"PCS"),EXACT(Asistencia!H305,"V")),1,0)</f>
        <v>0</v>
      </c>
      <c r="AL290">
        <f>IF(OR(EXACT(Asistencia!I305,"A"),EXACT(Asistencia!I305,"R"),EXACT(Asistencia!I305,"DL"),EXACT(Asistencia!I305,"FL"),EXACT(Asistencia!I305,"FE"),EXACT(Asistencia!I305,"PCS"),EXACT(Asistencia!I305,"V")),1,0)</f>
        <v>0</v>
      </c>
      <c r="AM290">
        <f>IF(OR(EXACT(Asistencia!J305,"A"),EXACT(Asistencia!J305,"R"),EXACT(Asistencia!J305,"DL"),EXACT(Asistencia!J305,"FL"),EXACT(Asistencia!J305,"FE"),EXACT(Asistencia!J305,"PCS"),EXACT(Asistencia!J305,"V")),1,0)</f>
        <v>0</v>
      </c>
      <c r="AN290">
        <f>IF(OR(EXACT(Asistencia!K305,"A"),EXACT(Asistencia!K305,"R"),EXACT(Asistencia!K305,"DL"),EXACT(Asistencia!K305,"FL"),EXACT(Asistencia!K305,"FE"),EXACT(Asistencia!K305,"PCS"),EXACT(Asistencia!K305,"V")),1,0)</f>
        <v>0</v>
      </c>
      <c r="AO290">
        <f>IF(OR(EXACT(Asistencia!L305,"A"),EXACT(Asistencia!L305,"R"),EXACT(Asistencia!L305,"DL"),EXACT(Asistencia!L305,"FL"),EXACT(Asistencia!L305,"FE"),EXACT(Asistencia!L305,"PCS"),EXACT(Asistencia!L305,"V")),1,0)</f>
        <v>0</v>
      </c>
      <c r="AP290">
        <f t="shared" si="93"/>
        <v>0</v>
      </c>
      <c r="AQ290">
        <f>IF(EXACT(Asistencia!F305,"FL"),1,0)</f>
        <v>0</v>
      </c>
      <c r="AR290">
        <f>IF(EXACT(Asistencia!G305,"FL"),1,0)</f>
        <v>0</v>
      </c>
      <c r="AS290">
        <f>IF(EXACT(Asistencia!H305,"FL"),1,0)</f>
        <v>0</v>
      </c>
      <c r="AT290">
        <f>IF(EXACT(Asistencia!I305,"FL"),1,0)</f>
        <v>0</v>
      </c>
      <c r="AU290">
        <f>IF(EXACT(Asistencia!J305,"FL"),1,0)</f>
        <v>0</v>
      </c>
      <c r="AV290">
        <f>IF(EXACT(Asistencia!K305,"FL"),1,0)</f>
        <v>0</v>
      </c>
      <c r="AW290">
        <f>IF(EXACT(Asistencia!L305,"FL"),1,0)</f>
        <v>0</v>
      </c>
      <c r="AX290">
        <f t="shared" si="94"/>
        <v>0</v>
      </c>
      <c r="AY290">
        <f>IF(EXACT(Asistencia!F305,"DL"),1,0)</f>
        <v>0</v>
      </c>
      <c r="AZ290">
        <f>IF(EXACT(Asistencia!G305,"DL"),1,0)</f>
        <v>0</v>
      </c>
      <c r="BA290">
        <f>IF(EXACT(Asistencia!H305,"DL"),1,0)</f>
        <v>0</v>
      </c>
      <c r="BB290">
        <f>IF(EXACT(Asistencia!I305,"DL"),1,0)</f>
        <v>0</v>
      </c>
      <c r="BC290">
        <f>IF(EXACT(Asistencia!J305,"DL"),1,0)</f>
        <v>0</v>
      </c>
      <c r="BD290">
        <f>IF(EXACT(Asistencia!K305,"DL"),1,0)</f>
        <v>0</v>
      </c>
      <c r="BE290">
        <f>IF(EXACT(Asistencia!L305,"DL"),1,0)</f>
        <v>0</v>
      </c>
      <c r="BF290">
        <f t="shared" si="95"/>
        <v>0</v>
      </c>
      <c r="BG290">
        <f>IF(ISNUMBER(Asistencia!M305),Asistencia!M305,0)</f>
        <v>0</v>
      </c>
      <c r="BH290">
        <f>IF(ISNUMBER(Asistencia!N305),Asistencia!N305,0)</f>
        <v>0</v>
      </c>
      <c r="BI290">
        <f>IF(ISNUMBER(Asistencia!O305),Asistencia!O305,0)</f>
        <v>0</v>
      </c>
      <c r="BJ290">
        <f>IF(ISNUMBER(Asistencia!P305),Asistencia!P305,0)</f>
        <v>0</v>
      </c>
      <c r="BK290" t="str">
        <f>IF(Asistencia!F305="","",Asistencia!F305)</f>
        <v/>
      </c>
      <c r="BL290" t="str">
        <f>IF(Asistencia!G305="","",Asistencia!G305)</f>
        <v/>
      </c>
      <c r="BM290" t="str">
        <f>IF(Asistencia!H305="","",Asistencia!H305)</f>
        <v/>
      </c>
      <c r="BN290" t="str">
        <f>IF(Asistencia!I305="","",Asistencia!I305)</f>
        <v/>
      </c>
      <c r="BO290" t="str">
        <f>IF(Asistencia!J305="","",Asistencia!J305)</f>
        <v/>
      </c>
      <c r="BP290" t="str">
        <f>IF(Asistencia!K305="","",Asistencia!K305)</f>
        <v/>
      </c>
      <c r="BQ290" t="str">
        <f>IF(Asistencia!L305="","",Asistencia!L305)</f>
        <v/>
      </c>
    </row>
    <row r="291" spans="27:69" x14ac:dyDescent="0.25">
      <c r="AA291" t="str">
        <f t="shared" si="92"/>
        <v/>
      </c>
      <c r="AB291" t="str">
        <f>IF(Asistencia!A306="","",Asistencia!A306)</f>
        <v/>
      </c>
      <c r="AC291" t="str">
        <f>IF(Asistencia!A306="","",SUBSTITUTE(SUBSTITUTE(SUBSTITUTE(SUBSTITUTE(SUBSTITUTE(SUBSTITUTE(SUBSTITUTE(UPPER(TRIM(Asistencia!A306)),"Á","A"),"É","E"),"Í","I"),"Ó","O"),"Ú","U"),"Ñ","N"),"  "," "))</f>
        <v/>
      </c>
      <c r="AD291" t="str">
        <f>IF(Asistencia!E306="","",Asistencia!E306)</f>
        <v/>
      </c>
      <c r="AE291" t="str">
        <f>IF(Asistencia!D306="","",UPPER(TRIM(Asistencia!D306)))</f>
        <v/>
      </c>
      <c r="AF291" t="s">
        <v>200</v>
      </c>
      <c r="AG291">
        <f>IF(AND(AA291&lt;&gt;"",COUNTIF($AA$5:AA291,AA291)=1),1,0)</f>
        <v>0</v>
      </c>
      <c r="AH291" t="str">
        <f>IF(AG291=1,SUM($AG$5:AG291),"")</f>
        <v/>
      </c>
      <c r="AI291">
        <f>IF(OR(EXACT(Asistencia!F306,"A"),EXACT(Asistencia!F306,"R"),EXACT(Asistencia!F306,"DL"),EXACT(Asistencia!F306,"FL"),EXACT(Asistencia!F306,"FE"),EXACT(Asistencia!F306,"PCS"),EXACT(Asistencia!F306,"V")),1,0)</f>
        <v>0</v>
      </c>
      <c r="AJ291">
        <f>IF(OR(EXACT(Asistencia!G306,"A"),EXACT(Asistencia!G306,"R"),EXACT(Asistencia!G306,"DL"),EXACT(Asistencia!G306,"FL"),EXACT(Asistencia!G306,"FE"),EXACT(Asistencia!G306,"PCS"),EXACT(Asistencia!G306,"V")),1,0)</f>
        <v>0</v>
      </c>
      <c r="AK291">
        <f>IF(OR(EXACT(Asistencia!H306,"A"),EXACT(Asistencia!H306,"R"),EXACT(Asistencia!H306,"DL"),EXACT(Asistencia!H306,"FL"),EXACT(Asistencia!H306,"FE"),EXACT(Asistencia!H306,"PCS"),EXACT(Asistencia!H306,"V")),1,0)</f>
        <v>0</v>
      </c>
      <c r="AL291">
        <f>IF(OR(EXACT(Asistencia!I306,"A"),EXACT(Asistencia!I306,"R"),EXACT(Asistencia!I306,"DL"),EXACT(Asistencia!I306,"FL"),EXACT(Asistencia!I306,"FE"),EXACT(Asistencia!I306,"PCS"),EXACT(Asistencia!I306,"V")),1,0)</f>
        <v>0</v>
      </c>
      <c r="AM291">
        <f>IF(OR(EXACT(Asistencia!J306,"A"),EXACT(Asistencia!J306,"R"),EXACT(Asistencia!J306,"DL"),EXACT(Asistencia!J306,"FL"),EXACT(Asistencia!J306,"FE"),EXACT(Asistencia!J306,"PCS"),EXACT(Asistencia!J306,"V")),1,0)</f>
        <v>0</v>
      </c>
      <c r="AN291">
        <f>IF(OR(EXACT(Asistencia!K306,"A"),EXACT(Asistencia!K306,"R"),EXACT(Asistencia!K306,"DL"),EXACT(Asistencia!K306,"FL"),EXACT(Asistencia!K306,"FE"),EXACT(Asistencia!K306,"PCS"),EXACT(Asistencia!K306,"V")),1,0)</f>
        <v>0</v>
      </c>
      <c r="AO291">
        <f>IF(OR(EXACT(Asistencia!L306,"A"),EXACT(Asistencia!L306,"R"),EXACT(Asistencia!L306,"DL"),EXACT(Asistencia!L306,"FL"),EXACT(Asistencia!L306,"FE"),EXACT(Asistencia!L306,"PCS"),EXACT(Asistencia!L306,"V")),1,0)</f>
        <v>0</v>
      </c>
      <c r="AP291">
        <f t="shared" si="93"/>
        <v>0</v>
      </c>
      <c r="AQ291">
        <f>IF(EXACT(Asistencia!F306,"FL"),1,0)</f>
        <v>0</v>
      </c>
      <c r="AR291">
        <f>IF(EXACT(Asistencia!G306,"FL"),1,0)</f>
        <v>0</v>
      </c>
      <c r="AS291">
        <f>IF(EXACT(Asistencia!H306,"FL"),1,0)</f>
        <v>0</v>
      </c>
      <c r="AT291">
        <f>IF(EXACT(Asistencia!I306,"FL"),1,0)</f>
        <v>0</v>
      </c>
      <c r="AU291">
        <f>IF(EXACT(Asistencia!J306,"FL"),1,0)</f>
        <v>0</v>
      </c>
      <c r="AV291">
        <f>IF(EXACT(Asistencia!K306,"FL"),1,0)</f>
        <v>0</v>
      </c>
      <c r="AW291">
        <f>IF(EXACT(Asistencia!L306,"FL"),1,0)</f>
        <v>0</v>
      </c>
      <c r="AX291">
        <f t="shared" si="94"/>
        <v>0</v>
      </c>
      <c r="AY291">
        <f>IF(EXACT(Asistencia!F306,"DL"),1,0)</f>
        <v>0</v>
      </c>
      <c r="AZ291">
        <f>IF(EXACT(Asistencia!G306,"DL"),1,0)</f>
        <v>0</v>
      </c>
      <c r="BA291">
        <f>IF(EXACT(Asistencia!H306,"DL"),1,0)</f>
        <v>0</v>
      </c>
      <c r="BB291">
        <f>IF(EXACT(Asistencia!I306,"DL"),1,0)</f>
        <v>0</v>
      </c>
      <c r="BC291">
        <f>IF(EXACT(Asistencia!J306,"DL"),1,0)</f>
        <v>0</v>
      </c>
      <c r="BD291">
        <f>IF(EXACT(Asistencia!K306,"DL"),1,0)</f>
        <v>0</v>
      </c>
      <c r="BE291">
        <f>IF(EXACT(Asistencia!L306,"DL"),1,0)</f>
        <v>0</v>
      </c>
      <c r="BF291">
        <f t="shared" si="95"/>
        <v>0</v>
      </c>
      <c r="BG291">
        <f>IF(ISNUMBER(Asistencia!M306),Asistencia!M306,0)</f>
        <v>0</v>
      </c>
      <c r="BH291">
        <f>IF(ISNUMBER(Asistencia!N306),Asistencia!N306,0)</f>
        <v>0</v>
      </c>
      <c r="BI291">
        <f>IF(ISNUMBER(Asistencia!O306),Asistencia!O306,0)</f>
        <v>0</v>
      </c>
      <c r="BJ291">
        <f>IF(ISNUMBER(Asistencia!P306),Asistencia!P306,0)</f>
        <v>0</v>
      </c>
      <c r="BK291" t="str">
        <f>IF(Asistencia!F306="","",Asistencia!F306)</f>
        <v/>
      </c>
      <c r="BL291" t="str">
        <f>IF(Asistencia!G306="","",Asistencia!G306)</f>
        <v/>
      </c>
      <c r="BM291" t="str">
        <f>IF(Asistencia!H306="","",Asistencia!H306)</f>
        <v/>
      </c>
      <c r="BN291" t="str">
        <f>IF(Asistencia!I306="","",Asistencia!I306)</f>
        <v/>
      </c>
      <c r="BO291" t="str">
        <f>IF(Asistencia!J306="","",Asistencia!J306)</f>
        <v/>
      </c>
      <c r="BP291" t="str">
        <f>IF(Asistencia!K306="","",Asistencia!K306)</f>
        <v/>
      </c>
      <c r="BQ291" t="str">
        <f>IF(Asistencia!L306="","",Asistencia!L306)</f>
        <v/>
      </c>
    </row>
    <row r="292" spans="27:69" x14ac:dyDescent="0.25">
      <c r="AA292" t="str">
        <f t="shared" si="92"/>
        <v/>
      </c>
      <c r="AB292" t="str">
        <f>IF(Asistencia!A307="","",Asistencia!A307)</f>
        <v/>
      </c>
      <c r="AC292" t="str">
        <f>IF(Asistencia!A307="","",SUBSTITUTE(SUBSTITUTE(SUBSTITUTE(SUBSTITUTE(SUBSTITUTE(SUBSTITUTE(SUBSTITUTE(UPPER(TRIM(Asistencia!A307)),"Á","A"),"É","E"),"Í","I"),"Ó","O"),"Ú","U"),"Ñ","N"),"  "," "))</f>
        <v/>
      </c>
      <c r="AD292" t="str">
        <f>IF(Asistencia!E307="","",Asistencia!E307)</f>
        <v/>
      </c>
      <c r="AE292" t="str">
        <f>IF(Asistencia!D307="","",UPPER(TRIM(Asistencia!D307)))</f>
        <v/>
      </c>
      <c r="AF292" t="s">
        <v>200</v>
      </c>
      <c r="AG292">
        <f>IF(AND(AA292&lt;&gt;"",COUNTIF($AA$5:AA292,AA292)=1),1,0)</f>
        <v>0</v>
      </c>
      <c r="AH292" t="str">
        <f>IF(AG292=1,SUM($AG$5:AG292),"")</f>
        <v/>
      </c>
      <c r="AI292">
        <f>IF(OR(EXACT(Asistencia!F307,"A"),EXACT(Asistencia!F307,"R"),EXACT(Asistencia!F307,"DL"),EXACT(Asistencia!F307,"FL"),EXACT(Asistencia!F307,"FE"),EXACT(Asistencia!F307,"PCS"),EXACT(Asistencia!F307,"V")),1,0)</f>
        <v>0</v>
      </c>
      <c r="AJ292">
        <f>IF(OR(EXACT(Asistencia!G307,"A"),EXACT(Asistencia!G307,"R"),EXACT(Asistencia!G307,"DL"),EXACT(Asistencia!G307,"FL"),EXACT(Asistencia!G307,"FE"),EXACT(Asistencia!G307,"PCS"),EXACT(Asistencia!G307,"V")),1,0)</f>
        <v>0</v>
      </c>
      <c r="AK292">
        <f>IF(OR(EXACT(Asistencia!H307,"A"),EXACT(Asistencia!H307,"R"),EXACT(Asistencia!H307,"DL"),EXACT(Asistencia!H307,"FL"),EXACT(Asistencia!H307,"FE"),EXACT(Asistencia!H307,"PCS"),EXACT(Asistencia!H307,"V")),1,0)</f>
        <v>0</v>
      </c>
      <c r="AL292">
        <f>IF(OR(EXACT(Asistencia!I307,"A"),EXACT(Asistencia!I307,"R"),EXACT(Asistencia!I307,"DL"),EXACT(Asistencia!I307,"FL"),EXACT(Asistencia!I307,"FE"),EXACT(Asistencia!I307,"PCS"),EXACT(Asistencia!I307,"V")),1,0)</f>
        <v>0</v>
      </c>
      <c r="AM292">
        <f>IF(OR(EXACT(Asistencia!J307,"A"),EXACT(Asistencia!J307,"R"),EXACT(Asistencia!J307,"DL"),EXACT(Asistencia!J307,"FL"),EXACT(Asistencia!J307,"FE"),EXACT(Asistencia!J307,"PCS"),EXACT(Asistencia!J307,"V")),1,0)</f>
        <v>0</v>
      </c>
      <c r="AN292">
        <f>IF(OR(EXACT(Asistencia!K307,"A"),EXACT(Asistencia!K307,"R"),EXACT(Asistencia!K307,"DL"),EXACT(Asistencia!K307,"FL"),EXACT(Asistencia!K307,"FE"),EXACT(Asistencia!K307,"PCS"),EXACT(Asistencia!K307,"V")),1,0)</f>
        <v>0</v>
      </c>
      <c r="AO292">
        <f>IF(OR(EXACT(Asistencia!L307,"A"),EXACT(Asistencia!L307,"R"),EXACT(Asistencia!L307,"DL"),EXACT(Asistencia!L307,"FL"),EXACT(Asistencia!L307,"FE"),EXACT(Asistencia!L307,"PCS"),EXACT(Asistencia!L307,"V")),1,0)</f>
        <v>0</v>
      </c>
      <c r="AP292">
        <f t="shared" si="93"/>
        <v>0</v>
      </c>
      <c r="AQ292">
        <f>IF(EXACT(Asistencia!F307,"FL"),1,0)</f>
        <v>0</v>
      </c>
      <c r="AR292">
        <f>IF(EXACT(Asistencia!G307,"FL"),1,0)</f>
        <v>0</v>
      </c>
      <c r="AS292">
        <f>IF(EXACT(Asistencia!H307,"FL"),1,0)</f>
        <v>0</v>
      </c>
      <c r="AT292">
        <f>IF(EXACT(Asistencia!I307,"FL"),1,0)</f>
        <v>0</v>
      </c>
      <c r="AU292">
        <f>IF(EXACT(Asistencia!J307,"FL"),1,0)</f>
        <v>0</v>
      </c>
      <c r="AV292">
        <f>IF(EXACT(Asistencia!K307,"FL"),1,0)</f>
        <v>0</v>
      </c>
      <c r="AW292">
        <f>IF(EXACT(Asistencia!L307,"FL"),1,0)</f>
        <v>0</v>
      </c>
      <c r="AX292">
        <f t="shared" si="94"/>
        <v>0</v>
      </c>
      <c r="AY292">
        <f>IF(EXACT(Asistencia!F307,"DL"),1,0)</f>
        <v>0</v>
      </c>
      <c r="AZ292">
        <f>IF(EXACT(Asistencia!G307,"DL"),1,0)</f>
        <v>0</v>
      </c>
      <c r="BA292">
        <f>IF(EXACT(Asistencia!H307,"DL"),1,0)</f>
        <v>0</v>
      </c>
      <c r="BB292">
        <f>IF(EXACT(Asistencia!I307,"DL"),1,0)</f>
        <v>0</v>
      </c>
      <c r="BC292">
        <f>IF(EXACT(Asistencia!J307,"DL"),1,0)</f>
        <v>0</v>
      </c>
      <c r="BD292">
        <f>IF(EXACT(Asistencia!K307,"DL"),1,0)</f>
        <v>0</v>
      </c>
      <c r="BE292">
        <f>IF(EXACT(Asistencia!L307,"DL"),1,0)</f>
        <v>0</v>
      </c>
      <c r="BF292">
        <f t="shared" si="95"/>
        <v>0</v>
      </c>
      <c r="BG292">
        <f>IF(ISNUMBER(Asistencia!M307),Asistencia!M307,0)</f>
        <v>0</v>
      </c>
      <c r="BH292">
        <f>IF(ISNUMBER(Asistencia!N307),Asistencia!N307,0)</f>
        <v>0</v>
      </c>
      <c r="BI292">
        <f>IF(ISNUMBER(Asistencia!O307),Asistencia!O307,0)</f>
        <v>0</v>
      </c>
      <c r="BJ292">
        <f>IF(ISNUMBER(Asistencia!P307),Asistencia!P307,0)</f>
        <v>0</v>
      </c>
      <c r="BK292" t="str">
        <f>IF(Asistencia!F307="","",Asistencia!F307)</f>
        <v/>
      </c>
      <c r="BL292" t="str">
        <f>IF(Asistencia!G307="","",Asistencia!G307)</f>
        <v/>
      </c>
      <c r="BM292" t="str">
        <f>IF(Asistencia!H307="","",Asistencia!H307)</f>
        <v/>
      </c>
      <c r="BN292" t="str">
        <f>IF(Asistencia!I307="","",Asistencia!I307)</f>
        <v/>
      </c>
      <c r="BO292" t="str">
        <f>IF(Asistencia!J307="","",Asistencia!J307)</f>
        <v/>
      </c>
      <c r="BP292" t="str">
        <f>IF(Asistencia!K307="","",Asistencia!K307)</f>
        <v/>
      </c>
      <c r="BQ292" t="str">
        <f>IF(Asistencia!L307="","",Asistencia!L307)</f>
        <v/>
      </c>
    </row>
    <row r="293" spans="27:69" x14ac:dyDescent="0.25">
      <c r="AA293" t="str">
        <f t="shared" si="92"/>
        <v/>
      </c>
      <c r="AB293" t="str">
        <f>IF(Asistencia!A308="","",Asistencia!A308)</f>
        <v/>
      </c>
      <c r="AC293" t="str">
        <f>IF(Asistencia!A308="","",SUBSTITUTE(SUBSTITUTE(SUBSTITUTE(SUBSTITUTE(SUBSTITUTE(SUBSTITUTE(SUBSTITUTE(UPPER(TRIM(Asistencia!A308)),"Á","A"),"É","E"),"Í","I"),"Ó","O"),"Ú","U"),"Ñ","N"),"  "," "))</f>
        <v/>
      </c>
      <c r="AD293" t="str">
        <f>IF(Asistencia!E308="","",Asistencia!E308)</f>
        <v/>
      </c>
      <c r="AE293" t="str">
        <f>IF(Asistencia!D308="","",UPPER(TRIM(Asistencia!D308)))</f>
        <v/>
      </c>
      <c r="AF293" t="s">
        <v>200</v>
      </c>
      <c r="AG293">
        <f>IF(AND(AA293&lt;&gt;"",COUNTIF($AA$5:AA293,AA293)=1),1,0)</f>
        <v>0</v>
      </c>
      <c r="AH293" t="str">
        <f>IF(AG293=1,SUM($AG$5:AG293),"")</f>
        <v/>
      </c>
      <c r="AI293">
        <f>IF(OR(EXACT(Asistencia!F308,"A"),EXACT(Asistencia!F308,"R"),EXACT(Asistencia!F308,"DL"),EXACT(Asistencia!F308,"FL"),EXACT(Asistencia!F308,"FE"),EXACT(Asistencia!F308,"PCS"),EXACT(Asistencia!F308,"V")),1,0)</f>
        <v>0</v>
      </c>
      <c r="AJ293">
        <f>IF(OR(EXACT(Asistencia!G308,"A"),EXACT(Asistencia!G308,"R"),EXACT(Asistencia!G308,"DL"),EXACT(Asistencia!G308,"FL"),EXACT(Asistencia!G308,"FE"),EXACT(Asistencia!G308,"PCS"),EXACT(Asistencia!G308,"V")),1,0)</f>
        <v>0</v>
      </c>
      <c r="AK293">
        <f>IF(OR(EXACT(Asistencia!H308,"A"),EXACT(Asistencia!H308,"R"),EXACT(Asistencia!H308,"DL"),EXACT(Asistencia!H308,"FL"),EXACT(Asistencia!H308,"FE"),EXACT(Asistencia!H308,"PCS"),EXACT(Asistencia!H308,"V")),1,0)</f>
        <v>0</v>
      </c>
      <c r="AL293">
        <f>IF(OR(EXACT(Asistencia!I308,"A"),EXACT(Asistencia!I308,"R"),EXACT(Asistencia!I308,"DL"),EXACT(Asistencia!I308,"FL"),EXACT(Asistencia!I308,"FE"),EXACT(Asistencia!I308,"PCS"),EXACT(Asistencia!I308,"V")),1,0)</f>
        <v>0</v>
      </c>
      <c r="AM293">
        <f>IF(OR(EXACT(Asistencia!J308,"A"),EXACT(Asistencia!J308,"R"),EXACT(Asistencia!J308,"DL"),EXACT(Asistencia!J308,"FL"),EXACT(Asistencia!J308,"FE"),EXACT(Asistencia!J308,"PCS"),EXACT(Asistencia!J308,"V")),1,0)</f>
        <v>0</v>
      </c>
      <c r="AN293">
        <f>IF(OR(EXACT(Asistencia!K308,"A"),EXACT(Asistencia!K308,"R"),EXACT(Asistencia!K308,"DL"),EXACT(Asistencia!K308,"FL"),EXACT(Asistencia!K308,"FE"),EXACT(Asistencia!K308,"PCS"),EXACT(Asistencia!K308,"V")),1,0)</f>
        <v>0</v>
      </c>
      <c r="AO293">
        <f>IF(OR(EXACT(Asistencia!L308,"A"),EXACT(Asistencia!L308,"R"),EXACT(Asistencia!L308,"DL"),EXACT(Asistencia!L308,"FL"),EXACT(Asistencia!L308,"FE"),EXACT(Asistencia!L308,"PCS"),EXACT(Asistencia!L308,"V")),1,0)</f>
        <v>0</v>
      </c>
      <c r="AP293">
        <f t="shared" si="93"/>
        <v>0</v>
      </c>
      <c r="AQ293">
        <f>IF(EXACT(Asistencia!F308,"FL"),1,0)</f>
        <v>0</v>
      </c>
      <c r="AR293">
        <f>IF(EXACT(Asistencia!G308,"FL"),1,0)</f>
        <v>0</v>
      </c>
      <c r="AS293">
        <f>IF(EXACT(Asistencia!H308,"FL"),1,0)</f>
        <v>0</v>
      </c>
      <c r="AT293">
        <f>IF(EXACT(Asistencia!I308,"FL"),1,0)</f>
        <v>0</v>
      </c>
      <c r="AU293">
        <f>IF(EXACT(Asistencia!J308,"FL"),1,0)</f>
        <v>0</v>
      </c>
      <c r="AV293">
        <f>IF(EXACT(Asistencia!K308,"FL"),1,0)</f>
        <v>0</v>
      </c>
      <c r="AW293">
        <f>IF(EXACT(Asistencia!L308,"FL"),1,0)</f>
        <v>0</v>
      </c>
      <c r="AX293">
        <f t="shared" si="94"/>
        <v>0</v>
      </c>
      <c r="AY293">
        <f>IF(EXACT(Asistencia!F308,"DL"),1,0)</f>
        <v>0</v>
      </c>
      <c r="AZ293">
        <f>IF(EXACT(Asistencia!G308,"DL"),1,0)</f>
        <v>0</v>
      </c>
      <c r="BA293">
        <f>IF(EXACT(Asistencia!H308,"DL"),1,0)</f>
        <v>0</v>
      </c>
      <c r="BB293">
        <f>IF(EXACT(Asistencia!I308,"DL"),1,0)</f>
        <v>0</v>
      </c>
      <c r="BC293">
        <f>IF(EXACT(Asistencia!J308,"DL"),1,0)</f>
        <v>0</v>
      </c>
      <c r="BD293">
        <f>IF(EXACT(Asistencia!K308,"DL"),1,0)</f>
        <v>0</v>
      </c>
      <c r="BE293">
        <f>IF(EXACT(Asistencia!L308,"DL"),1,0)</f>
        <v>0</v>
      </c>
      <c r="BF293">
        <f t="shared" si="95"/>
        <v>0</v>
      </c>
      <c r="BG293">
        <f>IF(ISNUMBER(Asistencia!M308),Asistencia!M308,0)</f>
        <v>0</v>
      </c>
      <c r="BH293">
        <f>IF(ISNUMBER(Asistencia!N308),Asistencia!N308,0)</f>
        <v>0</v>
      </c>
      <c r="BI293">
        <f>IF(ISNUMBER(Asistencia!O308),Asistencia!O308,0)</f>
        <v>0</v>
      </c>
      <c r="BJ293">
        <f>IF(ISNUMBER(Asistencia!P308),Asistencia!P308,0)</f>
        <v>0</v>
      </c>
      <c r="BK293" t="str">
        <f>IF(Asistencia!F308="","",Asistencia!F308)</f>
        <v/>
      </c>
      <c r="BL293" t="str">
        <f>IF(Asistencia!G308="","",Asistencia!G308)</f>
        <v/>
      </c>
      <c r="BM293" t="str">
        <f>IF(Asistencia!H308="","",Asistencia!H308)</f>
        <v/>
      </c>
      <c r="BN293" t="str">
        <f>IF(Asistencia!I308="","",Asistencia!I308)</f>
        <v/>
      </c>
      <c r="BO293" t="str">
        <f>IF(Asistencia!J308="","",Asistencia!J308)</f>
        <v/>
      </c>
      <c r="BP293" t="str">
        <f>IF(Asistencia!K308="","",Asistencia!K308)</f>
        <v/>
      </c>
      <c r="BQ293" t="str">
        <f>IF(Asistencia!L308="","",Asistencia!L308)</f>
        <v/>
      </c>
    </row>
    <row r="294" spans="27:69" x14ac:dyDescent="0.25">
      <c r="AA294" t="str">
        <f t="shared" si="92"/>
        <v/>
      </c>
      <c r="AB294" t="str">
        <f>IF(Asistencia!A309="","",Asistencia!A309)</f>
        <v/>
      </c>
      <c r="AC294" t="str">
        <f>IF(Asistencia!A309="","",SUBSTITUTE(SUBSTITUTE(SUBSTITUTE(SUBSTITUTE(SUBSTITUTE(SUBSTITUTE(SUBSTITUTE(UPPER(TRIM(Asistencia!A309)),"Á","A"),"É","E"),"Í","I"),"Ó","O"),"Ú","U"),"Ñ","N"),"  "," "))</f>
        <v/>
      </c>
      <c r="AD294" t="str">
        <f>IF(Asistencia!E309="","",Asistencia!E309)</f>
        <v/>
      </c>
      <c r="AE294" t="str">
        <f>IF(Asistencia!D309="","",UPPER(TRIM(Asistencia!D309)))</f>
        <v/>
      </c>
      <c r="AF294" t="s">
        <v>200</v>
      </c>
      <c r="AG294">
        <f>IF(AND(AA294&lt;&gt;"",COUNTIF($AA$5:AA294,AA294)=1),1,0)</f>
        <v>0</v>
      </c>
      <c r="AH294" t="str">
        <f>IF(AG294=1,SUM($AG$5:AG294),"")</f>
        <v/>
      </c>
      <c r="AI294">
        <f>IF(OR(EXACT(Asistencia!F309,"A"),EXACT(Asistencia!F309,"R"),EXACT(Asistencia!F309,"DL"),EXACT(Asistencia!F309,"FL"),EXACT(Asistencia!F309,"FE"),EXACT(Asistencia!F309,"PCS"),EXACT(Asistencia!F309,"V")),1,0)</f>
        <v>0</v>
      </c>
      <c r="AJ294">
        <f>IF(OR(EXACT(Asistencia!G309,"A"),EXACT(Asistencia!G309,"R"),EXACT(Asistencia!G309,"DL"),EXACT(Asistencia!G309,"FL"),EXACT(Asistencia!G309,"FE"),EXACT(Asistencia!G309,"PCS"),EXACT(Asistencia!G309,"V")),1,0)</f>
        <v>0</v>
      </c>
      <c r="AK294">
        <f>IF(OR(EXACT(Asistencia!H309,"A"),EXACT(Asistencia!H309,"R"),EXACT(Asistencia!H309,"DL"),EXACT(Asistencia!H309,"FL"),EXACT(Asistencia!H309,"FE"),EXACT(Asistencia!H309,"PCS"),EXACT(Asistencia!H309,"V")),1,0)</f>
        <v>0</v>
      </c>
      <c r="AL294">
        <f>IF(OR(EXACT(Asistencia!I309,"A"),EXACT(Asistencia!I309,"R"),EXACT(Asistencia!I309,"DL"),EXACT(Asistencia!I309,"FL"),EXACT(Asistencia!I309,"FE"),EXACT(Asistencia!I309,"PCS"),EXACT(Asistencia!I309,"V")),1,0)</f>
        <v>0</v>
      </c>
      <c r="AM294">
        <f>IF(OR(EXACT(Asistencia!J309,"A"),EXACT(Asistencia!J309,"R"),EXACT(Asistencia!J309,"DL"),EXACT(Asistencia!J309,"FL"),EXACT(Asistencia!J309,"FE"),EXACT(Asistencia!J309,"PCS"),EXACT(Asistencia!J309,"V")),1,0)</f>
        <v>0</v>
      </c>
      <c r="AN294">
        <f>IF(OR(EXACT(Asistencia!K309,"A"),EXACT(Asistencia!K309,"R"),EXACT(Asistencia!K309,"DL"),EXACT(Asistencia!K309,"FL"),EXACT(Asistencia!K309,"FE"),EXACT(Asistencia!K309,"PCS"),EXACT(Asistencia!K309,"V")),1,0)</f>
        <v>0</v>
      </c>
      <c r="AO294">
        <f>IF(OR(EXACT(Asistencia!L309,"A"),EXACT(Asistencia!L309,"R"),EXACT(Asistencia!L309,"DL"),EXACT(Asistencia!L309,"FL"),EXACT(Asistencia!L309,"FE"),EXACT(Asistencia!L309,"PCS"),EXACT(Asistencia!L309,"V")),1,0)</f>
        <v>0</v>
      </c>
      <c r="AP294">
        <f t="shared" si="93"/>
        <v>0</v>
      </c>
      <c r="AQ294">
        <f>IF(EXACT(Asistencia!F309,"FL"),1,0)</f>
        <v>0</v>
      </c>
      <c r="AR294">
        <f>IF(EXACT(Asistencia!G309,"FL"),1,0)</f>
        <v>0</v>
      </c>
      <c r="AS294">
        <f>IF(EXACT(Asistencia!H309,"FL"),1,0)</f>
        <v>0</v>
      </c>
      <c r="AT294">
        <f>IF(EXACT(Asistencia!I309,"FL"),1,0)</f>
        <v>0</v>
      </c>
      <c r="AU294">
        <f>IF(EXACT(Asistencia!J309,"FL"),1,0)</f>
        <v>0</v>
      </c>
      <c r="AV294">
        <f>IF(EXACT(Asistencia!K309,"FL"),1,0)</f>
        <v>0</v>
      </c>
      <c r="AW294">
        <f>IF(EXACT(Asistencia!L309,"FL"),1,0)</f>
        <v>0</v>
      </c>
      <c r="AX294">
        <f t="shared" si="94"/>
        <v>0</v>
      </c>
      <c r="AY294">
        <f>IF(EXACT(Asistencia!F309,"DL"),1,0)</f>
        <v>0</v>
      </c>
      <c r="AZ294">
        <f>IF(EXACT(Asistencia!G309,"DL"),1,0)</f>
        <v>0</v>
      </c>
      <c r="BA294">
        <f>IF(EXACT(Asistencia!H309,"DL"),1,0)</f>
        <v>0</v>
      </c>
      <c r="BB294">
        <f>IF(EXACT(Asistencia!I309,"DL"),1,0)</f>
        <v>0</v>
      </c>
      <c r="BC294">
        <f>IF(EXACT(Asistencia!J309,"DL"),1,0)</f>
        <v>0</v>
      </c>
      <c r="BD294">
        <f>IF(EXACT(Asistencia!K309,"DL"),1,0)</f>
        <v>0</v>
      </c>
      <c r="BE294">
        <f>IF(EXACT(Asistencia!L309,"DL"),1,0)</f>
        <v>0</v>
      </c>
      <c r="BF294">
        <f t="shared" si="95"/>
        <v>0</v>
      </c>
      <c r="BG294">
        <f>IF(ISNUMBER(Asistencia!M309),Asistencia!M309,0)</f>
        <v>0</v>
      </c>
      <c r="BH294">
        <f>IF(ISNUMBER(Asistencia!N309),Asistencia!N309,0)</f>
        <v>0</v>
      </c>
      <c r="BI294">
        <f>IF(ISNUMBER(Asistencia!O309),Asistencia!O309,0)</f>
        <v>0</v>
      </c>
      <c r="BJ294">
        <f>IF(ISNUMBER(Asistencia!P309),Asistencia!P309,0)</f>
        <v>0</v>
      </c>
      <c r="BK294" t="str">
        <f>IF(Asistencia!F309="","",Asistencia!F309)</f>
        <v/>
      </c>
      <c r="BL294" t="str">
        <f>IF(Asistencia!G309="","",Asistencia!G309)</f>
        <v/>
      </c>
      <c r="BM294" t="str">
        <f>IF(Asistencia!H309="","",Asistencia!H309)</f>
        <v/>
      </c>
      <c r="BN294" t="str">
        <f>IF(Asistencia!I309="","",Asistencia!I309)</f>
        <v/>
      </c>
      <c r="BO294" t="str">
        <f>IF(Asistencia!J309="","",Asistencia!J309)</f>
        <v/>
      </c>
      <c r="BP294" t="str">
        <f>IF(Asistencia!K309="","",Asistencia!K309)</f>
        <v/>
      </c>
      <c r="BQ294" t="str">
        <f>IF(Asistencia!L309="","",Asistencia!L309)</f>
        <v/>
      </c>
    </row>
    <row r="295" spans="27:69" x14ac:dyDescent="0.25">
      <c r="AA295" t="str">
        <f t="shared" si="92"/>
        <v/>
      </c>
      <c r="AB295" t="str">
        <f>IF(Asistencia!A310="","",Asistencia!A310)</f>
        <v/>
      </c>
      <c r="AC295" t="str">
        <f>IF(Asistencia!A310="","",SUBSTITUTE(SUBSTITUTE(SUBSTITUTE(SUBSTITUTE(SUBSTITUTE(SUBSTITUTE(SUBSTITUTE(UPPER(TRIM(Asistencia!A310)),"Á","A"),"É","E"),"Í","I"),"Ó","O"),"Ú","U"),"Ñ","N"),"  "," "))</f>
        <v/>
      </c>
      <c r="AD295" t="str">
        <f>IF(Asistencia!E310="","",Asistencia!E310)</f>
        <v/>
      </c>
      <c r="AE295" t="str">
        <f>IF(Asistencia!D310="","",UPPER(TRIM(Asistencia!D310)))</f>
        <v/>
      </c>
      <c r="AF295" t="s">
        <v>200</v>
      </c>
      <c r="AG295">
        <f>IF(AND(AA295&lt;&gt;"",COUNTIF($AA$5:AA295,AA295)=1),1,0)</f>
        <v>0</v>
      </c>
      <c r="AH295" t="str">
        <f>IF(AG295=1,SUM($AG$5:AG295),"")</f>
        <v/>
      </c>
      <c r="AI295">
        <f>IF(OR(EXACT(Asistencia!F310,"A"),EXACT(Asistencia!F310,"R"),EXACT(Asistencia!F310,"DL"),EXACT(Asistencia!F310,"FL"),EXACT(Asistencia!F310,"FE"),EXACT(Asistencia!F310,"PCS"),EXACT(Asistencia!F310,"V")),1,0)</f>
        <v>0</v>
      </c>
      <c r="AJ295">
        <f>IF(OR(EXACT(Asistencia!G310,"A"),EXACT(Asistencia!G310,"R"),EXACT(Asistencia!G310,"DL"),EXACT(Asistencia!G310,"FL"),EXACT(Asistencia!G310,"FE"),EXACT(Asistencia!G310,"PCS"),EXACT(Asistencia!G310,"V")),1,0)</f>
        <v>0</v>
      </c>
      <c r="AK295">
        <f>IF(OR(EXACT(Asistencia!H310,"A"),EXACT(Asistencia!H310,"R"),EXACT(Asistencia!H310,"DL"),EXACT(Asistencia!H310,"FL"),EXACT(Asistencia!H310,"FE"),EXACT(Asistencia!H310,"PCS"),EXACT(Asistencia!H310,"V")),1,0)</f>
        <v>0</v>
      </c>
      <c r="AL295">
        <f>IF(OR(EXACT(Asistencia!I310,"A"),EXACT(Asistencia!I310,"R"),EXACT(Asistencia!I310,"DL"),EXACT(Asistencia!I310,"FL"),EXACT(Asistencia!I310,"FE"),EXACT(Asistencia!I310,"PCS"),EXACT(Asistencia!I310,"V")),1,0)</f>
        <v>0</v>
      </c>
      <c r="AM295">
        <f>IF(OR(EXACT(Asistencia!J310,"A"),EXACT(Asistencia!J310,"R"),EXACT(Asistencia!J310,"DL"),EXACT(Asistencia!J310,"FL"),EXACT(Asistencia!J310,"FE"),EXACT(Asistencia!J310,"PCS"),EXACT(Asistencia!J310,"V")),1,0)</f>
        <v>0</v>
      </c>
      <c r="AN295">
        <f>IF(OR(EXACT(Asistencia!K310,"A"),EXACT(Asistencia!K310,"R"),EXACT(Asistencia!K310,"DL"),EXACT(Asistencia!K310,"FL"),EXACT(Asistencia!K310,"FE"),EXACT(Asistencia!K310,"PCS"),EXACT(Asistencia!K310,"V")),1,0)</f>
        <v>0</v>
      </c>
      <c r="AO295">
        <f>IF(OR(EXACT(Asistencia!L310,"A"),EXACT(Asistencia!L310,"R"),EXACT(Asistencia!L310,"DL"),EXACT(Asistencia!L310,"FL"),EXACT(Asistencia!L310,"FE"),EXACT(Asistencia!L310,"PCS"),EXACT(Asistencia!L310,"V")),1,0)</f>
        <v>0</v>
      </c>
      <c r="AP295">
        <f t="shared" si="93"/>
        <v>0</v>
      </c>
      <c r="AQ295">
        <f>IF(EXACT(Asistencia!F310,"FL"),1,0)</f>
        <v>0</v>
      </c>
      <c r="AR295">
        <f>IF(EXACT(Asistencia!G310,"FL"),1,0)</f>
        <v>0</v>
      </c>
      <c r="AS295">
        <f>IF(EXACT(Asistencia!H310,"FL"),1,0)</f>
        <v>0</v>
      </c>
      <c r="AT295">
        <f>IF(EXACT(Asistencia!I310,"FL"),1,0)</f>
        <v>0</v>
      </c>
      <c r="AU295">
        <f>IF(EXACT(Asistencia!J310,"FL"),1,0)</f>
        <v>0</v>
      </c>
      <c r="AV295">
        <f>IF(EXACT(Asistencia!K310,"FL"),1,0)</f>
        <v>0</v>
      </c>
      <c r="AW295">
        <f>IF(EXACT(Asistencia!L310,"FL"),1,0)</f>
        <v>0</v>
      </c>
      <c r="AX295">
        <f t="shared" si="94"/>
        <v>0</v>
      </c>
      <c r="AY295">
        <f>IF(EXACT(Asistencia!F310,"DL"),1,0)</f>
        <v>0</v>
      </c>
      <c r="AZ295">
        <f>IF(EXACT(Asistencia!G310,"DL"),1,0)</f>
        <v>0</v>
      </c>
      <c r="BA295">
        <f>IF(EXACT(Asistencia!H310,"DL"),1,0)</f>
        <v>0</v>
      </c>
      <c r="BB295">
        <f>IF(EXACT(Asistencia!I310,"DL"),1,0)</f>
        <v>0</v>
      </c>
      <c r="BC295">
        <f>IF(EXACT(Asistencia!J310,"DL"),1,0)</f>
        <v>0</v>
      </c>
      <c r="BD295">
        <f>IF(EXACT(Asistencia!K310,"DL"),1,0)</f>
        <v>0</v>
      </c>
      <c r="BE295">
        <f>IF(EXACT(Asistencia!L310,"DL"),1,0)</f>
        <v>0</v>
      </c>
      <c r="BF295">
        <f t="shared" si="95"/>
        <v>0</v>
      </c>
      <c r="BG295">
        <f>IF(ISNUMBER(Asistencia!M310),Asistencia!M310,0)</f>
        <v>0</v>
      </c>
      <c r="BH295">
        <f>IF(ISNUMBER(Asistencia!N310),Asistencia!N310,0)</f>
        <v>0</v>
      </c>
      <c r="BI295">
        <f>IF(ISNUMBER(Asistencia!O310),Asistencia!O310,0)</f>
        <v>0</v>
      </c>
      <c r="BJ295">
        <f>IF(ISNUMBER(Asistencia!P310),Asistencia!P310,0)</f>
        <v>0</v>
      </c>
      <c r="BK295" t="str">
        <f>IF(Asistencia!F310="","",Asistencia!F310)</f>
        <v/>
      </c>
      <c r="BL295" t="str">
        <f>IF(Asistencia!G310="","",Asistencia!G310)</f>
        <v/>
      </c>
      <c r="BM295" t="str">
        <f>IF(Asistencia!H310="","",Asistencia!H310)</f>
        <v/>
      </c>
      <c r="BN295" t="str">
        <f>IF(Asistencia!I310="","",Asistencia!I310)</f>
        <v/>
      </c>
      <c r="BO295" t="str">
        <f>IF(Asistencia!J310="","",Asistencia!J310)</f>
        <v/>
      </c>
      <c r="BP295" t="str">
        <f>IF(Asistencia!K310="","",Asistencia!K310)</f>
        <v/>
      </c>
      <c r="BQ295" t="str">
        <f>IF(Asistencia!L310="","",Asistencia!L310)</f>
        <v/>
      </c>
    </row>
    <row r="296" spans="27:69" x14ac:dyDescent="0.25">
      <c r="AA296" t="str">
        <f t="shared" si="92"/>
        <v/>
      </c>
      <c r="AB296" t="str">
        <f>IF(Asistencia!A311="","",Asistencia!A311)</f>
        <v/>
      </c>
      <c r="AC296" t="str">
        <f>IF(Asistencia!A311="","",SUBSTITUTE(SUBSTITUTE(SUBSTITUTE(SUBSTITUTE(SUBSTITUTE(SUBSTITUTE(SUBSTITUTE(UPPER(TRIM(Asistencia!A311)),"Á","A"),"É","E"),"Í","I"),"Ó","O"),"Ú","U"),"Ñ","N"),"  "," "))</f>
        <v/>
      </c>
      <c r="AD296" t="str">
        <f>IF(Asistencia!E311="","",Asistencia!E311)</f>
        <v/>
      </c>
      <c r="AE296" t="str">
        <f>IF(Asistencia!D311="","",UPPER(TRIM(Asistencia!D311)))</f>
        <v/>
      </c>
      <c r="AF296" t="s">
        <v>200</v>
      </c>
      <c r="AG296">
        <f>IF(AND(AA296&lt;&gt;"",COUNTIF($AA$5:AA296,AA296)=1),1,0)</f>
        <v>0</v>
      </c>
      <c r="AH296" t="str">
        <f>IF(AG296=1,SUM($AG$5:AG296),"")</f>
        <v/>
      </c>
      <c r="AI296">
        <f>IF(OR(EXACT(Asistencia!F311,"A"),EXACT(Asistencia!F311,"R"),EXACT(Asistencia!F311,"DL"),EXACT(Asistencia!F311,"FL"),EXACT(Asistencia!F311,"FE"),EXACT(Asistencia!F311,"PCS"),EXACT(Asistencia!F311,"V")),1,0)</f>
        <v>0</v>
      </c>
      <c r="AJ296">
        <f>IF(OR(EXACT(Asistencia!G311,"A"),EXACT(Asistencia!G311,"R"),EXACT(Asistencia!G311,"DL"),EXACT(Asistencia!G311,"FL"),EXACT(Asistencia!G311,"FE"),EXACT(Asistencia!G311,"PCS"),EXACT(Asistencia!G311,"V")),1,0)</f>
        <v>0</v>
      </c>
      <c r="AK296">
        <f>IF(OR(EXACT(Asistencia!H311,"A"),EXACT(Asistencia!H311,"R"),EXACT(Asistencia!H311,"DL"),EXACT(Asistencia!H311,"FL"),EXACT(Asistencia!H311,"FE"),EXACT(Asistencia!H311,"PCS"),EXACT(Asistencia!H311,"V")),1,0)</f>
        <v>0</v>
      </c>
      <c r="AL296">
        <f>IF(OR(EXACT(Asistencia!I311,"A"),EXACT(Asistencia!I311,"R"),EXACT(Asistencia!I311,"DL"),EXACT(Asistencia!I311,"FL"),EXACT(Asistencia!I311,"FE"),EXACT(Asistencia!I311,"PCS"),EXACT(Asistencia!I311,"V")),1,0)</f>
        <v>0</v>
      </c>
      <c r="AM296">
        <f>IF(OR(EXACT(Asistencia!J311,"A"),EXACT(Asistencia!J311,"R"),EXACT(Asistencia!J311,"DL"),EXACT(Asistencia!J311,"FL"),EXACT(Asistencia!J311,"FE"),EXACT(Asistencia!J311,"PCS"),EXACT(Asistencia!J311,"V")),1,0)</f>
        <v>0</v>
      </c>
      <c r="AN296">
        <f>IF(OR(EXACT(Asistencia!K311,"A"),EXACT(Asistencia!K311,"R"),EXACT(Asistencia!K311,"DL"),EXACT(Asistencia!K311,"FL"),EXACT(Asistencia!K311,"FE"),EXACT(Asistencia!K311,"PCS"),EXACT(Asistencia!K311,"V")),1,0)</f>
        <v>0</v>
      </c>
      <c r="AO296">
        <f>IF(OR(EXACT(Asistencia!L311,"A"),EXACT(Asistencia!L311,"R"),EXACT(Asistencia!L311,"DL"),EXACT(Asistencia!L311,"FL"),EXACT(Asistencia!L311,"FE"),EXACT(Asistencia!L311,"PCS"),EXACT(Asistencia!L311,"V")),1,0)</f>
        <v>0</v>
      </c>
      <c r="AP296">
        <f t="shared" si="93"/>
        <v>0</v>
      </c>
      <c r="AQ296">
        <f>IF(EXACT(Asistencia!F311,"FL"),1,0)</f>
        <v>0</v>
      </c>
      <c r="AR296">
        <f>IF(EXACT(Asistencia!G311,"FL"),1,0)</f>
        <v>0</v>
      </c>
      <c r="AS296">
        <f>IF(EXACT(Asistencia!H311,"FL"),1,0)</f>
        <v>0</v>
      </c>
      <c r="AT296">
        <f>IF(EXACT(Asistencia!I311,"FL"),1,0)</f>
        <v>0</v>
      </c>
      <c r="AU296">
        <f>IF(EXACT(Asistencia!J311,"FL"),1,0)</f>
        <v>0</v>
      </c>
      <c r="AV296">
        <f>IF(EXACT(Asistencia!K311,"FL"),1,0)</f>
        <v>0</v>
      </c>
      <c r="AW296">
        <f>IF(EXACT(Asistencia!L311,"FL"),1,0)</f>
        <v>0</v>
      </c>
      <c r="AX296">
        <f t="shared" si="94"/>
        <v>0</v>
      </c>
      <c r="AY296">
        <f>IF(EXACT(Asistencia!F311,"DL"),1,0)</f>
        <v>0</v>
      </c>
      <c r="AZ296">
        <f>IF(EXACT(Asistencia!G311,"DL"),1,0)</f>
        <v>0</v>
      </c>
      <c r="BA296">
        <f>IF(EXACT(Asistencia!H311,"DL"),1,0)</f>
        <v>0</v>
      </c>
      <c r="BB296">
        <f>IF(EXACT(Asistencia!I311,"DL"),1,0)</f>
        <v>0</v>
      </c>
      <c r="BC296">
        <f>IF(EXACT(Asistencia!J311,"DL"),1,0)</f>
        <v>0</v>
      </c>
      <c r="BD296">
        <f>IF(EXACT(Asistencia!K311,"DL"),1,0)</f>
        <v>0</v>
      </c>
      <c r="BE296">
        <f>IF(EXACT(Asistencia!L311,"DL"),1,0)</f>
        <v>0</v>
      </c>
      <c r="BF296">
        <f t="shared" si="95"/>
        <v>0</v>
      </c>
      <c r="BG296">
        <f>IF(ISNUMBER(Asistencia!M311),Asistencia!M311,0)</f>
        <v>0</v>
      </c>
      <c r="BH296">
        <f>IF(ISNUMBER(Asistencia!N311),Asistencia!N311,0)</f>
        <v>0</v>
      </c>
      <c r="BI296">
        <f>IF(ISNUMBER(Asistencia!O311),Asistencia!O311,0)</f>
        <v>0</v>
      </c>
      <c r="BJ296">
        <f>IF(ISNUMBER(Asistencia!P311),Asistencia!P311,0)</f>
        <v>0</v>
      </c>
      <c r="BK296" t="str">
        <f>IF(Asistencia!F311="","",Asistencia!F311)</f>
        <v/>
      </c>
      <c r="BL296" t="str">
        <f>IF(Asistencia!G311="","",Asistencia!G311)</f>
        <v/>
      </c>
      <c r="BM296" t="str">
        <f>IF(Asistencia!H311="","",Asistencia!H311)</f>
        <v/>
      </c>
      <c r="BN296" t="str">
        <f>IF(Asistencia!I311="","",Asistencia!I311)</f>
        <v/>
      </c>
      <c r="BO296" t="str">
        <f>IF(Asistencia!J311="","",Asistencia!J311)</f>
        <v/>
      </c>
      <c r="BP296" t="str">
        <f>IF(Asistencia!K311="","",Asistencia!K311)</f>
        <v/>
      </c>
      <c r="BQ296" t="str">
        <f>IF(Asistencia!L311="","",Asistencia!L311)</f>
        <v/>
      </c>
    </row>
    <row r="297" spans="27:69" x14ac:dyDescent="0.25">
      <c r="AA297" t="str">
        <f t="shared" si="92"/>
        <v/>
      </c>
      <c r="AB297" t="str">
        <f>IF(Asistencia!A312="","",Asistencia!A312)</f>
        <v/>
      </c>
      <c r="AC297" t="str">
        <f>IF(Asistencia!A312="","",SUBSTITUTE(SUBSTITUTE(SUBSTITUTE(SUBSTITUTE(SUBSTITUTE(SUBSTITUTE(SUBSTITUTE(UPPER(TRIM(Asistencia!A312)),"Á","A"),"É","E"),"Í","I"),"Ó","O"),"Ú","U"),"Ñ","N"),"  "," "))</f>
        <v/>
      </c>
      <c r="AD297" t="str">
        <f>IF(Asistencia!E312="","",Asistencia!E312)</f>
        <v/>
      </c>
      <c r="AE297" t="str">
        <f>IF(Asistencia!D312="","",UPPER(TRIM(Asistencia!D312)))</f>
        <v/>
      </c>
      <c r="AF297" t="s">
        <v>200</v>
      </c>
      <c r="AG297">
        <f>IF(AND(AA297&lt;&gt;"",COUNTIF($AA$5:AA297,AA297)=1),1,0)</f>
        <v>0</v>
      </c>
      <c r="AH297" t="str">
        <f>IF(AG297=1,SUM($AG$5:AG297),"")</f>
        <v/>
      </c>
      <c r="AI297">
        <f>IF(OR(EXACT(Asistencia!F312,"A"),EXACT(Asistencia!F312,"R"),EXACT(Asistencia!F312,"DL"),EXACT(Asistencia!F312,"FL"),EXACT(Asistencia!F312,"FE"),EXACT(Asistencia!F312,"PCS"),EXACT(Asistencia!F312,"V")),1,0)</f>
        <v>0</v>
      </c>
      <c r="AJ297">
        <f>IF(OR(EXACT(Asistencia!G312,"A"),EXACT(Asistencia!G312,"R"),EXACT(Asistencia!G312,"DL"),EXACT(Asistencia!G312,"FL"),EXACT(Asistencia!G312,"FE"),EXACT(Asistencia!G312,"PCS"),EXACT(Asistencia!G312,"V")),1,0)</f>
        <v>0</v>
      </c>
      <c r="AK297">
        <f>IF(OR(EXACT(Asistencia!H312,"A"),EXACT(Asistencia!H312,"R"),EXACT(Asistencia!H312,"DL"),EXACT(Asistencia!H312,"FL"),EXACT(Asistencia!H312,"FE"),EXACT(Asistencia!H312,"PCS"),EXACT(Asistencia!H312,"V")),1,0)</f>
        <v>0</v>
      </c>
      <c r="AL297">
        <f>IF(OR(EXACT(Asistencia!I312,"A"),EXACT(Asistencia!I312,"R"),EXACT(Asistencia!I312,"DL"),EXACT(Asistencia!I312,"FL"),EXACT(Asistencia!I312,"FE"),EXACT(Asistencia!I312,"PCS"),EXACT(Asistencia!I312,"V")),1,0)</f>
        <v>0</v>
      </c>
      <c r="AM297">
        <f>IF(OR(EXACT(Asistencia!J312,"A"),EXACT(Asistencia!J312,"R"),EXACT(Asistencia!J312,"DL"),EXACT(Asistencia!J312,"FL"),EXACT(Asistencia!J312,"FE"),EXACT(Asistencia!J312,"PCS"),EXACT(Asistencia!J312,"V")),1,0)</f>
        <v>0</v>
      </c>
      <c r="AN297">
        <f>IF(OR(EXACT(Asistencia!K312,"A"),EXACT(Asistencia!K312,"R"),EXACT(Asistencia!K312,"DL"),EXACT(Asistencia!K312,"FL"),EXACT(Asistencia!K312,"FE"),EXACT(Asistencia!K312,"PCS"),EXACT(Asistencia!K312,"V")),1,0)</f>
        <v>0</v>
      </c>
      <c r="AO297">
        <f>IF(OR(EXACT(Asistencia!L312,"A"),EXACT(Asistencia!L312,"R"),EXACT(Asistencia!L312,"DL"),EXACT(Asistencia!L312,"FL"),EXACT(Asistencia!L312,"FE"),EXACT(Asistencia!L312,"PCS"),EXACT(Asistencia!L312,"V")),1,0)</f>
        <v>0</v>
      </c>
      <c r="AP297">
        <f t="shared" si="93"/>
        <v>0</v>
      </c>
      <c r="AQ297">
        <f>IF(EXACT(Asistencia!F312,"FL"),1,0)</f>
        <v>0</v>
      </c>
      <c r="AR297">
        <f>IF(EXACT(Asistencia!G312,"FL"),1,0)</f>
        <v>0</v>
      </c>
      <c r="AS297">
        <f>IF(EXACT(Asistencia!H312,"FL"),1,0)</f>
        <v>0</v>
      </c>
      <c r="AT297">
        <f>IF(EXACT(Asistencia!I312,"FL"),1,0)</f>
        <v>0</v>
      </c>
      <c r="AU297">
        <f>IF(EXACT(Asistencia!J312,"FL"),1,0)</f>
        <v>0</v>
      </c>
      <c r="AV297">
        <f>IF(EXACT(Asistencia!K312,"FL"),1,0)</f>
        <v>0</v>
      </c>
      <c r="AW297">
        <f>IF(EXACT(Asistencia!L312,"FL"),1,0)</f>
        <v>0</v>
      </c>
      <c r="AX297">
        <f t="shared" si="94"/>
        <v>0</v>
      </c>
      <c r="AY297">
        <f>IF(EXACT(Asistencia!F312,"DL"),1,0)</f>
        <v>0</v>
      </c>
      <c r="AZ297">
        <f>IF(EXACT(Asistencia!G312,"DL"),1,0)</f>
        <v>0</v>
      </c>
      <c r="BA297">
        <f>IF(EXACT(Asistencia!H312,"DL"),1,0)</f>
        <v>0</v>
      </c>
      <c r="BB297">
        <f>IF(EXACT(Asistencia!I312,"DL"),1,0)</f>
        <v>0</v>
      </c>
      <c r="BC297">
        <f>IF(EXACT(Asistencia!J312,"DL"),1,0)</f>
        <v>0</v>
      </c>
      <c r="BD297">
        <f>IF(EXACT(Asistencia!K312,"DL"),1,0)</f>
        <v>0</v>
      </c>
      <c r="BE297">
        <f>IF(EXACT(Asistencia!L312,"DL"),1,0)</f>
        <v>0</v>
      </c>
      <c r="BF297">
        <f t="shared" si="95"/>
        <v>0</v>
      </c>
      <c r="BG297">
        <f>IF(ISNUMBER(Asistencia!M312),Asistencia!M312,0)</f>
        <v>0</v>
      </c>
      <c r="BH297">
        <f>IF(ISNUMBER(Asistencia!N312),Asistencia!N312,0)</f>
        <v>0</v>
      </c>
      <c r="BI297">
        <f>IF(ISNUMBER(Asistencia!O312),Asistencia!O312,0)</f>
        <v>0</v>
      </c>
      <c r="BJ297">
        <f>IF(ISNUMBER(Asistencia!P312),Asistencia!P312,0)</f>
        <v>0</v>
      </c>
      <c r="BK297" t="str">
        <f>IF(Asistencia!F312="","",Asistencia!F312)</f>
        <v/>
      </c>
      <c r="BL297" t="str">
        <f>IF(Asistencia!G312="","",Asistencia!G312)</f>
        <v/>
      </c>
      <c r="BM297" t="str">
        <f>IF(Asistencia!H312="","",Asistencia!H312)</f>
        <v/>
      </c>
      <c r="BN297" t="str">
        <f>IF(Asistencia!I312="","",Asistencia!I312)</f>
        <v/>
      </c>
      <c r="BO297" t="str">
        <f>IF(Asistencia!J312="","",Asistencia!J312)</f>
        <v/>
      </c>
      <c r="BP297" t="str">
        <f>IF(Asistencia!K312="","",Asistencia!K312)</f>
        <v/>
      </c>
      <c r="BQ297" t="str">
        <f>IF(Asistencia!L312="","",Asistencia!L312)</f>
        <v/>
      </c>
    </row>
    <row r="298" spans="27:69" x14ac:dyDescent="0.25">
      <c r="AA298" t="str">
        <f t="shared" si="92"/>
        <v/>
      </c>
      <c r="AB298" t="str">
        <f>IF(Asistencia!A313="","",Asistencia!A313)</f>
        <v/>
      </c>
      <c r="AC298" t="str">
        <f>IF(Asistencia!A313="","",SUBSTITUTE(SUBSTITUTE(SUBSTITUTE(SUBSTITUTE(SUBSTITUTE(SUBSTITUTE(SUBSTITUTE(UPPER(TRIM(Asistencia!A313)),"Á","A"),"É","E"),"Í","I"),"Ó","O"),"Ú","U"),"Ñ","N"),"  "," "))</f>
        <v/>
      </c>
      <c r="AD298" t="str">
        <f>IF(Asistencia!E313="","",Asistencia!E313)</f>
        <v/>
      </c>
      <c r="AE298" t="str">
        <f>IF(Asistencia!D313="","",UPPER(TRIM(Asistencia!D313)))</f>
        <v/>
      </c>
      <c r="AF298" t="s">
        <v>200</v>
      </c>
      <c r="AG298">
        <f>IF(AND(AA298&lt;&gt;"",COUNTIF($AA$5:AA298,AA298)=1),1,0)</f>
        <v>0</v>
      </c>
      <c r="AH298" t="str">
        <f>IF(AG298=1,SUM($AG$5:AG298),"")</f>
        <v/>
      </c>
      <c r="AI298">
        <f>IF(OR(EXACT(Asistencia!F313,"A"),EXACT(Asistencia!F313,"R"),EXACT(Asistencia!F313,"DL"),EXACT(Asistencia!F313,"FL"),EXACT(Asistencia!F313,"FE"),EXACT(Asistencia!F313,"PCS"),EXACT(Asistencia!F313,"V")),1,0)</f>
        <v>0</v>
      </c>
      <c r="AJ298">
        <f>IF(OR(EXACT(Asistencia!G313,"A"),EXACT(Asistencia!G313,"R"),EXACT(Asistencia!G313,"DL"),EXACT(Asistencia!G313,"FL"),EXACT(Asistencia!G313,"FE"),EXACT(Asistencia!G313,"PCS"),EXACT(Asistencia!G313,"V")),1,0)</f>
        <v>0</v>
      </c>
      <c r="AK298">
        <f>IF(OR(EXACT(Asistencia!H313,"A"),EXACT(Asistencia!H313,"R"),EXACT(Asistencia!H313,"DL"),EXACT(Asistencia!H313,"FL"),EXACT(Asistencia!H313,"FE"),EXACT(Asistencia!H313,"PCS"),EXACT(Asistencia!H313,"V")),1,0)</f>
        <v>0</v>
      </c>
      <c r="AL298">
        <f>IF(OR(EXACT(Asistencia!I313,"A"),EXACT(Asistencia!I313,"R"),EXACT(Asistencia!I313,"DL"),EXACT(Asistencia!I313,"FL"),EXACT(Asistencia!I313,"FE"),EXACT(Asistencia!I313,"PCS"),EXACT(Asistencia!I313,"V")),1,0)</f>
        <v>0</v>
      </c>
      <c r="AM298">
        <f>IF(OR(EXACT(Asistencia!J313,"A"),EXACT(Asistencia!J313,"R"),EXACT(Asistencia!J313,"DL"),EXACT(Asistencia!J313,"FL"),EXACT(Asistencia!J313,"FE"),EXACT(Asistencia!J313,"PCS"),EXACT(Asistencia!J313,"V")),1,0)</f>
        <v>0</v>
      </c>
      <c r="AN298">
        <f>IF(OR(EXACT(Asistencia!K313,"A"),EXACT(Asistencia!K313,"R"),EXACT(Asistencia!K313,"DL"),EXACT(Asistencia!K313,"FL"),EXACT(Asistencia!K313,"FE"),EXACT(Asistencia!K313,"PCS"),EXACT(Asistencia!K313,"V")),1,0)</f>
        <v>0</v>
      </c>
      <c r="AO298">
        <f>IF(OR(EXACT(Asistencia!L313,"A"),EXACT(Asistencia!L313,"R"),EXACT(Asistencia!L313,"DL"),EXACT(Asistencia!L313,"FL"),EXACT(Asistencia!L313,"FE"),EXACT(Asistencia!L313,"PCS"),EXACT(Asistencia!L313,"V")),1,0)</f>
        <v>0</v>
      </c>
      <c r="AP298">
        <f t="shared" si="93"/>
        <v>0</v>
      </c>
      <c r="AQ298">
        <f>IF(EXACT(Asistencia!F313,"FL"),1,0)</f>
        <v>0</v>
      </c>
      <c r="AR298">
        <f>IF(EXACT(Asistencia!G313,"FL"),1,0)</f>
        <v>0</v>
      </c>
      <c r="AS298">
        <f>IF(EXACT(Asistencia!H313,"FL"),1,0)</f>
        <v>0</v>
      </c>
      <c r="AT298">
        <f>IF(EXACT(Asistencia!I313,"FL"),1,0)</f>
        <v>0</v>
      </c>
      <c r="AU298">
        <f>IF(EXACT(Asistencia!J313,"FL"),1,0)</f>
        <v>0</v>
      </c>
      <c r="AV298">
        <f>IF(EXACT(Asistencia!K313,"FL"),1,0)</f>
        <v>0</v>
      </c>
      <c r="AW298">
        <f>IF(EXACT(Asistencia!L313,"FL"),1,0)</f>
        <v>0</v>
      </c>
      <c r="AX298">
        <f t="shared" si="94"/>
        <v>0</v>
      </c>
      <c r="AY298">
        <f>IF(EXACT(Asistencia!F313,"DL"),1,0)</f>
        <v>0</v>
      </c>
      <c r="AZ298">
        <f>IF(EXACT(Asistencia!G313,"DL"),1,0)</f>
        <v>0</v>
      </c>
      <c r="BA298">
        <f>IF(EXACT(Asistencia!H313,"DL"),1,0)</f>
        <v>0</v>
      </c>
      <c r="BB298">
        <f>IF(EXACT(Asistencia!I313,"DL"),1,0)</f>
        <v>0</v>
      </c>
      <c r="BC298">
        <f>IF(EXACT(Asistencia!J313,"DL"),1,0)</f>
        <v>0</v>
      </c>
      <c r="BD298">
        <f>IF(EXACT(Asistencia!K313,"DL"),1,0)</f>
        <v>0</v>
      </c>
      <c r="BE298">
        <f>IF(EXACT(Asistencia!L313,"DL"),1,0)</f>
        <v>0</v>
      </c>
      <c r="BF298">
        <f t="shared" si="95"/>
        <v>0</v>
      </c>
      <c r="BG298">
        <f>IF(ISNUMBER(Asistencia!M313),Asistencia!M313,0)</f>
        <v>0</v>
      </c>
      <c r="BH298">
        <f>IF(ISNUMBER(Asistencia!N313),Asistencia!N313,0)</f>
        <v>0</v>
      </c>
      <c r="BI298">
        <f>IF(ISNUMBER(Asistencia!O313),Asistencia!O313,0)</f>
        <v>0</v>
      </c>
      <c r="BJ298">
        <f>IF(ISNUMBER(Asistencia!P313),Asistencia!P313,0)</f>
        <v>0</v>
      </c>
      <c r="BK298" t="str">
        <f>IF(Asistencia!F313="","",Asistencia!F313)</f>
        <v/>
      </c>
      <c r="BL298" t="str">
        <f>IF(Asistencia!G313="","",Asistencia!G313)</f>
        <v/>
      </c>
      <c r="BM298" t="str">
        <f>IF(Asistencia!H313="","",Asistencia!H313)</f>
        <v/>
      </c>
      <c r="BN298" t="str">
        <f>IF(Asistencia!I313="","",Asistencia!I313)</f>
        <v/>
      </c>
      <c r="BO298" t="str">
        <f>IF(Asistencia!J313="","",Asistencia!J313)</f>
        <v/>
      </c>
      <c r="BP298" t="str">
        <f>IF(Asistencia!K313="","",Asistencia!K313)</f>
        <v/>
      </c>
      <c r="BQ298" t="str">
        <f>IF(Asistencia!L313="","",Asistencia!L313)</f>
        <v/>
      </c>
    </row>
    <row r="299" spans="27:69" x14ac:dyDescent="0.25">
      <c r="AA299" t="str">
        <f t="shared" si="92"/>
        <v/>
      </c>
      <c r="AB299" t="str">
        <f>IF(Asistencia!A314="","",Asistencia!A314)</f>
        <v/>
      </c>
      <c r="AC299" t="str">
        <f>IF(Asistencia!A314="","",SUBSTITUTE(SUBSTITUTE(SUBSTITUTE(SUBSTITUTE(SUBSTITUTE(SUBSTITUTE(SUBSTITUTE(UPPER(TRIM(Asistencia!A314)),"Á","A"),"É","E"),"Í","I"),"Ó","O"),"Ú","U"),"Ñ","N"),"  "," "))</f>
        <v/>
      </c>
      <c r="AD299" t="str">
        <f>IF(Asistencia!E314="","",Asistencia!E314)</f>
        <v/>
      </c>
      <c r="AE299" t="str">
        <f>IF(Asistencia!D314="","",UPPER(TRIM(Asistencia!D314)))</f>
        <v/>
      </c>
      <c r="AF299" t="s">
        <v>200</v>
      </c>
      <c r="AG299">
        <f>IF(AND(AA299&lt;&gt;"",COUNTIF($AA$5:AA299,AA299)=1),1,0)</f>
        <v>0</v>
      </c>
      <c r="AH299" t="str">
        <f>IF(AG299=1,SUM($AG$5:AG299),"")</f>
        <v/>
      </c>
      <c r="AI299">
        <f>IF(OR(EXACT(Asistencia!F314,"A"),EXACT(Asistencia!F314,"R"),EXACT(Asistencia!F314,"DL"),EXACT(Asistencia!F314,"FL"),EXACT(Asistencia!F314,"FE"),EXACT(Asistencia!F314,"PCS"),EXACT(Asistencia!F314,"V")),1,0)</f>
        <v>0</v>
      </c>
      <c r="AJ299">
        <f>IF(OR(EXACT(Asistencia!G314,"A"),EXACT(Asistencia!G314,"R"),EXACT(Asistencia!G314,"DL"),EXACT(Asistencia!G314,"FL"),EXACT(Asistencia!G314,"FE"),EXACT(Asistencia!G314,"PCS"),EXACT(Asistencia!G314,"V")),1,0)</f>
        <v>0</v>
      </c>
      <c r="AK299">
        <f>IF(OR(EXACT(Asistencia!H314,"A"),EXACT(Asistencia!H314,"R"),EXACT(Asistencia!H314,"DL"),EXACT(Asistencia!H314,"FL"),EXACT(Asistencia!H314,"FE"),EXACT(Asistencia!H314,"PCS"),EXACT(Asistencia!H314,"V")),1,0)</f>
        <v>0</v>
      </c>
      <c r="AL299">
        <f>IF(OR(EXACT(Asistencia!I314,"A"),EXACT(Asistencia!I314,"R"),EXACT(Asistencia!I314,"DL"),EXACT(Asistencia!I314,"FL"),EXACT(Asistencia!I314,"FE"),EXACT(Asistencia!I314,"PCS"),EXACT(Asistencia!I314,"V")),1,0)</f>
        <v>0</v>
      </c>
      <c r="AM299">
        <f>IF(OR(EXACT(Asistencia!J314,"A"),EXACT(Asistencia!J314,"R"),EXACT(Asistencia!J314,"DL"),EXACT(Asistencia!J314,"FL"),EXACT(Asistencia!J314,"FE"),EXACT(Asistencia!J314,"PCS"),EXACT(Asistencia!J314,"V")),1,0)</f>
        <v>0</v>
      </c>
      <c r="AN299">
        <f>IF(OR(EXACT(Asistencia!K314,"A"),EXACT(Asistencia!K314,"R"),EXACT(Asistencia!K314,"DL"),EXACT(Asistencia!K314,"FL"),EXACT(Asistencia!K314,"FE"),EXACT(Asistencia!K314,"PCS"),EXACT(Asistencia!K314,"V")),1,0)</f>
        <v>0</v>
      </c>
      <c r="AO299">
        <f>IF(OR(EXACT(Asistencia!L314,"A"),EXACT(Asistencia!L314,"R"),EXACT(Asistencia!L314,"DL"),EXACT(Asistencia!L314,"FL"),EXACT(Asistencia!L314,"FE"),EXACT(Asistencia!L314,"PCS"),EXACT(Asistencia!L314,"V")),1,0)</f>
        <v>0</v>
      </c>
      <c r="AP299">
        <f t="shared" si="93"/>
        <v>0</v>
      </c>
      <c r="AQ299">
        <f>IF(EXACT(Asistencia!F314,"FL"),1,0)</f>
        <v>0</v>
      </c>
      <c r="AR299">
        <f>IF(EXACT(Asistencia!G314,"FL"),1,0)</f>
        <v>0</v>
      </c>
      <c r="AS299">
        <f>IF(EXACT(Asistencia!H314,"FL"),1,0)</f>
        <v>0</v>
      </c>
      <c r="AT299">
        <f>IF(EXACT(Asistencia!I314,"FL"),1,0)</f>
        <v>0</v>
      </c>
      <c r="AU299">
        <f>IF(EXACT(Asistencia!J314,"FL"),1,0)</f>
        <v>0</v>
      </c>
      <c r="AV299">
        <f>IF(EXACT(Asistencia!K314,"FL"),1,0)</f>
        <v>0</v>
      </c>
      <c r="AW299">
        <f>IF(EXACT(Asistencia!L314,"FL"),1,0)</f>
        <v>0</v>
      </c>
      <c r="AX299">
        <f t="shared" si="94"/>
        <v>0</v>
      </c>
      <c r="AY299">
        <f>IF(EXACT(Asistencia!F314,"DL"),1,0)</f>
        <v>0</v>
      </c>
      <c r="AZ299">
        <f>IF(EXACT(Asistencia!G314,"DL"),1,0)</f>
        <v>0</v>
      </c>
      <c r="BA299">
        <f>IF(EXACT(Asistencia!H314,"DL"),1,0)</f>
        <v>0</v>
      </c>
      <c r="BB299">
        <f>IF(EXACT(Asistencia!I314,"DL"),1,0)</f>
        <v>0</v>
      </c>
      <c r="BC299">
        <f>IF(EXACT(Asistencia!J314,"DL"),1,0)</f>
        <v>0</v>
      </c>
      <c r="BD299">
        <f>IF(EXACT(Asistencia!K314,"DL"),1,0)</f>
        <v>0</v>
      </c>
      <c r="BE299">
        <f>IF(EXACT(Asistencia!L314,"DL"),1,0)</f>
        <v>0</v>
      </c>
      <c r="BF299">
        <f t="shared" si="95"/>
        <v>0</v>
      </c>
      <c r="BG299">
        <f>IF(ISNUMBER(Asistencia!M314),Asistencia!M314,0)</f>
        <v>0</v>
      </c>
      <c r="BH299">
        <f>IF(ISNUMBER(Asistencia!N314),Asistencia!N314,0)</f>
        <v>0</v>
      </c>
      <c r="BI299">
        <f>IF(ISNUMBER(Asistencia!O314),Asistencia!O314,0)</f>
        <v>0</v>
      </c>
      <c r="BJ299">
        <f>IF(ISNUMBER(Asistencia!P314),Asistencia!P314,0)</f>
        <v>0</v>
      </c>
      <c r="BK299" t="str">
        <f>IF(Asistencia!F314="","",Asistencia!F314)</f>
        <v/>
      </c>
      <c r="BL299" t="str">
        <f>IF(Asistencia!G314="","",Asistencia!G314)</f>
        <v/>
      </c>
      <c r="BM299" t="str">
        <f>IF(Asistencia!H314="","",Asistencia!H314)</f>
        <v/>
      </c>
      <c r="BN299" t="str">
        <f>IF(Asistencia!I314="","",Asistencia!I314)</f>
        <v/>
      </c>
      <c r="BO299" t="str">
        <f>IF(Asistencia!J314="","",Asistencia!J314)</f>
        <v/>
      </c>
      <c r="BP299" t="str">
        <f>IF(Asistencia!K314="","",Asistencia!K314)</f>
        <v/>
      </c>
      <c r="BQ299" t="str">
        <f>IF(Asistencia!L314="","",Asistencia!L314)</f>
        <v/>
      </c>
    </row>
    <row r="300" spans="27:69" x14ac:dyDescent="0.25">
      <c r="AA300" t="str">
        <f t="shared" si="92"/>
        <v/>
      </c>
      <c r="AB300" t="str">
        <f>IF(Asistencia!A315="","",Asistencia!A315)</f>
        <v/>
      </c>
      <c r="AC300" t="str">
        <f>IF(Asistencia!A315="","",SUBSTITUTE(SUBSTITUTE(SUBSTITUTE(SUBSTITUTE(SUBSTITUTE(SUBSTITUTE(SUBSTITUTE(UPPER(TRIM(Asistencia!A315)),"Á","A"),"É","E"),"Í","I"),"Ó","O"),"Ú","U"),"Ñ","N"),"  "," "))</f>
        <v/>
      </c>
      <c r="AD300" t="str">
        <f>IF(Asistencia!E315="","",Asistencia!E315)</f>
        <v/>
      </c>
      <c r="AE300" t="str">
        <f>IF(Asistencia!D315="","",UPPER(TRIM(Asistencia!D315)))</f>
        <v/>
      </c>
      <c r="AF300" t="s">
        <v>200</v>
      </c>
      <c r="AG300">
        <f>IF(AND(AA300&lt;&gt;"",COUNTIF($AA$5:AA300,AA300)=1),1,0)</f>
        <v>0</v>
      </c>
      <c r="AH300" t="str">
        <f>IF(AG300=1,SUM($AG$5:AG300),"")</f>
        <v/>
      </c>
      <c r="AI300">
        <f>IF(OR(EXACT(Asistencia!F315,"A"),EXACT(Asistencia!F315,"R"),EXACT(Asistencia!F315,"DL"),EXACT(Asistencia!F315,"FL"),EXACT(Asistencia!F315,"FE"),EXACT(Asistencia!F315,"PCS"),EXACT(Asistencia!F315,"V")),1,0)</f>
        <v>0</v>
      </c>
      <c r="AJ300">
        <f>IF(OR(EXACT(Asistencia!G315,"A"),EXACT(Asistencia!G315,"R"),EXACT(Asistencia!G315,"DL"),EXACT(Asistencia!G315,"FL"),EXACT(Asistencia!G315,"FE"),EXACT(Asistencia!G315,"PCS"),EXACT(Asistencia!G315,"V")),1,0)</f>
        <v>0</v>
      </c>
      <c r="AK300">
        <f>IF(OR(EXACT(Asistencia!H315,"A"),EXACT(Asistencia!H315,"R"),EXACT(Asistencia!H315,"DL"),EXACT(Asistencia!H315,"FL"),EXACT(Asistencia!H315,"FE"),EXACT(Asistencia!H315,"PCS"),EXACT(Asistencia!H315,"V")),1,0)</f>
        <v>0</v>
      </c>
      <c r="AL300">
        <f>IF(OR(EXACT(Asistencia!I315,"A"),EXACT(Asistencia!I315,"R"),EXACT(Asistencia!I315,"DL"),EXACT(Asistencia!I315,"FL"),EXACT(Asistencia!I315,"FE"),EXACT(Asistencia!I315,"PCS"),EXACT(Asistencia!I315,"V")),1,0)</f>
        <v>0</v>
      </c>
      <c r="AM300">
        <f>IF(OR(EXACT(Asistencia!J315,"A"),EXACT(Asistencia!J315,"R"),EXACT(Asistencia!J315,"DL"),EXACT(Asistencia!J315,"FL"),EXACT(Asistencia!J315,"FE"),EXACT(Asistencia!J315,"PCS"),EXACT(Asistencia!J315,"V")),1,0)</f>
        <v>0</v>
      </c>
      <c r="AN300">
        <f>IF(OR(EXACT(Asistencia!K315,"A"),EXACT(Asistencia!K315,"R"),EXACT(Asistencia!K315,"DL"),EXACT(Asistencia!K315,"FL"),EXACT(Asistencia!K315,"FE"),EXACT(Asistencia!K315,"PCS"),EXACT(Asistencia!K315,"V")),1,0)</f>
        <v>0</v>
      </c>
      <c r="AO300">
        <f>IF(OR(EXACT(Asistencia!L315,"A"),EXACT(Asistencia!L315,"R"),EXACT(Asistencia!L315,"DL"),EXACT(Asistencia!L315,"FL"),EXACT(Asistencia!L315,"FE"),EXACT(Asistencia!L315,"PCS"),EXACT(Asistencia!L315,"V")),1,0)</f>
        <v>0</v>
      </c>
      <c r="AP300">
        <f t="shared" si="93"/>
        <v>0</v>
      </c>
      <c r="AQ300">
        <f>IF(EXACT(Asistencia!F315,"FL"),1,0)</f>
        <v>0</v>
      </c>
      <c r="AR300">
        <f>IF(EXACT(Asistencia!G315,"FL"),1,0)</f>
        <v>0</v>
      </c>
      <c r="AS300">
        <f>IF(EXACT(Asistencia!H315,"FL"),1,0)</f>
        <v>0</v>
      </c>
      <c r="AT300">
        <f>IF(EXACT(Asistencia!I315,"FL"),1,0)</f>
        <v>0</v>
      </c>
      <c r="AU300">
        <f>IF(EXACT(Asistencia!J315,"FL"),1,0)</f>
        <v>0</v>
      </c>
      <c r="AV300">
        <f>IF(EXACT(Asistencia!K315,"FL"),1,0)</f>
        <v>0</v>
      </c>
      <c r="AW300">
        <f>IF(EXACT(Asistencia!L315,"FL"),1,0)</f>
        <v>0</v>
      </c>
      <c r="AX300">
        <f t="shared" si="94"/>
        <v>0</v>
      </c>
      <c r="AY300">
        <f>IF(EXACT(Asistencia!F315,"DL"),1,0)</f>
        <v>0</v>
      </c>
      <c r="AZ300">
        <f>IF(EXACT(Asistencia!G315,"DL"),1,0)</f>
        <v>0</v>
      </c>
      <c r="BA300">
        <f>IF(EXACT(Asistencia!H315,"DL"),1,0)</f>
        <v>0</v>
      </c>
      <c r="BB300">
        <f>IF(EXACT(Asistencia!I315,"DL"),1,0)</f>
        <v>0</v>
      </c>
      <c r="BC300">
        <f>IF(EXACT(Asistencia!J315,"DL"),1,0)</f>
        <v>0</v>
      </c>
      <c r="BD300">
        <f>IF(EXACT(Asistencia!K315,"DL"),1,0)</f>
        <v>0</v>
      </c>
      <c r="BE300">
        <f>IF(EXACT(Asistencia!L315,"DL"),1,0)</f>
        <v>0</v>
      </c>
      <c r="BF300">
        <f t="shared" si="95"/>
        <v>0</v>
      </c>
      <c r="BG300">
        <f>IF(ISNUMBER(Asistencia!M315),Asistencia!M315,0)</f>
        <v>0</v>
      </c>
      <c r="BH300">
        <f>IF(ISNUMBER(Asistencia!N315),Asistencia!N315,0)</f>
        <v>0</v>
      </c>
      <c r="BI300">
        <f>IF(ISNUMBER(Asistencia!O315),Asistencia!O315,0)</f>
        <v>0</v>
      </c>
      <c r="BJ300">
        <f>IF(ISNUMBER(Asistencia!P315),Asistencia!P315,0)</f>
        <v>0</v>
      </c>
      <c r="BK300" t="str">
        <f>IF(Asistencia!F315="","",Asistencia!F315)</f>
        <v/>
      </c>
      <c r="BL300" t="str">
        <f>IF(Asistencia!G315="","",Asistencia!G315)</f>
        <v/>
      </c>
      <c r="BM300" t="str">
        <f>IF(Asistencia!H315="","",Asistencia!H315)</f>
        <v/>
      </c>
      <c r="BN300" t="str">
        <f>IF(Asistencia!I315="","",Asistencia!I315)</f>
        <v/>
      </c>
      <c r="BO300" t="str">
        <f>IF(Asistencia!J315="","",Asistencia!J315)</f>
        <v/>
      </c>
      <c r="BP300" t="str">
        <f>IF(Asistencia!K315="","",Asistencia!K315)</f>
        <v/>
      </c>
      <c r="BQ300" t="str">
        <f>IF(Asistencia!L315="","",Asistencia!L315)</f>
        <v/>
      </c>
    </row>
    <row r="301" spans="27:69" x14ac:dyDescent="0.25">
      <c r="AA301" t="str">
        <f t="shared" si="92"/>
        <v/>
      </c>
      <c r="AB301" t="str">
        <f>IF(Asistencia!A316="","",Asistencia!A316)</f>
        <v/>
      </c>
      <c r="AC301" t="str">
        <f>IF(Asistencia!A316="","",SUBSTITUTE(SUBSTITUTE(SUBSTITUTE(SUBSTITUTE(SUBSTITUTE(SUBSTITUTE(SUBSTITUTE(UPPER(TRIM(Asistencia!A316)),"Á","A"),"É","E"),"Í","I"),"Ó","O"),"Ú","U"),"Ñ","N"),"  "," "))</f>
        <v/>
      </c>
      <c r="AD301" t="str">
        <f>IF(Asistencia!E316="","",Asistencia!E316)</f>
        <v/>
      </c>
      <c r="AE301" t="str">
        <f>IF(Asistencia!D316="","",UPPER(TRIM(Asistencia!D316)))</f>
        <v/>
      </c>
      <c r="AF301" t="s">
        <v>200</v>
      </c>
      <c r="AG301">
        <f>IF(AND(AA301&lt;&gt;"",COUNTIF($AA$5:AA301,AA301)=1),1,0)</f>
        <v>0</v>
      </c>
      <c r="AH301" t="str">
        <f>IF(AG301=1,SUM($AG$5:AG301),"")</f>
        <v/>
      </c>
      <c r="AI301">
        <f>IF(OR(EXACT(Asistencia!F316,"A"),EXACT(Asistencia!F316,"R"),EXACT(Asistencia!F316,"DL"),EXACT(Asistencia!F316,"FL"),EXACT(Asistencia!F316,"FE"),EXACT(Asistencia!F316,"PCS"),EXACT(Asistencia!F316,"V")),1,0)</f>
        <v>0</v>
      </c>
      <c r="AJ301">
        <f>IF(OR(EXACT(Asistencia!G316,"A"),EXACT(Asistencia!G316,"R"),EXACT(Asistencia!G316,"DL"),EXACT(Asistencia!G316,"FL"),EXACT(Asistencia!G316,"FE"),EXACT(Asistencia!G316,"PCS"),EXACT(Asistencia!G316,"V")),1,0)</f>
        <v>0</v>
      </c>
      <c r="AK301">
        <f>IF(OR(EXACT(Asistencia!H316,"A"),EXACT(Asistencia!H316,"R"),EXACT(Asistencia!H316,"DL"),EXACT(Asistencia!H316,"FL"),EXACT(Asistencia!H316,"FE"),EXACT(Asistencia!H316,"PCS"),EXACT(Asistencia!H316,"V")),1,0)</f>
        <v>0</v>
      </c>
      <c r="AL301">
        <f>IF(OR(EXACT(Asistencia!I316,"A"),EXACT(Asistencia!I316,"R"),EXACT(Asistencia!I316,"DL"),EXACT(Asistencia!I316,"FL"),EXACT(Asistencia!I316,"FE"),EXACT(Asistencia!I316,"PCS"),EXACT(Asistencia!I316,"V")),1,0)</f>
        <v>0</v>
      </c>
      <c r="AM301">
        <f>IF(OR(EXACT(Asistencia!J316,"A"),EXACT(Asistencia!J316,"R"),EXACT(Asistencia!J316,"DL"),EXACT(Asistencia!J316,"FL"),EXACT(Asistencia!J316,"FE"),EXACT(Asistencia!J316,"PCS"),EXACT(Asistencia!J316,"V")),1,0)</f>
        <v>0</v>
      </c>
      <c r="AN301">
        <f>IF(OR(EXACT(Asistencia!K316,"A"),EXACT(Asistencia!K316,"R"),EXACT(Asistencia!K316,"DL"),EXACT(Asistencia!K316,"FL"),EXACT(Asistencia!K316,"FE"),EXACT(Asistencia!K316,"PCS"),EXACT(Asistencia!K316,"V")),1,0)</f>
        <v>0</v>
      </c>
      <c r="AO301">
        <f>IF(OR(EXACT(Asistencia!L316,"A"),EXACT(Asistencia!L316,"R"),EXACT(Asistencia!L316,"DL"),EXACT(Asistencia!L316,"FL"),EXACT(Asistencia!L316,"FE"),EXACT(Asistencia!L316,"PCS"),EXACT(Asistencia!L316,"V")),1,0)</f>
        <v>0</v>
      </c>
      <c r="AP301">
        <f t="shared" si="93"/>
        <v>0</v>
      </c>
      <c r="AQ301">
        <f>IF(EXACT(Asistencia!F316,"FL"),1,0)</f>
        <v>0</v>
      </c>
      <c r="AR301">
        <f>IF(EXACT(Asistencia!G316,"FL"),1,0)</f>
        <v>0</v>
      </c>
      <c r="AS301">
        <f>IF(EXACT(Asistencia!H316,"FL"),1,0)</f>
        <v>0</v>
      </c>
      <c r="AT301">
        <f>IF(EXACT(Asistencia!I316,"FL"),1,0)</f>
        <v>0</v>
      </c>
      <c r="AU301">
        <f>IF(EXACT(Asistencia!J316,"FL"),1,0)</f>
        <v>0</v>
      </c>
      <c r="AV301">
        <f>IF(EXACT(Asistencia!K316,"FL"),1,0)</f>
        <v>0</v>
      </c>
      <c r="AW301">
        <f>IF(EXACT(Asistencia!L316,"FL"),1,0)</f>
        <v>0</v>
      </c>
      <c r="AX301">
        <f t="shared" si="94"/>
        <v>0</v>
      </c>
      <c r="AY301">
        <f>IF(EXACT(Asistencia!F316,"DL"),1,0)</f>
        <v>0</v>
      </c>
      <c r="AZ301">
        <f>IF(EXACT(Asistencia!G316,"DL"),1,0)</f>
        <v>0</v>
      </c>
      <c r="BA301">
        <f>IF(EXACT(Asistencia!H316,"DL"),1,0)</f>
        <v>0</v>
      </c>
      <c r="BB301">
        <f>IF(EXACT(Asistencia!I316,"DL"),1,0)</f>
        <v>0</v>
      </c>
      <c r="BC301">
        <f>IF(EXACT(Asistencia!J316,"DL"),1,0)</f>
        <v>0</v>
      </c>
      <c r="BD301">
        <f>IF(EXACT(Asistencia!K316,"DL"),1,0)</f>
        <v>0</v>
      </c>
      <c r="BE301">
        <f>IF(EXACT(Asistencia!L316,"DL"),1,0)</f>
        <v>0</v>
      </c>
      <c r="BF301">
        <f t="shared" si="95"/>
        <v>0</v>
      </c>
      <c r="BG301">
        <f>IF(ISNUMBER(Asistencia!M316),Asistencia!M316,0)</f>
        <v>0</v>
      </c>
      <c r="BH301">
        <f>IF(ISNUMBER(Asistencia!N316),Asistencia!N316,0)</f>
        <v>0</v>
      </c>
      <c r="BI301">
        <f>IF(ISNUMBER(Asistencia!O316),Asistencia!O316,0)</f>
        <v>0</v>
      </c>
      <c r="BJ301">
        <f>IF(ISNUMBER(Asistencia!P316),Asistencia!P316,0)</f>
        <v>0</v>
      </c>
      <c r="BK301" t="str">
        <f>IF(Asistencia!F316="","",Asistencia!F316)</f>
        <v/>
      </c>
      <c r="BL301" t="str">
        <f>IF(Asistencia!G316="","",Asistencia!G316)</f>
        <v/>
      </c>
      <c r="BM301" t="str">
        <f>IF(Asistencia!H316="","",Asistencia!H316)</f>
        <v/>
      </c>
      <c r="BN301" t="str">
        <f>IF(Asistencia!I316="","",Asistencia!I316)</f>
        <v/>
      </c>
      <c r="BO301" t="str">
        <f>IF(Asistencia!J316="","",Asistencia!J316)</f>
        <v/>
      </c>
      <c r="BP301" t="str">
        <f>IF(Asistencia!K316="","",Asistencia!K316)</f>
        <v/>
      </c>
      <c r="BQ301" t="str">
        <f>IF(Asistencia!L316="","",Asistencia!L316)</f>
        <v/>
      </c>
    </row>
    <row r="302" spans="27:69" x14ac:dyDescent="0.25">
      <c r="AA302" t="str">
        <f t="shared" si="92"/>
        <v/>
      </c>
      <c r="AB302" t="str">
        <f>IF(Asistencia!A317="","",Asistencia!A317)</f>
        <v/>
      </c>
      <c r="AC302" t="str">
        <f>IF(Asistencia!A317="","",SUBSTITUTE(SUBSTITUTE(SUBSTITUTE(SUBSTITUTE(SUBSTITUTE(SUBSTITUTE(SUBSTITUTE(UPPER(TRIM(Asistencia!A317)),"Á","A"),"É","E"),"Í","I"),"Ó","O"),"Ú","U"),"Ñ","N"),"  "," "))</f>
        <v/>
      </c>
      <c r="AD302" t="str">
        <f>IF(Asistencia!E317="","",Asistencia!E317)</f>
        <v/>
      </c>
      <c r="AE302" t="str">
        <f>IF(Asistencia!D317="","",UPPER(TRIM(Asistencia!D317)))</f>
        <v/>
      </c>
      <c r="AF302" t="s">
        <v>200</v>
      </c>
      <c r="AG302">
        <f>IF(AND(AA302&lt;&gt;"",COUNTIF($AA$5:AA302,AA302)=1),1,0)</f>
        <v>0</v>
      </c>
      <c r="AH302" t="str">
        <f>IF(AG302=1,SUM($AG$5:AG302),"")</f>
        <v/>
      </c>
      <c r="AI302">
        <f>IF(OR(EXACT(Asistencia!F317,"A"),EXACT(Asistencia!F317,"R"),EXACT(Asistencia!F317,"DL"),EXACT(Asistencia!F317,"FL"),EXACT(Asistencia!F317,"FE"),EXACT(Asistencia!F317,"PCS"),EXACT(Asistencia!F317,"V")),1,0)</f>
        <v>0</v>
      </c>
      <c r="AJ302">
        <f>IF(OR(EXACT(Asistencia!G317,"A"),EXACT(Asistencia!G317,"R"),EXACT(Asistencia!G317,"DL"),EXACT(Asistencia!G317,"FL"),EXACT(Asistencia!G317,"FE"),EXACT(Asistencia!G317,"PCS"),EXACT(Asistencia!G317,"V")),1,0)</f>
        <v>0</v>
      </c>
      <c r="AK302">
        <f>IF(OR(EXACT(Asistencia!H317,"A"),EXACT(Asistencia!H317,"R"),EXACT(Asistencia!H317,"DL"),EXACT(Asistencia!H317,"FL"),EXACT(Asistencia!H317,"FE"),EXACT(Asistencia!H317,"PCS"),EXACT(Asistencia!H317,"V")),1,0)</f>
        <v>0</v>
      </c>
      <c r="AL302">
        <f>IF(OR(EXACT(Asistencia!I317,"A"),EXACT(Asistencia!I317,"R"),EXACT(Asistencia!I317,"DL"),EXACT(Asistencia!I317,"FL"),EXACT(Asistencia!I317,"FE"),EXACT(Asistencia!I317,"PCS"),EXACT(Asistencia!I317,"V")),1,0)</f>
        <v>0</v>
      </c>
      <c r="AM302">
        <f>IF(OR(EXACT(Asistencia!J317,"A"),EXACT(Asistencia!J317,"R"),EXACT(Asistencia!J317,"DL"),EXACT(Asistencia!J317,"FL"),EXACT(Asistencia!J317,"FE"),EXACT(Asistencia!J317,"PCS"),EXACT(Asistencia!J317,"V")),1,0)</f>
        <v>0</v>
      </c>
      <c r="AN302">
        <f>IF(OR(EXACT(Asistencia!K317,"A"),EXACT(Asistencia!K317,"R"),EXACT(Asistencia!K317,"DL"),EXACT(Asistencia!K317,"FL"),EXACT(Asistencia!K317,"FE"),EXACT(Asistencia!K317,"PCS"),EXACT(Asistencia!K317,"V")),1,0)</f>
        <v>0</v>
      </c>
      <c r="AO302">
        <f>IF(OR(EXACT(Asistencia!L317,"A"),EXACT(Asistencia!L317,"R"),EXACT(Asistencia!L317,"DL"),EXACT(Asistencia!L317,"FL"),EXACT(Asistencia!L317,"FE"),EXACT(Asistencia!L317,"PCS"),EXACT(Asistencia!L317,"V")),1,0)</f>
        <v>0</v>
      </c>
      <c r="AP302">
        <f t="shared" si="93"/>
        <v>0</v>
      </c>
      <c r="AQ302">
        <f>IF(EXACT(Asistencia!F317,"FL"),1,0)</f>
        <v>0</v>
      </c>
      <c r="AR302">
        <f>IF(EXACT(Asistencia!G317,"FL"),1,0)</f>
        <v>0</v>
      </c>
      <c r="AS302">
        <f>IF(EXACT(Asistencia!H317,"FL"),1,0)</f>
        <v>0</v>
      </c>
      <c r="AT302">
        <f>IF(EXACT(Asistencia!I317,"FL"),1,0)</f>
        <v>0</v>
      </c>
      <c r="AU302">
        <f>IF(EXACT(Asistencia!J317,"FL"),1,0)</f>
        <v>0</v>
      </c>
      <c r="AV302">
        <f>IF(EXACT(Asistencia!K317,"FL"),1,0)</f>
        <v>0</v>
      </c>
      <c r="AW302">
        <f>IF(EXACT(Asistencia!L317,"FL"),1,0)</f>
        <v>0</v>
      </c>
      <c r="AX302">
        <f t="shared" si="94"/>
        <v>0</v>
      </c>
      <c r="AY302">
        <f>IF(EXACT(Asistencia!F317,"DL"),1,0)</f>
        <v>0</v>
      </c>
      <c r="AZ302">
        <f>IF(EXACT(Asistencia!G317,"DL"),1,0)</f>
        <v>0</v>
      </c>
      <c r="BA302">
        <f>IF(EXACT(Asistencia!H317,"DL"),1,0)</f>
        <v>0</v>
      </c>
      <c r="BB302">
        <f>IF(EXACT(Asistencia!I317,"DL"),1,0)</f>
        <v>0</v>
      </c>
      <c r="BC302">
        <f>IF(EXACT(Asistencia!J317,"DL"),1,0)</f>
        <v>0</v>
      </c>
      <c r="BD302">
        <f>IF(EXACT(Asistencia!K317,"DL"),1,0)</f>
        <v>0</v>
      </c>
      <c r="BE302">
        <f>IF(EXACT(Asistencia!L317,"DL"),1,0)</f>
        <v>0</v>
      </c>
      <c r="BF302">
        <f t="shared" si="95"/>
        <v>0</v>
      </c>
      <c r="BG302">
        <f>IF(ISNUMBER(Asistencia!M317),Asistencia!M317,0)</f>
        <v>0</v>
      </c>
      <c r="BH302">
        <f>IF(ISNUMBER(Asistencia!N317),Asistencia!N317,0)</f>
        <v>0</v>
      </c>
      <c r="BI302">
        <f>IF(ISNUMBER(Asistencia!O317),Asistencia!O317,0)</f>
        <v>0</v>
      </c>
      <c r="BJ302">
        <f>IF(ISNUMBER(Asistencia!P317),Asistencia!P317,0)</f>
        <v>0</v>
      </c>
      <c r="BK302" t="str">
        <f>IF(Asistencia!F317="","",Asistencia!F317)</f>
        <v/>
      </c>
      <c r="BL302" t="str">
        <f>IF(Asistencia!G317="","",Asistencia!G317)</f>
        <v/>
      </c>
      <c r="BM302" t="str">
        <f>IF(Asistencia!H317="","",Asistencia!H317)</f>
        <v/>
      </c>
      <c r="BN302" t="str">
        <f>IF(Asistencia!I317="","",Asistencia!I317)</f>
        <v/>
      </c>
      <c r="BO302" t="str">
        <f>IF(Asistencia!J317="","",Asistencia!J317)</f>
        <v/>
      </c>
      <c r="BP302" t="str">
        <f>IF(Asistencia!K317="","",Asistencia!K317)</f>
        <v/>
      </c>
      <c r="BQ302" t="str">
        <f>IF(Asistencia!L317="","",Asistencia!L317)</f>
        <v/>
      </c>
    </row>
    <row r="303" spans="27:69" x14ac:dyDescent="0.25">
      <c r="AA303" t="str">
        <f t="shared" si="92"/>
        <v/>
      </c>
      <c r="AB303" t="str">
        <f>IF(Asistencia!A318="","",Asistencia!A318)</f>
        <v/>
      </c>
      <c r="AC303" t="str">
        <f>IF(Asistencia!A318="","",SUBSTITUTE(SUBSTITUTE(SUBSTITUTE(SUBSTITUTE(SUBSTITUTE(SUBSTITUTE(SUBSTITUTE(UPPER(TRIM(Asistencia!A318)),"Á","A"),"É","E"),"Í","I"),"Ó","O"),"Ú","U"),"Ñ","N"),"  "," "))</f>
        <v/>
      </c>
      <c r="AD303" t="str">
        <f>IF(Asistencia!E318="","",Asistencia!E318)</f>
        <v/>
      </c>
      <c r="AE303" t="str">
        <f>IF(Asistencia!D318="","",UPPER(TRIM(Asistencia!D318)))</f>
        <v/>
      </c>
      <c r="AF303" t="s">
        <v>200</v>
      </c>
      <c r="AG303">
        <f>IF(AND(AA303&lt;&gt;"",COUNTIF($AA$5:AA303,AA303)=1),1,0)</f>
        <v>0</v>
      </c>
      <c r="AH303" t="str">
        <f>IF(AG303=1,SUM($AG$5:AG303),"")</f>
        <v/>
      </c>
      <c r="AI303">
        <f>IF(OR(EXACT(Asistencia!F318,"A"),EXACT(Asistencia!F318,"R"),EXACT(Asistencia!F318,"DL"),EXACT(Asistencia!F318,"FL"),EXACT(Asistencia!F318,"FE"),EXACT(Asistencia!F318,"PCS"),EXACT(Asistencia!F318,"V")),1,0)</f>
        <v>0</v>
      </c>
      <c r="AJ303">
        <f>IF(OR(EXACT(Asistencia!G318,"A"),EXACT(Asistencia!G318,"R"),EXACT(Asistencia!G318,"DL"),EXACT(Asistencia!G318,"FL"),EXACT(Asistencia!G318,"FE"),EXACT(Asistencia!G318,"PCS"),EXACT(Asistencia!G318,"V")),1,0)</f>
        <v>0</v>
      </c>
      <c r="AK303">
        <f>IF(OR(EXACT(Asistencia!H318,"A"),EXACT(Asistencia!H318,"R"),EXACT(Asistencia!H318,"DL"),EXACT(Asistencia!H318,"FL"),EXACT(Asistencia!H318,"FE"),EXACT(Asistencia!H318,"PCS"),EXACT(Asistencia!H318,"V")),1,0)</f>
        <v>0</v>
      </c>
      <c r="AL303">
        <f>IF(OR(EXACT(Asistencia!I318,"A"),EXACT(Asistencia!I318,"R"),EXACT(Asistencia!I318,"DL"),EXACT(Asistencia!I318,"FL"),EXACT(Asistencia!I318,"FE"),EXACT(Asistencia!I318,"PCS"),EXACT(Asistencia!I318,"V")),1,0)</f>
        <v>0</v>
      </c>
      <c r="AM303">
        <f>IF(OR(EXACT(Asistencia!J318,"A"),EXACT(Asistencia!J318,"R"),EXACT(Asistencia!J318,"DL"),EXACT(Asistencia!J318,"FL"),EXACT(Asistencia!J318,"FE"),EXACT(Asistencia!J318,"PCS"),EXACT(Asistencia!J318,"V")),1,0)</f>
        <v>0</v>
      </c>
      <c r="AN303">
        <f>IF(OR(EXACT(Asistencia!K318,"A"),EXACT(Asistencia!K318,"R"),EXACT(Asistencia!K318,"DL"),EXACT(Asistencia!K318,"FL"),EXACT(Asistencia!K318,"FE"),EXACT(Asistencia!K318,"PCS"),EXACT(Asistencia!K318,"V")),1,0)</f>
        <v>0</v>
      </c>
      <c r="AO303">
        <f>IF(OR(EXACT(Asistencia!L318,"A"),EXACT(Asistencia!L318,"R"),EXACT(Asistencia!L318,"DL"),EXACT(Asistencia!L318,"FL"),EXACT(Asistencia!L318,"FE"),EXACT(Asistencia!L318,"PCS"),EXACT(Asistencia!L318,"V")),1,0)</f>
        <v>0</v>
      </c>
      <c r="AP303">
        <f t="shared" si="93"/>
        <v>0</v>
      </c>
      <c r="AQ303">
        <f>IF(EXACT(Asistencia!F318,"FL"),1,0)</f>
        <v>0</v>
      </c>
      <c r="AR303">
        <f>IF(EXACT(Asistencia!G318,"FL"),1,0)</f>
        <v>0</v>
      </c>
      <c r="AS303">
        <f>IF(EXACT(Asistencia!H318,"FL"),1,0)</f>
        <v>0</v>
      </c>
      <c r="AT303">
        <f>IF(EXACT(Asistencia!I318,"FL"),1,0)</f>
        <v>0</v>
      </c>
      <c r="AU303">
        <f>IF(EXACT(Asistencia!J318,"FL"),1,0)</f>
        <v>0</v>
      </c>
      <c r="AV303">
        <f>IF(EXACT(Asistencia!K318,"FL"),1,0)</f>
        <v>0</v>
      </c>
      <c r="AW303">
        <f>IF(EXACT(Asistencia!L318,"FL"),1,0)</f>
        <v>0</v>
      </c>
      <c r="AX303">
        <f t="shared" si="94"/>
        <v>0</v>
      </c>
      <c r="AY303">
        <f>IF(EXACT(Asistencia!F318,"DL"),1,0)</f>
        <v>0</v>
      </c>
      <c r="AZ303">
        <f>IF(EXACT(Asistencia!G318,"DL"),1,0)</f>
        <v>0</v>
      </c>
      <c r="BA303">
        <f>IF(EXACT(Asistencia!H318,"DL"),1,0)</f>
        <v>0</v>
      </c>
      <c r="BB303">
        <f>IF(EXACT(Asistencia!I318,"DL"),1,0)</f>
        <v>0</v>
      </c>
      <c r="BC303">
        <f>IF(EXACT(Asistencia!J318,"DL"),1,0)</f>
        <v>0</v>
      </c>
      <c r="BD303">
        <f>IF(EXACT(Asistencia!K318,"DL"),1,0)</f>
        <v>0</v>
      </c>
      <c r="BE303">
        <f>IF(EXACT(Asistencia!L318,"DL"),1,0)</f>
        <v>0</v>
      </c>
      <c r="BF303">
        <f t="shared" si="95"/>
        <v>0</v>
      </c>
      <c r="BG303">
        <f>IF(ISNUMBER(Asistencia!M318),Asistencia!M318,0)</f>
        <v>0</v>
      </c>
      <c r="BH303">
        <f>IF(ISNUMBER(Asistencia!N318),Asistencia!N318,0)</f>
        <v>0</v>
      </c>
      <c r="BI303">
        <f>IF(ISNUMBER(Asistencia!O318),Asistencia!O318,0)</f>
        <v>0</v>
      </c>
      <c r="BJ303">
        <f>IF(ISNUMBER(Asistencia!P318),Asistencia!P318,0)</f>
        <v>0</v>
      </c>
      <c r="BK303" t="str">
        <f>IF(Asistencia!F318="","",Asistencia!F318)</f>
        <v/>
      </c>
      <c r="BL303" t="str">
        <f>IF(Asistencia!G318="","",Asistencia!G318)</f>
        <v/>
      </c>
      <c r="BM303" t="str">
        <f>IF(Asistencia!H318="","",Asistencia!H318)</f>
        <v/>
      </c>
      <c r="BN303" t="str">
        <f>IF(Asistencia!I318="","",Asistencia!I318)</f>
        <v/>
      </c>
      <c r="BO303" t="str">
        <f>IF(Asistencia!J318="","",Asistencia!J318)</f>
        <v/>
      </c>
      <c r="BP303" t="str">
        <f>IF(Asistencia!K318="","",Asistencia!K318)</f>
        <v/>
      </c>
      <c r="BQ303" t="str">
        <f>IF(Asistencia!L318="","",Asistencia!L318)</f>
        <v/>
      </c>
    </row>
    <row r="304" spans="27:69" x14ac:dyDescent="0.25">
      <c r="AA304" t="str">
        <f t="shared" si="92"/>
        <v/>
      </c>
      <c r="AB304" t="str">
        <f>IF(Asistencia!A319="","",Asistencia!A319)</f>
        <v/>
      </c>
      <c r="AC304" t="str">
        <f>IF(Asistencia!A319="","",SUBSTITUTE(SUBSTITUTE(SUBSTITUTE(SUBSTITUTE(SUBSTITUTE(SUBSTITUTE(SUBSTITUTE(UPPER(TRIM(Asistencia!A319)),"Á","A"),"É","E"),"Í","I"),"Ó","O"),"Ú","U"),"Ñ","N"),"  "," "))</f>
        <v/>
      </c>
      <c r="AD304" t="str">
        <f>IF(Asistencia!E319="","",Asistencia!E319)</f>
        <v/>
      </c>
      <c r="AE304" t="str">
        <f>IF(Asistencia!D319="","",UPPER(TRIM(Asistencia!D319)))</f>
        <v/>
      </c>
      <c r="AF304" t="s">
        <v>200</v>
      </c>
      <c r="AG304">
        <f>IF(AND(AA304&lt;&gt;"",COUNTIF($AA$5:AA304,AA304)=1),1,0)</f>
        <v>0</v>
      </c>
      <c r="AH304" t="str">
        <f>IF(AG304=1,SUM($AG$5:AG304),"")</f>
        <v/>
      </c>
      <c r="AI304">
        <f>IF(OR(EXACT(Asistencia!F319,"A"),EXACT(Asistencia!F319,"R"),EXACT(Asistencia!F319,"DL"),EXACT(Asistencia!F319,"FL"),EXACT(Asistencia!F319,"FE"),EXACT(Asistencia!F319,"PCS"),EXACT(Asistencia!F319,"V")),1,0)</f>
        <v>0</v>
      </c>
      <c r="AJ304">
        <f>IF(OR(EXACT(Asistencia!G319,"A"),EXACT(Asistencia!G319,"R"),EXACT(Asistencia!G319,"DL"),EXACT(Asistencia!G319,"FL"),EXACT(Asistencia!G319,"FE"),EXACT(Asistencia!G319,"PCS"),EXACT(Asistencia!G319,"V")),1,0)</f>
        <v>0</v>
      </c>
      <c r="AK304">
        <f>IF(OR(EXACT(Asistencia!H319,"A"),EXACT(Asistencia!H319,"R"),EXACT(Asistencia!H319,"DL"),EXACT(Asistencia!H319,"FL"),EXACT(Asistencia!H319,"FE"),EXACT(Asistencia!H319,"PCS"),EXACT(Asistencia!H319,"V")),1,0)</f>
        <v>0</v>
      </c>
      <c r="AL304">
        <f>IF(OR(EXACT(Asistencia!I319,"A"),EXACT(Asistencia!I319,"R"),EXACT(Asistencia!I319,"DL"),EXACT(Asistencia!I319,"FL"),EXACT(Asistencia!I319,"FE"),EXACT(Asistencia!I319,"PCS"),EXACT(Asistencia!I319,"V")),1,0)</f>
        <v>0</v>
      </c>
      <c r="AM304">
        <f>IF(OR(EXACT(Asistencia!J319,"A"),EXACT(Asistencia!J319,"R"),EXACT(Asistencia!J319,"DL"),EXACT(Asistencia!J319,"FL"),EXACT(Asistencia!J319,"FE"),EXACT(Asistencia!J319,"PCS"),EXACT(Asistencia!J319,"V")),1,0)</f>
        <v>0</v>
      </c>
      <c r="AN304">
        <f>IF(OR(EXACT(Asistencia!K319,"A"),EXACT(Asistencia!K319,"R"),EXACT(Asistencia!K319,"DL"),EXACT(Asistencia!K319,"FL"),EXACT(Asistencia!K319,"FE"),EXACT(Asistencia!K319,"PCS"),EXACT(Asistencia!K319,"V")),1,0)</f>
        <v>0</v>
      </c>
      <c r="AO304">
        <f>IF(OR(EXACT(Asistencia!L319,"A"),EXACT(Asistencia!L319,"R"),EXACT(Asistencia!L319,"DL"),EXACT(Asistencia!L319,"FL"),EXACT(Asistencia!L319,"FE"),EXACT(Asistencia!L319,"PCS"),EXACT(Asistencia!L319,"V")),1,0)</f>
        <v>0</v>
      </c>
      <c r="AP304">
        <f t="shared" si="93"/>
        <v>0</v>
      </c>
      <c r="AQ304">
        <f>IF(EXACT(Asistencia!F319,"FL"),1,0)</f>
        <v>0</v>
      </c>
      <c r="AR304">
        <f>IF(EXACT(Asistencia!G319,"FL"),1,0)</f>
        <v>0</v>
      </c>
      <c r="AS304">
        <f>IF(EXACT(Asistencia!H319,"FL"),1,0)</f>
        <v>0</v>
      </c>
      <c r="AT304">
        <f>IF(EXACT(Asistencia!I319,"FL"),1,0)</f>
        <v>0</v>
      </c>
      <c r="AU304">
        <f>IF(EXACT(Asistencia!J319,"FL"),1,0)</f>
        <v>0</v>
      </c>
      <c r="AV304">
        <f>IF(EXACT(Asistencia!K319,"FL"),1,0)</f>
        <v>0</v>
      </c>
      <c r="AW304">
        <f>IF(EXACT(Asistencia!L319,"FL"),1,0)</f>
        <v>0</v>
      </c>
      <c r="AX304">
        <f t="shared" si="94"/>
        <v>0</v>
      </c>
      <c r="AY304">
        <f>IF(EXACT(Asistencia!F319,"DL"),1,0)</f>
        <v>0</v>
      </c>
      <c r="AZ304">
        <f>IF(EXACT(Asistencia!G319,"DL"),1,0)</f>
        <v>0</v>
      </c>
      <c r="BA304">
        <f>IF(EXACT(Asistencia!H319,"DL"),1,0)</f>
        <v>0</v>
      </c>
      <c r="BB304">
        <f>IF(EXACT(Asistencia!I319,"DL"),1,0)</f>
        <v>0</v>
      </c>
      <c r="BC304">
        <f>IF(EXACT(Asistencia!J319,"DL"),1,0)</f>
        <v>0</v>
      </c>
      <c r="BD304">
        <f>IF(EXACT(Asistencia!K319,"DL"),1,0)</f>
        <v>0</v>
      </c>
      <c r="BE304">
        <f>IF(EXACT(Asistencia!L319,"DL"),1,0)</f>
        <v>0</v>
      </c>
      <c r="BF304">
        <f t="shared" si="95"/>
        <v>0</v>
      </c>
      <c r="BG304">
        <f>IF(ISNUMBER(Asistencia!M319),Asistencia!M319,0)</f>
        <v>0</v>
      </c>
      <c r="BH304">
        <f>IF(ISNUMBER(Asistencia!N319),Asistencia!N319,0)</f>
        <v>0</v>
      </c>
      <c r="BI304">
        <f>IF(ISNUMBER(Asistencia!O319),Asistencia!O319,0)</f>
        <v>0</v>
      </c>
      <c r="BJ304">
        <f>IF(ISNUMBER(Asistencia!P319),Asistencia!P319,0)</f>
        <v>0</v>
      </c>
      <c r="BK304" t="str">
        <f>IF(Asistencia!F319="","",Asistencia!F319)</f>
        <v/>
      </c>
      <c r="BL304" t="str">
        <f>IF(Asistencia!G319="","",Asistencia!G319)</f>
        <v/>
      </c>
      <c r="BM304" t="str">
        <f>IF(Asistencia!H319="","",Asistencia!H319)</f>
        <v/>
      </c>
      <c r="BN304" t="str">
        <f>IF(Asistencia!I319="","",Asistencia!I319)</f>
        <v/>
      </c>
      <c r="BO304" t="str">
        <f>IF(Asistencia!J319="","",Asistencia!J319)</f>
        <v/>
      </c>
      <c r="BP304" t="str">
        <f>IF(Asistencia!K319="","",Asistencia!K319)</f>
        <v/>
      </c>
      <c r="BQ304" t="str">
        <f>IF(Asistencia!L319="","",Asistencia!L319)</f>
        <v/>
      </c>
    </row>
    <row r="305" spans="27:69" x14ac:dyDescent="0.25">
      <c r="AA305" t="str">
        <f t="shared" si="92"/>
        <v/>
      </c>
      <c r="AB305" t="str">
        <f>IF(Asistencia!A320="","",Asistencia!A320)</f>
        <v/>
      </c>
      <c r="AC305" t="str">
        <f>IF(Asistencia!A320="","",SUBSTITUTE(SUBSTITUTE(SUBSTITUTE(SUBSTITUTE(SUBSTITUTE(SUBSTITUTE(SUBSTITUTE(UPPER(TRIM(Asistencia!A320)),"Á","A"),"É","E"),"Í","I"),"Ó","O"),"Ú","U"),"Ñ","N"),"  "," "))</f>
        <v/>
      </c>
      <c r="AD305" t="str">
        <f>IF(Asistencia!E320="","",Asistencia!E320)</f>
        <v/>
      </c>
      <c r="AE305" t="str">
        <f>IF(Asistencia!D320="","",UPPER(TRIM(Asistencia!D320)))</f>
        <v/>
      </c>
      <c r="AF305" t="s">
        <v>200</v>
      </c>
      <c r="AG305">
        <f>IF(AND(AA305&lt;&gt;"",COUNTIF($AA$5:AA305,AA305)=1),1,0)</f>
        <v>0</v>
      </c>
      <c r="AH305" t="str">
        <f>IF(AG305=1,SUM($AG$5:AG305),"")</f>
        <v/>
      </c>
      <c r="AI305">
        <f>IF(OR(EXACT(Asistencia!F320,"A"),EXACT(Asistencia!F320,"R"),EXACT(Asistencia!F320,"DL"),EXACT(Asistencia!F320,"FL"),EXACT(Asistencia!F320,"FE"),EXACT(Asistencia!F320,"PCS"),EXACT(Asistencia!F320,"V")),1,0)</f>
        <v>0</v>
      </c>
      <c r="AJ305">
        <f>IF(OR(EXACT(Asistencia!G320,"A"),EXACT(Asistencia!G320,"R"),EXACT(Asistencia!G320,"DL"),EXACT(Asistencia!G320,"FL"),EXACT(Asistencia!G320,"FE"),EXACT(Asistencia!G320,"PCS"),EXACT(Asistencia!G320,"V")),1,0)</f>
        <v>0</v>
      </c>
      <c r="AK305">
        <f>IF(OR(EXACT(Asistencia!H320,"A"),EXACT(Asistencia!H320,"R"),EXACT(Asistencia!H320,"DL"),EXACT(Asistencia!H320,"FL"),EXACT(Asistencia!H320,"FE"),EXACT(Asistencia!H320,"PCS"),EXACT(Asistencia!H320,"V")),1,0)</f>
        <v>0</v>
      </c>
      <c r="AL305">
        <f>IF(OR(EXACT(Asistencia!I320,"A"),EXACT(Asistencia!I320,"R"),EXACT(Asistencia!I320,"DL"),EXACT(Asistencia!I320,"FL"),EXACT(Asistencia!I320,"FE"),EXACT(Asistencia!I320,"PCS"),EXACT(Asistencia!I320,"V")),1,0)</f>
        <v>0</v>
      </c>
      <c r="AM305">
        <f>IF(OR(EXACT(Asistencia!J320,"A"),EXACT(Asistencia!J320,"R"),EXACT(Asistencia!J320,"DL"),EXACT(Asistencia!J320,"FL"),EXACT(Asistencia!J320,"FE"),EXACT(Asistencia!J320,"PCS"),EXACT(Asistencia!J320,"V")),1,0)</f>
        <v>0</v>
      </c>
      <c r="AN305">
        <f>IF(OR(EXACT(Asistencia!K320,"A"),EXACT(Asistencia!K320,"R"),EXACT(Asistencia!K320,"DL"),EXACT(Asistencia!K320,"FL"),EXACT(Asistencia!K320,"FE"),EXACT(Asistencia!K320,"PCS"),EXACT(Asistencia!K320,"V")),1,0)</f>
        <v>0</v>
      </c>
      <c r="AO305">
        <f>IF(OR(EXACT(Asistencia!L320,"A"),EXACT(Asistencia!L320,"R"),EXACT(Asistencia!L320,"DL"),EXACT(Asistencia!L320,"FL"),EXACT(Asistencia!L320,"FE"),EXACT(Asistencia!L320,"PCS"),EXACT(Asistencia!L320,"V")),1,0)</f>
        <v>0</v>
      </c>
      <c r="AP305">
        <f t="shared" si="93"/>
        <v>0</v>
      </c>
      <c r="AQ305">
        <f>IF(EXACT(Asistencia!F320,"FL"),1,0)</f>
        <v>0</v>
      </c>
      <c r="AR305">
        <f>IF(EXACT(Asistencia!G320,"FL"),1,0)</f>
        <v>0</v>
      </c>
      <c r="AS305">
        <f>IF(EXACT(Asistencia!H320,"FL"),1,0)</f>
        <v>0</v>
      </c>
      <c r="AT305">
        <f>IF(EXACT(Asistencia!I320,"FL"),1,0)</f>
        <v>0</v>
      </c>
      <c r="AU305">
        <f>IF(EXACT(Asistencia!J320,"FL"),1,0)</f>
        <v>0</v>
      </c>
      <c r="AV305">
        <f>IF(EXACT(Asistencia!K320,"FL"),1,0)</f>
        <v>0</v>
      </c>
      <c r="AW305">
        <f>IF(EXACT(Asistencia!L320,"FL"),1,0)</f>
        <v>0</v>
      </c>
      <c r="AX305">
        <f t="shared" si="94"/>
        <v>0</v>
      </c>
      <c r="AY305">
        <f>IF(EXACT(Asistencia!F320,"DL"),1,0)</f>
        <v>0</v>
      </c>
      <c r="AZ305">
        <f>IF(EXACT(Asistencia!G320,"DL"),1,0)</f>
        <v>0</v>
      </c>
      <c r="BA305">
        <f>IF(EXACT(Asistencia!H320,"DL"),1,0)</f>
        <v>0</v>
      </c>
      <c r="BB305">
        <f>IF(EXACT(Asistencia!I320,"DL"),1,0)</f>
        <v>0</v>
      </c>
      <c r="BC305">
        <f>IF(EXACT(Asistencia!J320,"DL"),1,0)</f>
        <v>0</v>
      </c>
      <c r="BD305">
        <f>IF(EXACT(Asistencia!K320,"DL"),1,0)</f>
        <v>0</v>
      </c>
      <c r="BE305">
        <f>IF(EXACT(Asistencia!L320,"DL"),1,0)</f>
        <v>0</v>
      </c>
      <c r="BF305">
        <f t="shared" si="95"/>
        <v>0</v>
      </c>
      <c r="BG305">
        <f>IF(ISNUMBER(Asistencia!M320),Asistencia!M320,0)</f>
        <v>0</v>
      </c>
      <c r="BH305">
        <f>IF(ISNUMBER(Asistencia!N320),Asistencia!N320,0)</f>
        <v>0</v>
      </c>
      <c r="BI305">
        <f>IF(ISNUMBER(Asistencia!O320),Asistencia!O320,0)</f>
        <v>0</v>
      </c>
      <c r="BJ305">
        <f>IF(ISNUMBER(Asistencia!P320),Asistencia!P320,0)</f>
        <v>0</v>
      </c>
      <c r="BK305" t="str">
        <f>IF(Asistencia!F320="","",Asistencia!F320)</f>
        <v/>
      </c>
      <c r="BL305" t="str">
        <f>IF(Asistencia!G320="","",Asistencia!G320)</f>
        <v/>
      </c>
      <c r="BM305" t="str">
        <f>IF(Asistencia!H320="","",Asistencia!H320)</f>
        <v/>
      </c>
      <c r="BN305" t="str">
        <f>IF(Asistencia!I320="","",Asistencia!I320)</f>
        <v/>
      </c>
      <c r="BO305" t="str">
        <f>IF(Asistencia!J320="","",Asistencia!J320)</f>
        <v/>
      </c>
      <c r="BP305" t="str">
        <f>IF(Asistencia!K320="","",Asistencia!K320)</f>
        <v/>
      </c>
      <c r="BQ305" t="str">
        <f>IF(Asistencia!L320="","",Asistencia!L320)</f>
        <v/>
      </c>
    </row>
    <row r="306" spans="27:69" x14ac:dyDescent="0.25">
      <c r="AA306" t="str">
        <f t="shared" si="92"/>
        <v/>
      </c>
      <c r="AB306" t="str">
        <f>IF(Asistencia!A321="","",Asistencia!A321)</f>
        <v/>
      </c>
      <c r="AC306" t="str">
        <f>IF(Asistencia!A321="","",SUBSTITUTE(SUBSTITUTE(SUBSTITUTE(SUBSTITUTE(SUBSTITUTE(SUBSTITUTE(SUBSTITUTE(UPPER(TRIM(Asistencia!A321)),"Á","A"),"É","E"),"Í","I"),"Ó","O"),"Ú","U"),"Ñ","N"),"  "," "))</f>
        <v/>
      </c>
      <c r="AD306" t="str">
        <f>IF(Asistencia!E321="","",Asistencia!E321)</f>
        <v/>
      </c>
      <c r="AE306" t="str">
        <f>IF(Asistencia!D321="","",UPPER(TRIM(Asistencia!D321)))</f>
        <v/>
      </c>
      <c r="AF306" t="s">
        <v>200</v>
      </c>
      <c r="AG306">
        <f>IF(AND(AA306&lt;&gt;"",COUNTIF($AA$5:AA306,AA306)=1),1,0)</f>
        <v>0</v>
      </c>
      <c r="AH306" t="str">
        <f>IF(AG306=1,SUM($AG$5:AG306),"")</f>
        <v/>
      </c>
      <c r="AI306">
        <f>IF(OR(EXACT(Asistencia!F321,"A"),EXACT(Asistencia!F321,"R"),EXACT(Asistencia!F321,"DL"),EXACT(Asistencia!F321,"FL"),EXACT(Asistencia!F321,"FE"),EXACT(Asistencia!F321,"PCS"),EXACT(Asistencia!F321,"V")),1,0)</f>
        <v>0</v>
      </c>
      <c r="AJ306">
        <f>IF(OR(EXACT(Asistencia!G321,"A"),EXACT(Asistencia!G321,"R"),EXACT(Asistencia!G321,"DL"),EXACT(Asistencia!G321,"FL"),EXACT(Asistencia!G321,"FE"),EXACT(Asistencia!G321,"PCS"),EXACT(Asistencia!G321,"V")),1,0)</f>
        <v>0</v>
      </c>
      <c r="AK306">
        <f>IF(OR(EXACT(Asistencia!H321,"A"),EXACT(Asistencia!H321,"R"),EXACT(Asistencia!H321,"DL"),EXACT(Asistencia!H321,"FL"),EXACT(Asistencia!H321,"FE"),EXACT(Asistencia!H321,"PCS"),EXACT(Asistencia!H321,"V")),1,0)</f>
        <v>0</v>
      </c>
      <c r="AL306">
        <f>IF(OR(EXACT(Asistencia!I321,"A"),EXACT(Asistencia!I321,"R"),EXACT(Asistencia!I321,"DL"),EXACT(Asistencia!I321,"FL"),EXACT(Asistencia!I321,"FE"),EXACT(Asistencia!I321,"PCS"),EXACT(Asistencia!I321,"V")),1,0)</f>
        <v>0</v>
      </c>
      <c r="AM306">
        <f>IF(OR(EXACT(Asistencia!J321,"A"),EXACT(Asistencia!J321,"R"),EXACT(Asistencia!J321,"DL"),EXACT(Asistencia!J321,"FL"),EXACT(Asistencia!J321,"FE"),EXACT(Asistencia!J321,"PCS"),EXACT(Asistencia!J321,"V")),1,0)</f>
        <v>0</v>
      </c>
      <c r="AN306">
        <f>IF(OR(EXACT(Asistencia!K321,"A"),EXACT(Asistencia!K321,"R"),EXACT(Asistencia!K321,"DL"),EXACT(Asistencia!K321,"FL"),EXACT(Asistencia!K321,"FE"),EXACT(Asistencia!K321,"PCS"),EXACT(Asistencia!K321,"V")),1,0)</f>
        <v>0</v>
      </c>
      <c r="AO306">
        <f>IF(OR(EXACT(Asistencia!L321,"A"),EXACT(Asistencia!L321,"R"),EXACT(Asistencia!L321,"DL"),EXACT(Asistencia!L321,"FL"),EXACT(Asistencia!L321,"FE"),EXACT(Asistencia!L321,"PCS"),EXACT(Asistencia!L321,"V")),1,0)</f>
        <v>0</v>
      </c>
      <c r="AP306">
        <f t="shared" si="93"/>
        <v>0</v>
      </c>
      <c r="AQ306">
        <f>IF(EXACT(Asistencia!F321,"FL"),1,0)</f>
        <v>0</v>
      </c>
      <c r="AR306">
        <f>IF(EXACT(Asistencia!G321,"FL"),1,0)</f>
        <v>0</v>
      </c>
      <c r="AS306">
        <f>IF(EXACT(Asistencia!H321,"FL"),1,0)</f>
        <v>0</v>
      </c>
      <c r="AT306">
        <f>IF(EXACT(Asistencia!I321,"FL"),1,0)</f>
        <v>0</v>
      </c>
      <c r="AU306">
        <f>IF(EXACT(Asistencia!J321,"FL"),1,0)</f>
        <v>0</v>
      </c>
      <c r="AV306">
        <f>IF(EXACT(Asistencia!K321,"FL"),1,0)</f>
        <v>0</v>
      </c>
      <c r="AW306">
        <f>IF(EXACT(Asistencia!L321,"FL"),1,0)</f>
        <v>0</v>
      </c>
      <c r="AX306">
        <f t="shared" si="94"/>
        <v>0</v>
      </c>
      <c r="AY306">
        <f>IF(EXACT(Asistencia!F321,"DL"),1,0)</f>
        <v>0</v>
      </c>
      <c r="AZ306">
        <f>IF(EXACT(Asistencia!G321,"DL"),1,0)</f>
        <v>0</v>
      </c>
      <c r="BA306">
        <f>IF(EXACT(Asistencia!H321,"DL"),1,0)</f>
        <v>0</v>
      </c>
      <c r="BB306">
        <f>IF(EXACT(Asistencia!I321,"DL"),1,0)</f>
        <v>0</v>
      </c>
      <c r="BC306">
        <f>IF(EXACT(Asistencia!J321,"DL"),1,0)</f>
        <v>0</v>
      </c>
      <c r="BD306">
        <f>IF(EXACT(Asistencia!K321,"DL"),1,0)</f>
        <v>0</v>
      </c>
      <c r="BE306">
        <f>IF(EXACT(Asistencia!L321,"DL"),1,0)</f>
        <v>0</v>
      </c>
      <c r="BF306">
        <f t="shared" si="95"/>
        <v>0</v>
      </c>
      <c r="BG306">
        <f>IF(ISNUMBER(Asistencia!M321),Asistencia!M321,0)</f>
        <v>0</v>
      </c>
      <c r="BH306">
        <f>IF(ISNUMBER(Asistencia!N321),Asistencia!N321,0)</f>
        <v>0</v>
      </c>
      <c r="BI306">
        <f>IF(ISNUMBER(Asistencia!O321),Asistencia!O321,0)</f>
        <v>0</v>
      </c>
      <c r="BJ306">
        <f>IF(ISNUMBER(Asistencia!P321),Asistencia!P321,0)</f>
        <v>0</v>
      </c>
      <c r="BK306" t="str">
        <f>IF(Asistencia!F321="","",Asistencia!F321)</f>
        <v/>
      </c>
      <c r="BL306" t="str">
        <f>IF(Asistencia!G321="","",Asistencia!G321)</f>
        <v/>
      </c>
      <c r="BM306" t="str">
        <f>IF(Asistencia!H321="","",Asistencia!H321)</f>
        <v/>
      </c>
      <c r="BN306" t="str">
        <f>IF(Asistencia!I321="","",Asistencia!I321)</f>
        <v/>
      </c>
      <c r="BO306" t="str">
        <f>IF(Asistencia!J321="","",Asistencia!J321)</f>
        <v/>
      </c>
      <c r="BP306" t="str">
        <f>IF(Asistencia!K321="","",Asistencia!K321)</f>
        <v/>
      </c>
      <c r="BQ306" t="str">
        <f>IF(Asistencia!L321="","",Asistencia!L321)</f>
        <v/>
      </c>
    </row>
    <row r="307" spans="27:69" x14ac:dyDescent="0.25">
      <c r="AA307" t="str">
        <f t="shared" si="92"/>
        <v/>
      </c>
      <c r="AB307" t="str">
        <f>IF(Asistencia!A322="","",Asistencia!A322)</f>
        <v/>
      </c>
      <c r="AC307" t="str">
        <f>IF(Asistencia!A322="","",SUBSTITUTE(SUBSTITUTE(SUBSTITUTE(SUBSTITUTE(SUBSTITUTE(SUBSTITUTE(SUBSTITUTE(UPPER(TRIM(Asistencia!A322)),"Á","A"),"É","E"),"Í","I"),"Ó","O"),"Ú","U"),"Ñ","N"),"  "," "))</f>
        <v/>
      </c>
      <c r="AD307" t="str">
        <f>IF(Asistencia!E322="","",Asistencia!E322)</f>
        <v/>
      </c>
      <c r="AE307" t="str">
        <f>IF(Asistencia!D322="","",UPPER(TRIM(Asistencia!D322)))</f>
        <v/>
      </c>
      <c r="AF307" t="s">
        <v>200</v>
      </c>
      <c r="AG307">
        <f>IF(AND(AA307&lt;&gt;"",COUNTIF($AA$5:AA307,AA307)=1),1,0)</f>
        <v>0</v>
      </c>
      <c r="AH307" t="str">
        <f>IF(AG307=1,SUM($AG$5:AG307),"")</f>
        <v/>
      </c>
      <c r="AI307">
        <f>IF(OR(EXACT(Asistencia!F322,"A"),EXACT(Asistencia!F322,"R"),EXACT(Asistencia!F322,"DL"),EXACT(Asistencia!F322,"FL"),EXACT(Asistencia!F322,"FE"),EXACT(Asistencia!F322,"PCS"),EXACT(Asistencia!F322,"V")),1,0)</f>
        <v>0</v>
      </c>
      <c r="AJ307">
        <f>IF(OR(EXACT(Asistencia!G322,"A"),EXACT(Asistencia!G322,"R"),EXACT(Asistencia!G322,"DL"),EXACT(Asistencia!G322,"FL"),EXACT(Asistencia!G322,"FE"),EXACT(Asistencia!G322,"PCS"),EXACT(Asistencia!G322,"V")),1,0)</f>
        <v>0</v>
      </c>
      <c r="AK307">
        <f>IF(OR(EXACT(Asistencia!H322,"A"),EXACT(Asistencia!H322,"R"),EXACT(Asistencia!H322,"DL"),EXACT(Asistencia!H322,"FL"),EXACT(Asistencia!H322,"FE"),EXACT(Asistencia!H322,"PCS"),EXACT(Asistencia!H322,"V")),1,0)</f>
        <v>0</v>
      </c>
      <c r="AL307">
        <f>IF(OR(EXACT(Asistencia!I322,"A"),EXACT(Asistencia!I322,"R"),EXACT(Asistencia!I322,"DL"),EXACT(Asistencia!I322,"FL"),EXACT(Asistencia!I322,"FE"),EXACT(Asistencia!I322,"PCS"),EXACT(Asistencia!I322,"V")),1,0)</f>
        <v>0</v>
      </c>
      <c r="AM307">
        <f>IF(OR(EXACT(Asistencia!J322,"A"),EXACT(Asistencia!J322,"R"),EXACT(Asistencia!J322,"DL"),EXACT(Asistencia!J322,"FL"),EXACT(Asistencia!J322,"FE"),EXACT(Asistencia!J322,"PCS"),EXACT(Asistencia!J322,"V")),1,0)</f>
        <v>0</v>
      </c>
      <c r="AN307">
        <f>IF(OR(EXACT(Asistencia!K322,"A"),EXACT(Asistencia!K322,"R"),EXACT(Asistencia!K322,"DL"),EXACT(Asistencia!K322,"FL"),EXACT(Asistencia!K322,"FE"),EXACT(Asistencia!K322,"PCS"),EXACT(Asistencia!K322,"V")),1,0)</f>
        <v>0</v>
      </c>
      <c r="AO307">
        <f>IF(OR(EXACT(Asistencia!L322,"A"),EXACT(Asistencia!L322,"R"),EXACT(Asistencia!L322,"DL"),EXACT(Asistencia!L322,"FL"),EXACT(Asistencia!L322,"FE"),EXACT(Asistencia!L322,"PCS"),EXACT(Asistencia!L322,"V")),1,0)</f>
        <v>0</v>
      </c>
      <c r="AP307">
        <f t="shared" si="93"/>
        <v>0</v>
      </c>
      <c r="AQ307">
        <f>IF(EXACT(Asistencia!F322,"FL"),1,0)</f>
        <v>0</v>
      </c>
      <c r="AR307">
        <f>IF(EXACT(Asistencia!G322,"FL"),1,0)</f>
        <v>0</v>
      </c>
      <c r="AS307">
        <f>IF(EXACT(Asistencia!H322,"FL"),1,0)</f>
        <v>0</v>
      </c>
      <c r="AT307">
        <f>IF(EXACT(Asistencia!I322,"FL"),1,0)</f>
        <v>0</v>
      </c>
      <c r="AU307">
        <f>IF(EXACT(Asistencia!J322,"FL"),1,0)</f>
        <v>0</v>
      </c>
      <c r="AV307">
        <f>IF(EXACT(Asistencia!K322,"FL"),1,0)</f>
        <v>0</v>
      </c>
      <c r="AW307">
        <f>IF(EXACT(Asistencia!L322,"FL"),1,0)</f>
        <v>0</v>
      </c>
      <c r="AX307">
        <f t="shared" si="94"/>
        <v>0</v>
      </c>
      <c r="AY307">
        <f>IF(EXACT(Asistencia!F322,"DL"),1,0)</f>
        <v>0</v>
      </c>
      <c r="AZ307">
        <f>IF(EXACT(Asistencia!G322,"DL"),1,0)</f>
        <v>0</v>
      </c>
      <c r="BA307">
        <f>IF(EXACT(Asistencia!H322,"DL"),1,0)</f>
        <v>0</v>
      </c>
      <c r="BB307">
        <f>IF(EXACT(Asistencia!I322,"DL"),1,0)</f>
        <v>0</v>
      </c>
      <c r="BC307">
        <f>IF(EXACT(Asistencia!J322,"DL"),1,0)</f>
        <v>0</v>
      </c>
      <c r="BD307">
        <f>IF(EXACT(Asistencia!K322,"DL"),1,0)</f>
        <v>0</v>
      </c>
      <c r="BE307">
        <f>IF(EXACT(Asistencia!L322,"DL"),1,0)</f>
        <v>0</v>
      </c>
      <c r="BF307">
        <f t="shared" si="95"/>
        <v>0</v>
      </c>
      <c r="BG307">
        <f>IF(ISNUMBER(Asistencia!M322),Asistencia!M322,0)</f>
        <v>0</v>
      </c>
      <c r="BH307">
        <f>IF(ISNUMBER(Asistencia!N322),Asistencia!N322,0)</f>
        <v>0</v>
      </c>
      <c r="BI307">
        <f>IF(ISNUMBER(Asistencia!O322),Asistencia!O322,0)</f>
        <v>0</v>
      </c>
      <c r="BJ307">
        <f>IF(ISNUMBER(Asistencia!P322),Asistencia!P322,0)</f>
        <v>0</v>
      </c>
      <c r="BK307" t="str">
        <f>IF(Asistencia!F322="","",Asistencia!F322)</f>
        <v/>
      </c>
      <c r="BL307" t="str">
        <f>IF(Asistencia!G322="","",Asistencia!G322)</f>
        <v/>
      </c>
      <c r="BM307" t="str">
        <f>IF(Asistencia!H322="","",Asistencia!H322)</f>
        <v/>
      </c>
      <c r="BN307" t="str">
        <f>IF(Asistencia!I322="","",Asistencia!I322)</f>
        <v/>
      </c>
      <c r="BO307" t="str">
        <f>IF(Asistencia!J322="","",Asistencia!J322)</f>
        <v/>
      </c>
      <c r="BP307" t="str">
        <f>IF(Asistencia!K322="","",Asistencia!K322)</f>
        <v/>
      </c>
      <c r="BQ307" t="str">
        <f>IF(Asistencia!L322="","",Asistencia!L322)</f>
        <v/>
      </c>
    </row>
    <row r="308" spans="27:69" x14ac:dyDescent="0.25">
      <c r="AA308" t="str">
        <f t="shared" si="92"/>
        <v/>
      </c>
      <c r="AB308" t="str">
        <f>IF(Asistencia!A323="","",Asistencia!A323)</f>
        <v/>
      </c>
      <c r="AC308" t="str">
        <f>IF(Asistencia!A323="","",SUBSTITUTE(SUBSTITUTE(SUBSTITUTE(SUBSTITUTE(SUBSTITUTE(SUBSTITUTE(SUBSTITUTE(UPPER(TRIM(Asistencia!A323)),"Á","A"),"É","E"),"Í","I"),"Ó","O"),"Ú","U"),"Ñ","N"),"  "," "))</f>
        <v/>
      </c>
      <c r="AD308" t="str">
        <f>IF(Asistencia!E323="","",Asistencia!E323)</f>
        <v/>
      </c>
      <c r="AE308" t="str">
        <f>IF(Asistencia!D323="","",UPPER(TRIM(Asistencia!D323)))</f>
        <v/>
      </c>
      <c r="AF308" t="s">
        <v>200</v>
      </c>
      <c r="AG308">
        <f>IF(AND(AA308&lt;&gt;"",COUNTIF($AA$5:AA308,AA308)=1),1,0)</f>
        <v>0</v>
      </c>
      <c r="AH308" t="str">
        <f>IF(AG308=1,SUM($AG$5:AG308),"")</f>
        <v/>
      </c>
      <c r="AI308">
        <f>IF(OR(EXACT(Asistencia!F323,"A"),EXACT(Asistencia!F323,"R"),EXACT(Asistencia!F323,"DL"),EXACT(Asistencia!F323,"FL"),EXACT(Asistencia!F323,"FE"),EXACT(Asistencia!F323,"PCS"),EXACT(Asistencia!F323,"V")),1,0)</f>
        <v>0</v>
      </c>
      <c r="AJ308">
        <f>IF(OR(EXACT(Asistencia!G323,"A"),EXACT(Asistencia!G323,"R"),EXACT(Asistencia!G323,"DL"),EXACT(Asistencia!G323,"FL"),EXACT(Asistencia!G323,"FE"),EXACT(Asistencia!G323,"PCS"),EXACT(Asistencia!G323,"V")),1,0)</f>
        <v>0</v>
      </c>
      <c r="AK308">
        <f>IF(OR(EXACT(Asistencia!H323,"A"),EXACT(Asistencia!H323,"R"),EXACT(Asistencia!H323,"DL"),EXACT(Asistencia!H323,"FL"),EXACT(Asistencia!H323,"FE"),EXACT(Asistencia!H323,"PCS"),EXACT(Asistencia!H323,"V")),1,0)</f>
        <v>0</v>
      </c>
      <c r="AL308">
        <f>IF(OR(EXACT(Asistencia!I323,"A"),EXACT(Asistencia!I323,"R"),EXACT(Asistencia!I323,"DL"),EXACT(Asistencia!I323,"FL"),EXACT(Asistencia!I323,"FE"),EXACT(Asistencia!I323,"PCS"),EXACT(Asistencia!I323,"V")),1,0)</f>
        <v>0</v>
      </c>
      <c r="AM308">
        <f>IF(OR(EXACT(Asistencia!J323,"A"),EXACT(Asistencia!J323,"R"),EXACT(Asistencia!J323,"DL"),EXACT(Asistencia!J323,"FL"),EXACT(Asistencia!J323,"FE"),EXACT(Asistencia!J323,"PCS"),EXACT(Asistencia!J323,"V")),1,0)</f>
        <v>0</v>
      </c>
      <c r="AN308">
        <f>IF(OR(EXACT(Asistencia!K323,"A"),EXACT(Asistencia!K323,"R"),EXACT(Asistencia!K323,"DL"),EXACT(Asistencia!K323,"FL"),EXACT(Asistencia!K323,"FE"),EXACT(Asistencia!K323,"PCS"),EXACT(Asistencia!K323,"V")),1,0)</f>
        <v>0</v>
      </c>
      <c r="AO308">
        <f>IF(OR(EXACT(Asistencia!L323,"A"),EXACT(Asistencia!L323,"R"),EXACT(Asistencia!L323,"DL"),EXACT(Asistencia!L323,"FL"),EXACT(Asistencia!L323,"FE"),EXACT(Asistencia!L323,"PCS"),EXACT(Asistencia!L323,"V")),1,0)</f>
        <v>0</v>
      </c>
      <c r="AP308">
        <f t="shared" si="93"/>
        <v>0</v>
      </c>
      <c r="AQ308">
        <f>IF(EXACT(Asistencia!F323,"FL"),1,0)</f>
        <v>0</v>
      </c>
      <c r="AR308">
        <f>IF(EXACT(Asistencia!G323,"FL"),1,0)</f>
        <v>0</v>
      </c>
      <c r="AS308">
        <f>IF(EXACT(Asistencia!H323,"FL"),1,0)</f>
        <v>0</v>
      </c>
      <c r="AT308">
        <f>IF(EXACT(Asistencia!I323,"FL"),1,0)</f>
        <v>0</v>
      </c>
      <c r="AU308">
        <f>IF(EXACT(Asistencia!J323,"FL"),1,0)</f>
        <v>0</v>
      </c>
      <c r="AV308">
        <f>IF(EXACT(Asistencia!K323,"FL"),1,0)</f>
        <v>0</v>
      </c>
      <c r="AW308">
        <f>IF(EXACT(Asistencia!L323,"FL"),1,0)</f>
        <v>0</v>
      </c>
      <c r="AX308">
        <f t="shared" si="94"/>
        <v>0</v>
      </c>
      <c r="AY308">
        <f>IF(EXACT(Asistencia!F323,"DL"),1,0)</f>
        <v>0</v>
      </c>
      <c r="AZ308">
        <f>IF(EXACT(Asistencia!G323,"DL"),1,0)</f>
        <v>0</v>
      </c>
      <c r="BA308">
        <f>IF(EXACT(Asistencia!H323,"DL"),1,0)</f>
        <v>0</v>
      </c>
      <c r="BB308">
        <f>IF(EXACT(Asistencia!I323,"DL"),1,0)</f>
        <v>0</v>
      </c>
      <c r="BC308">
        <f>IF(EXACT(Asistencia!J323,"DL"),1,0)</f>
        <v>0</v>
      </c>
      <c r="BD308">
        <f>IF(EXACT(Asistencia!K323,"DL"),1,0)</f>
        <v>0</v>
      </c>
      <c r="BE308">
        <f>IF(EXACT(Asistencia!L323,"DL"),1,0)</f>
        <v>0</v>
      </c>
      <c r="BF308">
        <f t="shared" si="95"/>
        <v>0</v>
      </c>
      <c r="BG308">
        <f>IF(ISNUMBER(Asistencia!M323),Asistencia!M323,0)</f>
        <v>0</v>
      </c>
      <c r="BH308">
        <f>IF(ISNUMBER(Asistencia!N323),Asistencia!N323,0)</f>
        <v>0</v>
      </c>
      <c r="BI308">
        <f>IF(ISNUMBER(Asistencia!O323),Asistencia!O323,0)</f>
        <v>0</v>
      </c>
      <c r="BJ308">
        <f>IF(ISNUMBER(Asistencia!P323),Asistencia!P323,0)</f>
        <v>0</v>
      </c>
      <c r="BK308" t="str">
        <f>IF(Asistencia!F323="","",Asistencia!F323)</f>
        <v/>
      </c>
      <c r="BL308" t="str">
        <f>IF(Asistencia!G323="","",Asistencia!G323)</f>
        <v/>
      </c>
      <c r="BM308" t="str">
        <f>IF(Asistencia!H323="","",Asistencia!H323)</f>
        <v/>
      </c>
      <c r="BN308" t="str">
        <f>IF(Asistencia!I323="","",Asistencia!I323)</f>
        <v/>
      </c>
      <c r="BO308" t="str">
        <f>IF(Asistencia!J323="","",Asistencia!J323)</f>
        <v/>
      </c>
      <c r="BP308" t="str">
        <f>IF(Asistencia!K323="","",Asistencia!K323)</f>
        <v/>
      </c>
      <c r="BQ308" t="str">
        <f>IF(Asistencia!L323="","",Asistencia!L323)</f>
        <v/>
      </c>
    </row>
    <row r="309" spans="27:69" x14ac:dyDescent="0.25">
      <c r="AA309" t="str">
        <f t="shared" si="92"/>
        <v/>
      </c>
      <c r="AB309" t="str">
        <f>IF(Asistencia!A324="","",Asistencia!A324)</f>
        <v/>
      </c>
      <c r="AC309" t="str">
        <f>IF(Asistencia!A324="","",SUBSTITUTE(SUBSTITUTE(SUBSTITUTE(SUBSTITUTE(SUBSTITUTE(SUBSTITUTE(SUBSTITUTE(UPPER(TRIM(Asistencia!A324)),"Á","A"),"É","E"),"Í","I"),"Ó","O"),"Ú","U"),"Ñ","N"),"  "," "))</f>
        <v/>
      </c>
      <c r="AD309" t="str">
        <f>IF(Asistencia!E324="","",Asistencia!E324)</f>
        <v/>
      </c>
      <c r="AE309" t="str">
        <f>IF(Asistencia!D324="","",UPPER(TRIM(Asistencia!D324)))</f>
        <v/>
      </c>
      <c r="AF309" t="s">
        <v>200</v>
      </c>
      <c r="AG309">
        <f>IF(AND(AA309&lt;&gt;"",COUNTIF($AA$5:AA309,AA309)=1),1,0)</f>
        <v>0</v>
      </c>
      <c r="AH309" t="str">
        <f>IF(AG309=1,SUM($AG$5:AG309),"")</f>
        <v/>
      </c>
      <c r="AI309">
        <f>IF(OR(EXACT(Asistencia!F324,"A"),EXACT(Asistencia!F324,"R"),EXACT(Asistencia!F324,"DL"),EXACT(Asistencia!F324,"FL"),EXACT(Asistencia!F324,"FE"),EXACT(Asistencia!F324,"PCS"),EXACT(Asistencia!F324,"V")),1,0)</f>
        <v>0</v>
      </c>
      <c r="AJ309">
        <f>IF(OR(EXACT(Asistencia!G324,"A"),EXACT(Asistencia!G324,"R"),EXACT(Asistencia!G324,"DL"),EXACT(Asistencia!G324,"FL"),EXACT(Asistencia!G324,"FE"),EXACT(Asistencia!G324,"PCS"),EXACT(Asistencia!G324,"V")),1,0)</f>
        <v>0</v>
      </c>
      <c r="AK309">
        <f>IF(OR(EXACT(Asistencia!H324,"A"),EXACT(Asistencia!H324,"R"),EXACT(Asistencia!H324,"DL"),EXACT(Asistencia!H324,"FL"),EXACT(Asistencia!H324,"FE"),EXACT(Asistencia!H324,"PCS"),EXACT(Asistencia!H324,"V")),1,0)</f>
        <v>0</v>
      </c>
      <c r="AL309">
        <f>IF(OR(EXACT(Asistencia!I324,"A"),EXACT(Asistencia!I324,"R"),EXACT(Asistencia!I324,"DL"),EXACT(Asistencia!I324,"FL"),EXACT(Asistencia!I324,"FE"),EXACT(Asistencia!I324,"PCS"),EXACT(Asistencia!I324,"V")),1,0)</f>
        <v>0</v>
      </c>
      <c r="AM309">
        <f>IF(OR(EXACT(Asistencia!J324,"A"),EXACT(Asistencia!J324,"R"),EXACT(Asistencia!J324,"DL"),EXACT(Asistencia!J324,"FL"),EXACT(Asistencia!J324,"FE"),EXACT(Asistencia!J324,"PCS"),EXACT(Asistencia!J324,"V")),1,0)</f>
        <v>0</v>
      </c>
      <c r="AN309">
        <f>IF(OR(EXACT(Asistencia!K324,"A"),EXACT(Asistencia!K324,"R"),EXACT(Asistencia!K324,"DL"),EXACT(Asistencia!K324,"FL"),EXACT(Asistencia!K324,"FE"),EXACT(Asistencia!K324,"PCS"),EXACT(Asistencia!K324,"V")),1,0)</f>
        <v>0</v>
      </c>
      <c r="AO309">
        <f>IF(OR(EXACT(Asistencia!L324,"A"),EXACT(Asistencia!L324,"R"),EXACT(Asistencia!L324,"DL"),EXACT(Asistencia!L324,"FL"),EXACT(Asistencia!L324,"FE"),EXACT(Asistencia!L324,"PCS"),EXACT(Asistencia!L324,"V")),1,0)</f>
        <v>0</v>
      </c>
      <c r="AP309">
        <f t="shared" si="93"/>
        <v>0</v>
      </c>
      <c r="AQ309">
        <f>IF(EXACT(Asistencia!F324,"FL"),1,0)</f>
        <v>0</v>
      </c>
      <c r="AR309">
        <f>IF(EXACT(Asistencia!G324,"FL"),1,0)</f>
        <v>0</v>
      </c>
      <c r="AS309">
        <f>IF(EXACT(Asistencia!H324,"FL"),1,0)</f>
        <v>0</v>
      </c>
      <c r="AT309">
        <f>IF(EXACT(Asistencia!I324,"FL"),1,0)</f>
        <v>0</v>
      </c>
      <c r="AU309">
        <f>IF(EXACT(Asistencia!J324,"FL"),1,0)</f>
        <v>0</v>
      </c>
      <c r="AV309">
        <f>IF(EXACT(Asistencia!K324,"FL"),1,0)</f>
        <v>0</v>
      </c>
      <c r="AW309">
        <f>IF(EXACT(Asistencia!L324,"FL"),1,0)</f>
        <v>0</v>
      </c>
      <c r="AX309">
        <f t="shared" si="94"/>
        <v>0</v>
      </c>
      <c r="AY309">
        <f>IF(EXACT(Asistencia!F324,"DL"),1,0)</f>
        <v>0</v>
      </c>
      <c r="AZ309">
        <f>IF(EXACT(Asistencia!G324,"DL"),1,0)</f>
        <v>0</v>
      </c>
      <c r="BA309">
        <f>IF(EXACT(Asistencia!H324,"DL"),1,0)</f>
        <v>0</v>
      </c>
      <c r="BB309">
        <f>IF(EXACT(Asistencia!I324,"DL"),1,0)</f>
        <v>0</v>
      </c>
      <c r="BC309">
        <f>IF(EXACT(Asistencia!J324,"DL"),1,0)</f>
        <v>0</v>
      </c>
      <c r="BD309">
        <f>IF(EXACT(Asistencia!K324,"DL"),1,0)</f>
        <v>0</v>
      </c>
      <c r="BE309">
        <f>IF(EXACT(Asistencia!L324,"DL"),1,0)</f>
        <v>0</v>
      </c>
      <c r="BF309">
        <f t="shared" si="95"/>
        <v>0</v>
      </c>
      <c r="BG309">
        <f>IF(ISNUMBER(Asistencia!M324),Asistencia!M324,0)</f>
        <v>0</v>
      </c>
      <c r="BH309">
        <f>IF(ISNUMBER(Asistencia!N324),Asistencia!N324,0)</f>
        <v>0</v>
      </c>
      <c r="BI309">
        <f>IF(ISNUMBER(Asistencia!O324),Asistencia!O324,0)</f>
        <v>0</v>
      </c>
      <c r="BJ309">
        <f>IF(ISNUMBER(Asistencia!P324),Asistencia!P324,0)</f>
        <v>0</v>
      </c>
      <c r="BK309" t="str">
        <f>IF(Asistencia!F324="","",Asistencia!F324)</f>
        <v/>
      </c>
      <c r="BL309" t="str">
        <f>IF(Asistencia!G324="","",Asistencia!G324)</f>
        <v/>
      </c>
      <c r="BM309" t="str">
        <f>IF(Asistencia!H324="","",Asistencia!H324)</f>
        <v/>
      </c>
      <c r="BN309" t="str">
        <f>IF(Asistencia!I324="","",Asistencia!I324)</f>
        <v/>
      </c>
      <c r="BO309" t="str">
        <f>IF(Asistencia!J324="","",Asistencia!J324)</f>
        <v/>
      </c>
      <c r="BP309" t="str">
        <f>IF(Asistencia!K324="","",Asistencia!K324)</f>
        <v/>
      </c>
      <c r="BQ309" t="str">
        <f>IF(Asistencia!L324="","",Asistencia!L324)</f>
        <v/>
      </c>
    </row>
    <row r="310" spans="27:69" x14ac:dyDescent="0.25">
      <c r="AA310" t="str">
        <f t="shared" si="92"/>
        <v/>
      </c>
      <c r="AB310" t="str">
        <f>IF(Asistencia!A325="","",Asistencia!A325)</f>
        <v/>
      </c>
      <c r="AC310" t="str">
        <f>IF(Asistencia!A325="","",SUBSTITUTE(SUBSTITUTE(SUBSTITUTE(SUBSTITUTE(SUBSTITUTE(SUBSTITUTE(SUBSTITUTE(UPPER(TRIM(Asistencia!A325)),"Á","A"),"É","E"),"Í","I"),"Ó","O"),"Ú","U"),"Ñ","N"),"  "," "))</f>
        <v/>
      </c>
      <c r="AD310" t="str">
        <f>IF(Asistencia!E325="","",Asistencia!E325)</f>
        <v/>
      </c>
      <c r="AE310" t="str">
        <f>IF(Asistencia!D325="","",UPPER(TRIM(Asistencia!D325)))</f>
        <v/>
      </c>
      <c r="AF310" t="s">
        <v>200</v>
      </c>
      <c r="AG310">
        <f>IF(AND(AA310&lt;&gt;"",COUNTIF($AA$5:AA310,AA310)=1),1,0)</f>
        <v>0</v>
      </c>
      <c r="AH310" t="str">
        <f>IF(AG310=1,SUM($AG$5:AG310),"")</f>
        <v/>
      </c>
      <c r="AI310">
        <f>IF(OR(EXACT(Asistencia!F325,"A"),EXACT(Asistencia!F325,"R"),EXACT(Asistencia!F325,"DL"),EXACT(Asistencia!F325,"FL"),EXACT(Asistencia!F325,"FE"),EXACT(Asistencia!F325,"PCS"),EXACT(Asistencia!F325,"V")),1,0)</f>
        <v>0</v>
      </c>
      <c r="AJ310">
        <f>IF(OR(EXACT(Asistencia!G325,"A"),EXACT(Asistencia!G325,"R"),EXACT(Asistencia!G325,"DL"),EXACT(Asistencia!G325,"FL"),EXACT(Asistencia!G325,"FE"),EXACT(Asistencia!G325,"PCS"),EXACT(Asistencia!G325,"V")),1,0)</f>
        <v>0</v>
      </c>
      <c r="AK310">
        <f>IF(OR(EXACT(Asistencia!H325,"A"),EXACT(Asistencia!H325,"R"),EXACT(Asistencia!H325,"DL"),EXACT(Asistencia!H325,"FL"),EXACT(Asistencia!H325,"FE"),EXACT(Asistencia!H325,"PCS"),EXACT(Asistencia!H325,"V")),1,0)</f>
        <v>0</v>
      </c>
      <c r="AL310">
        <f>IF(OR(EXACT(Asistencia!I325,"A"),EXACT(Asistencia!I325,"R"),EXACT(Asistencia!I325,"DL"),EXACT(Asistencia!I325,"FL"),EXACT(Asistencia!I325,"FE"),EXACT(Asistencia!I325,"PCS"),EXACT(Asistencia!I325,"V")),1,0)</f>
        <v>0</v>
      </c>
      <c r="AM310">
        <f>IF(OR(EXACT(Asistencia!J325,"A"),EXACT(Asistencia!J325,"R"),EXACT(Asistencia!J325,"DL"),EXACT(Asistencia!J325,"FL"),EXACT(Asistencia!J325,"FE"),EXACT(Asistencia!J325,"PCS"),EXACT(Asistencia!J325,"V")),1,0)</f>
        <v>0</v>
      </c>
      <c r="AN310">
        <f>IF(OR(EXACT(Asistencia!K325,"A"),EXACT(Asistencia!K325,"R"),EXACT(Asistencia!K325,"DL"),EXACT(Asistencia!K325,"FL"),EXACT(Asistencia!K325,"FE"),EXACT(Asistencia!K325,"PCS"),EXACT(Asistencia!K325,"V")),1,0)</f>
        <v>0</v>
      </c>
      <c r="AO310">
        <f>IF(OR(EXACT(Asistencia!L325,"A"),EXACT(Asistencia!L325,"R"),EXACT(Asistencia!L325,"DL"),EXACT(Asistencia!L325,"FL"),EXACT(Asistencia!L325,"FE"),EXACT(Asistencia!L325,"PCS"),EXACT(Asistencia!L325,"V")),1,0)</f>
        <v>0</v>
      </c>
      <c r="AP310">
        <f t="shared" si="93"/>
        <v>0</v>
      </c>
      <c r="AQ310">
        <f>IF(EXACT(Asistencia!F325,"FL"),1,0)</f>
        <v>0</v>
      </c>
      <c r="AR310">
        <f>IF(EXACT(Asistencia!G325,"FL"),1,0)</f>
        <v>0</v>
      </c>
      <c r="AS310">
        <f>IF(EXACT(Asistencia!H325,"FL"),1,0)</f>
        <v>0</v>
      </c>
      <c r="AT310">
        <f>IF(EXACT(Asistencia!I325,"FL"),1,0)</f>
        <v>0</v>
      </c>
      <c r="AU310">
        <f>IF(EXACT(Asistencia!J325,"FL"),1,0)</f>
        <v>0</v>
      </c>
      <c r="AV310">
        <f>IF(EXACT(Asistencia!K325,"FL"),1,0)</f>
        <v>0</v>
      </c>
      <c r="AW310">
        <f>IF(EXACT(Asistencia!L325,"FL"),1,0)</f>
        <v>0</v>
      </c>
      <c r="AX310">
        <f t="shared" si="94"/>
        <v>0</v>
      </c>
      <c r="AY310">
        <f>IF(EXACT(Asistencia!F325,"DL"),1,0)</f>
        <v>0</v>
      </c>
      <c r="AZ310">
        <f>IF(EXACT(Asistencia!G325,"DL"),1,0)</f>
        <v>0</v>
      </c>
      <c r="BA310">
        <f>IF(EXACT(Asistencia!H325,"DL"),1,0)</f>
        <v>0</v>
      </c>
      <c r="BB310">
        <f>IF(EXACT(Asistencia!I325,"DL"),1,0)</f>
        <v>0</v>
      </c>
      <c r="BC310">
        <f>IF(EXACT(Asistencia!J325,"DL"),1,0)</f>
        <v>0</v>
      </c>
      <c r="BD310">
        <f>IF(EXACT(Asistencia!K325,"DL"),1,0)</f>
        <v>0</v>
      </c>
      <c r="BE310">
        <f>IF(EXACT(Asistencia!L325,"DL"),1,0)</f>
        <v>0</v>
      </c>
      <c r="BF310">
        <f t="shared" si="95"/>
        <v>0</v>
      </c>
      <c r="BG310">
        <f>IF(ISNUMBER(Asistencia!M325),Asistencia!M325,0)</f>
        <v>0</v>
      </c>
      <c r="BH310">
        <f>IF(ISNUMBER(Asistencia!N325),Asistencia!N325,0)</f>
        <v>0</v>
      </c>
      <c r="BI310">
        <f>IF(ISNUMBER(Asistencia!O325),Asistencia!O325,0)</f>
        <v>0</v>
      </c>
      <c r="BJ310">
        <f>IF(ISNUMBER(Asistencia!P325),Asistencia!P325,0)</f>
        <v>0</v>
      </c>
      <c r="BK310" t="str">
        <f>IF(Asistencia!F325="","",Asistencia!F325)</f>
        <v/>
      </c>
      <c r="BL310" t="str">
        <f>IF(Asistencia!G325="","",Asistencia!G325)</f>
        <v/>
      </c>
      <c r="BM310" t="str">
        <f>IF(Asistencia!H325="","",Asistencia!H325)</f>
        <v/>
      </c>
      <c r="BN310" t="str">
        <f>IF(Asistencia!I325="","",Asistencia!I325)</f>
        <v/>
      </c>
      <c r="BO310" t="str">
        <f>IF(Asistencia!J325="","",Asistencia!J325)</f>
        <v/>
      </c>
      <c r="BP310" t="str">
        <f>IF(Asistencia!K325="","",Asistencia!K325)</f>
        <v/>
      </c>
      <c r="BQ310" t="str">
        <f>IF(Asistencia!L325="","",Asistencia!L325)</f>
        <v/>
      </c>
    </row>
    <row r="311" spans="27:69" x14ac:dyDescent="0.25">
      <c r="AA311" t="str">
        <f t="shared" si="92"/>
        <v/>
      </c>
      <c r="AB311" t="str">
        <f>IF(Asistencia!A326="","",Asistencia!A326)</f>
        <v/>
      </c>
      <c r="AC311" t="str">
        <f>IF(Asistencia!A326="","",SUBSTITUTE(SUBSTITUTE(SUBSTITUTE(SUBSTITUTE(SUBSTITUTE(SUBSTITUTE(SUBSTITUTE(UPPER(TRIM(Asistencia!A326)),"Á","A"),"É","E"),"Í","I"),"Ó","O"),"Ú","U"),"Ñ","N"),"  "," "))</f>
        <v/>
      </c>
      <c r="AD311" t="str">
        <f>IF(Asistencia!E326="","",Asistencia!E326)</f>
        <v/>
      </c>
      <c r="AE311" t="str">
        <f>IF(Asistencia!D326="","",UPPER(TRIM(Asistencia!D326)))</f>
        <v/>
      </c>
      <c r="AF311" t="s">
        <v>200</v>
      </c>
      <c r="AG311">
        <f>IF(AND(AA311&lt;&gt;"",COUNTIF($AA$5:AA311,AA311)=1),1,0)</f>
        <v>0</v>
      </c>
      <c r="AH311" t="str">
        <f>IF(AG311=1,SUM($AG$5:AG311),"")</f>
        <v/>
      </c>
      <c r="AI311">
        <f>IF(OR(EXACT(Asistencia!F326,"A"),EXACT(Asistencia!F326,"R"),EXACT(Asistencia!F326,"DL"),EXACT(Asistencia!F326,"FL"),EXACT(Asistencia!F326,"FE"),EXACT(Asistencia!F326,"PCS"),EXACT(Asistencia!F326,"V")),1,0)</f>
        <v>0</v>
      </c>
      <c r="AJ311">
        <f>IF(OR(EXACT(Asistencia!G326,"A"),EXACT(Asistencia!G326,"R"),EXACT(Asistencia!G326,"DL"),EXACT(Asistencia!G326,"FL"),EXACT(Asistencia!G326,"FE"),EXACT(Asistencia!G326,"PCS"),EXACT(Asistencia!G326,"V")),1,0)</f>
        <v>0</v>
      </c>
      <c r="AK311">
        <f>IF(OR(EXACT(Asistencia!H326,"A"),EXACT(Asistencia!H326,"R"),EXACT(Asistencia!H326,"DL"),EXACT(Asistencia!H326,"FL"),EXACT(Asistencia!H326,"FE"),EXACT(Asistencia!H326,"PCS"),EXACT(Asistencia!H326,"V")),1,0)</f>
        <v>0</v>
      </c>
      <c r="AL311">
        <f>IF(OR(EXACT(Asistencia!I326,"A"),EXACT(Asistencia!I326,"R"),EXACT(Asistencia!I326,"DL"),EXACT(Asistencia!I326,"FL"),EXACT(Asistencia!I326,"FE"),EXACT(Asistencia!I326,"PCS"),EXACT(Asistencia!I326,"V")),1,0)</f>
        <v>0</v>
      </c>
      <c r="AM311">
        <f>IF(OR(EXACT(Asistencia!J326,"A"),EXACT(Asistencia!J326,"R"),EXACT(Asistencia!J326,"DL"),EXACT(Asistencia!J326,"FL"),EXACT(Asistencia!J326,"FE"),EXACT(Asistencia!J326,"PCS"),EXACT(Asistencia!J326,"V")),1,0)</f>
        <v>0</v>
      </c>
      <c r="AN311">
        <f>IF(OR(EXACT(Asistencia!K326,"A"),EXACT(Asistencia!K326,"R"),EXACT(Asistencia!K326,"DL"),EXACT(Asistencia!K326,"FL"),EXACT(Asistencia!K326,"FE"),EXACT(Asistencia!K326,"PCS"),EXACT(Asistencia!K326,"V")),1,0)</f>
        <v>0</v>
      </c>
      <c r="AO311">
        <f>IF(OR(EXACT(Asistencia!L326,"A"),EXACT(Asistencia!L326,"R"),EXACT(Asistencia!L326,"DL"),EXACT(Asistencia!L326,"FL"),EXACT(Asistencia!L326,"FE"),EXACT(Asistencia!L326,"PCS"),EXACT(Asistencia!L326,"V")),1,0)</f>
        <v>0</v>
      </c>
      <c r="AP311">
        <f t="shared" si="93"/>
        <v>0</v>
      </c>
      <c r="AQ311">
        <f>IF(EXACT(Asistencia!F326,"FL"),1,0)</f>
        <v>0</v>
      </c>
      <c r="AR311">
        <f>IF(EXACT(Asistencia!G326,"FL"),1,0)</f>
        <v>0</v>
      </c>
      <c r="AS311">
        <f>IF(EXACT(Asistencia!H326,"FL"),1,0)</f>
        <v>0</v>
      </c>
      <c r="AT311">
        <f>IF(EXACT(Asistencia!I326,"FL"),1,0)</f>
        <v>0</v>
      </c>
      <c r="AU311">
        <f>IF(EXACT(Asistencia!J326,"FL"),1,0)</f>
        <v>0</v>
      </c>
      <c r="AV311">
        <f>IF(EXACT(Asistencia!K326,"FL"),1,0)</f>
        <v>0</v>
      </c>
      <c r="AW311">
        <f>IF(EXACT(Asistencia!L326,"FL"),1,0)</f>
        <v>0</v>
      </c>
      <c r="AX311">
        <f t="shared" si="94"/>
        <v>0</v>
      </c>
      <c r="AY311">
        <f>IF(EXACT(Asistencia!F326,"DL"),1,0)</f>
        <v>0</v>
      </c>
      <c r="AZ311">
        <f>IF(EXACT(Asistencia!G326,"DL"),1,0)</f>
        <v>0</v>
      </c>
      <c r="BA311">
        <f>IF(EXACT(Asistencia!H326,"DL"),1,0)</f>
        <v>0</v>
      </c>
      <c r="BB311">
        <f>IF(EXACT(Asistencia!I326,"DL"),1,0)</f>
        <v>0</v>
      </c>
      <c r="BC311">
        <f>IF(EXACT(Asistencia!J326,"DL"),1,0)</f>
        <v>0</v>
      </c>
      <c r="BD311">
        <f>IF(EXACT(Asistencia!K326,"DL"),1,0)</f>
        <v>0</v>
      </c>
      <c r="BE311">
        <f>IF(EXACT(Asistencia!L326,"DL"),1,0)</f>
        <v>0</v>
      </c>
      <c r="BF311">
        <f t="shared" si="95"/>
        <v>0</v>
      </c>
      <c r="BG311">
        <f>IF(ISNUMBER(Asistencia!M326),Asistencia!M326,0)</f>
        <v>0</v>
      </c>
      <c r="BH311">
        <f>IF(ISNUMBER(Asistencia!N326),Asistencia!N326,0)</f>
        <v>0</v>
      </c>
      <c r="BI311">
        <f>IF(ISNUMBER(Asistencia!O326),Asistencia!O326,0)</f>
        <v>0</v>
      </c>
      <c r="BJ311">
        <f>IF(ISNUMBER(Asistencia!P326),Asistencia!P326,0)</f>
        <v>0</v>
      </c>
      <c r="BK311" t="str">
        <f>IF(Asistencia!F326="","",Asistencia!F326)</f>
        <v/>
      </c>
      <c r="BL311" t="str">
        <f>IF(Asistencia!G326="","",Asistencia!G326)</f>
        <v/>
      </c>
      <c r="BM311" t="str">
        <f>IF(Asistencia!H326="","",Asistencia!H326)</f>
        <v/>
      </c>
      <c r="BN311" t="str">
        <f>IF(Asistencia!I326="","",Asistencia!I326)</f>
        <v/>
      </c>
      <c r="BO311" t="str">
        <f>IF(Asistencia!J326="","",Asistencia!J326)</f>
        <v/>
      </c>
      <c r="BP311" t="str">
        <f>IF(Asistencia!K326="","",Asistencia!K326)</f>
        <v/>
      </c>
      <c r="BQ311" t="str">
        <f>IF(Asistencia!L326="","",Asistencia!L326)</f>
        <v/>
      </c>
    </row>
    <row r="312" spans="27:69" x14ac:dyDescent="0.25">
      <c r="AA312" t="str">
        <f t="shared" si="92"/>
        <v/>
      </c>
      <c r="AB312" t="str">
        <f>IF(Asistencia!A327="","",Asistencia!A327)</f>
        <v/>
      </c>
      <c r="AC312" t="str">
        <f>IF(Asistencia!A327="","",SUBSTITUTE(SUBSTITUTE(SUBSTITUTE(SUBSTITUTE(SUBSTITUTE(SUBSTITUTE(SUBSTITUTE(UPPER(TRIM(Asistencia!A327)),"Á","A"),"É","E"),"Í","I"),"Ó","O"),"Ú","U"),"Ñ","N"),"  "," "))</f>
        <v/>
      </c>
      <c r="AD312" t="str">
        <f>IF(Asistencia!E327="","",Asistencia!E327)</f>
        <v/>
      </c>
      <c r="AE312" t="str">
        <f>IF(Asistencia!D327="","",UPPER(TRIM(Asistencia!D327)))</f>
        <v/>
      </c>
      <c r="AF312" t="s">
        <v>200</v>
      </c>
      <c r="AG312">
        <f>IF(AND(AA312&lt;&gt;"",COUNTIF($AA$5:AA312,AA312)=1),1,0)</f>
        <v>0</v>
      </c>
      <c r="AH312" t="str">
        <f>IF(AG312=1,SUM($AG$5:AG312),"")</f>
        <v/>
      </c>
      <c r="AI312">
        <f>IF(OR(EXACT(Asistencia!F327,"A"),EXACT(Asistencia!F327,"R"),EXACT(Asistencia!F327,"DL"),EXACT(Asistencia!F327,"FL"),EXACT(Asistencia!F327,"FE"),EXACT(Asistencia!F327,"PCS"),EXACT(Asistencia!F327,"V")),1,0)</f>
        <v>0</v>
      </c>
      <c r="AJ312">
        <f>IF(OR(EXACT(Asistencia!G327,"A"),EXACT(Asistencia!G327,"R"),EXACT(Asistencia!G327,"DL"),EXACT(Asistencia!G327,"FL"),EXACT(Asistencia!G327,"FE"),EXACT(Asistencia!G327,"PCS"),EXACT(Asistencia!G327,"V")),1,0)</f>
        <v>0</v>
      </c>
      <c r="AK312">
        <f>IF(OR(EXACT(Asistencia!H327,"A"),EXACT(Asistencia!H327,"R"),EXACT(Asistencia!H327,"DL"),EXACT(Asistencia!H327,"FL"),EXACT(Asistencia!H327,"FE"),EXACT(Asistencia!H327,"PCS"),EXACT(Asistencia!H327,"V")),1,0)</f>
        <v>0</v>
      </c>
      <c r="AL312">
        <f>IF(OR(EXACT(Asistencia!I327,"A"),EXACT(Asistencia!I327,"R"),EXACT(Asistencia!I327,"DL"),EXACT(Asistencia!I327,"FL"),EXACT(Asistencia!I327,"FE"),EXACT(Asistencia!I327,"PCS"),EXACT(Asistencia!I327,"V")),1,0)</f>
        <v>0</v>
      </c>
      <c r="AM312">
        <f>IF(OR(EXACT(Asistencia!J327,"A"),EXACT(Asistencia!J327,"R"),EXACT(Asistencia!J327,"DL"),EXACT(Asistencia!J327,"FL"),EXACT(Asistencia!J327,"FE"),EXACT(Asistencia!J327,"PCS"),EXACT(Asistencia!J327,"V")),1,0)</f>
        <v>0</v>
      </c>
      <c r="AN312">
        <f>IF(OR(EXACT(Asistencia!K327,"A"),EXACT(Asistencia!K327,"R"),EXACT(Asistencia!K327,"DL"),EXACT(Asistencia!K327,"FL"),EXACT(Asistencia!K327,"FE"),EXACT(Asistencia!K327,"PCS"),EXACT(Asistencia!K327,"V")),1,0)</f>
        <v>0</v>
      </c>
      <c r="AO312">
        <f>IF(OR(EXACT(Asistencia!L327,"A"),EXACT(Asistencia!L327,"R"),EXACT(Asistencia!L327,"DL"),EXACT(Asistencia!L327,"FL"),EXACT(Asistencia!L327,"FE"),EXACT(Asistencia!L327,"PCS"),EXACT(Asistencia!L327,"V")),1,0)</f>
        <v>0</v>
      </c>
      <c r="AP312">
        <f t="shared" si="93"/>
        <v>0</v>
      </c>
      <c r="AQ312">
        <f>IF(EXACT(Asistencia!F327,"FL"),1,0)</f>
        <v>0</v>
      </c>
      <c r="AR312">
        <f>IF(EXACT(Asistencia!G327,"FL"),1,0)</f>
        <v>0</v>
      </c>
      <c r="AS312">
        <f>IF(EXACT(Asistencia!H327,"FL"),1,0)</f>
        <v>0</v>
      </c>
      <c r="AT312">
        <f>IF(EXACT(Asistencia!I327,"FL"),1,0)</f>
        <v>0</v>
      </c>
      <c r="AU312">
        <f>IF(EXACT(Asistencia!J327,"FL"),1,0)</f>
        <v>0</v>
      </c>
      <c r="AV312">
        <f>IF(EXACT(Asistencia!K327,"FL"),1,0)</f>
        <v>0</v>
      </c>
      <c r="AW312">
        <f>IF(EXACT(Asistencia!L327,"FL"),1,0)</f>
        <v>0</v>
      </c>
      <c r="AX312">
        <f t="shared" si="94"/>
        <v>0</v>
      </c>
      <c r="AY312">
        <f>IF(EXACT(Asistencia!F327,"DL"),1,0)</f>
        <v>0</v>
      </c>
      <c r="AZ312">
        <f>IF(EXACT(Asistencia!G327,"DL"),1,0)</f>
        <v>0</v>
      </c>
      <c r="BA312">
        <f>IF(EXACT(Asistencia!H327,"DL"),1,0)</f>
        <v>0</v>
      </c>
      <c r="BB312">
        <f>IF(EXACT(Asistencia!I327,"DL"),1,0)</f>
        <v>0</v>
      </c>
      <c r="BC312">
        <f>IF(EXACT(Asistencia!J327,"DL"),1,0)</f>
        <v>0</v>
      </c>
      <c r="BD312">
        <f>IF(EXACT(Asistencia!K327,"DL"),1,0)</f>
        <v>0</v>
      </c>
      <c r="BE312">
        <f>IF(EXACT(Asistencia!L327,"DL"),1,0)</f>
        <v>0</v>
      </c>
      <c r="BF312">
        <f t="shared" si="95"/>
        <v>0</v>
      </c>
      <c r="BG312">
        <f>IF(ISNUMBER(Asistencia!M327),Asistencia!M327,0)</f>
        <v>0</v>
      </c>
      <c r="BH312">
        <f>IF(ISNUMBER(Asistencia!N327),Asistencia!N327,0)</f>
        <v>0</v>
      </c>
      <c r="BI312">
        <f>IF(ISNUMBER(Asistencia!O327),Asistencia!O327,0)</f>
        <v>0</v>
      </c>
      <c r="BJ312">
        <f>IF(ISNUMBER(Asistencia!P327),Asistencia!P327,0)</f>
        <v>0</v>
      </c>
      <c r="BK312" t="str">
        <f>IF(Asistencia!F327="","",Asistencia!F327)</f>
        <v/>
      </c>
      <c r="BL312" t="str">
        <f>IF(Asistencia!G327="","",Asistencia!G327)</f>
        <v/>
      </c>
      <c r="BM312" t="str">
        <f>IF(Asistencia!H327="","",Asistencia!H327)</f>
        <v/>
      </c>
      <c r="BN312" t="str">
        <f>IF(Asistencia!I327="","",Asistencia!I327)</f>
        <v/>
      </c>
      <c r="BO312" t="str">
        <f>IF(Asistencia!J327="","",Asistencia!J327)</f>
        <v/>
      </c>
      <c r="BP312" t="str">
        <f>IF(Asistencia!K327="","",Asistencia!K327)</f>
        <v/>
      </c>
      <c r="BQ312" t="str">
        <f>IF(Asistencia!L327="","",Asistencia!L327)</f>
        <v/>
      </c>
    </row>
    <row r="313" spans="27:69" x14ac:dyDescent="0.25">
      <c r="AA313" t="str">
        <f t="shared" si="92"/>
        <v/>
      </c>
      <c r="AB313" t="str">
        <f>IF(Asistencia!A328="","",Asistencia!A328)</f>
        <v/>
      </c>
      <c r="AC313" t="str">
        <f>IF(Asistencia!A328="","",SUBSTITUTE(SUBSTITUTE(SUBSTITUTE(SUBSTITUTE(SUBSTITUTE(SUBSTITUTE(SUBSTITUTE(UPPER(TRIM(Asistencia!A328)),"Á","A"),"É","E"),"Í","I"),"Ó","O"),"Ú","U"),"Ñ","N"),"  "," "))</f>
        <v/>
      </c>
      <c r="AD313" t="str">
        <f>IF(Asistencia!E328="","",Asistencia!E328)</f>
        <v/>
      </c>
      <c r="AE313" t="str">
        <f>IF(Asistencia!D328="","",UPPER(TRIM(Asistencia!D328)))</f>
        <v/>
      </c>
      <c r="AF313" t="s">
        <v>200</v>
      </c>
      <c r="AG313">
        <f>IF(AND(AA313&lt;&gt;"",COUNTIF($AA$5:AA313,AA313)=1),1,0)</f>
        <v>0</v>
      </c>
      <c r="AH313" t="str">
        <f>IF(AG313=1,SUM($AG$5:AG313),"")</f>
        <v/>
      </c>
      <c r="AI313">
        <f>IF(OR(EXACT(Asistencia!F328,"A"),EXACT(Asistencia!F328,"R"),EXACT(Asistencia!F328,"DL"),EXACT(Asistencia!F328,"FL"),EXACT(Asistencia!F328,"FE"),EXACT(Asistencia!F328,"PCS"),EXACT(Asistencia!F328,"V")),1,0)</f>
        <v>0</v>
      </c>
      <c r="AJ313">
        <f>IF(OR(EXACT(Asistencia!G328,"A"),EXACT(Asistencia!G328,"R"),EXACT(Asistencia!G328,"DL"),EXACT(Asistencia!G328,"FL"),EXACT(Asistencia!G328,"FE"),EXACT(Asistencia!G328,"PCS"),EXACT(Asistencia!G328,"V")),1,0)</f>
        <v>0</v>
      </c>
      <c r="AK313">
        <f>IF(OR(EXACT(Asistencia!H328,"A"),EXACT(Asistencia!H328,"R"),EXACT(Asistencia!H328,"DL"),EXACT(Asistencia!H328,"FL"),EXACT(Asistencia!H328,"FE"),EXACT(Asistencia!H328,"PCS"),EXACT(Asistencia!H328,"V")),1,0)</f>
        <v>0</v>
      </c>
      <c r="AL313">
        <f>IF(OR(EXACT(Asistencia!I328,"A"),EXACT(Asistencia!I328,"R"),EXACT(Asistencia!I328,"DL"),EXACT(Asistencia!I328,"FL"),EXACT(Asistencia!I328,"FE"),EXACT(Asistencia!I328,"PCS"),EXACT(Asistencia!I328,"V")),1,0)</f>
        <v>0</v>
      </c>
      <c r="AM313">
        <f>IF(OR(EXACT(Asistencia!J328,"A"),EXACT(Asistencia!J328,"R"),EXACT(Asistencia!J328,"DL"),EXACT(Asistencia!J328,"FL"),EXACT(Asistencia!J328,"FE"),EXACT(Asistencia!J328,"PCS"),EXACT(Asistencia!J328,"V")),1,0)</f>
        <v>0</v>
      </c>
      <c r="AN313">
        <f>IF(OR(EXACT(Asistencia!K328,"A"),EXACT(Asistencia!K328,"R"),EXACT(Asistencia!K328,"DL"),EXACT(Asistencia!K328,"FL"),EXACT(Asistencia!K328,"FE"),EXACT(Asistencia!K328,"PCS"),EXACT(Asistencia!K328,"V")),1,0)</f>
        <v>0</v>
      </c>
      <c r="AO313">
        <f>IF(OR(EXACT(Asistencia!L328,"A"),EXACT(Asistencia!L328,"R"),EXACT(Asistencia!L328,"DL"),EXACT(Asistencia!L328,"FL"),EXACT(Asistencia!L328,"FE"),EXACT(Asistencia!L328,"PCS"),EXACT(Asistencia!L328,"V")),1,0)</f>
        <v>0</v>
      </c>
      <c r="AP313">
        <f t="shared" si="93"/>
        <v>0</v>
      </c>
      <c r="AQ313">
        <f>IF(EXACT(Asistencia!F328,"FL"),1,0)</f>
        <v>0</v>
      </c>
      <c r="AR313">
        <f>IF(EXACT(Asistencia!G328,"FL"),1,0)</f>
        <v>0</v>
      </c>
      <c r="AS313">
        <f>IF(EXACT(Asistencia!H328,"FL"),1,0)</f>
        <v>0</v>
      </c>
      <c r="AT313">
        <f>IF(EXACT(Asistencia!I328,"FL"),1,0)</f>
        <v>0</v>
      </c>
      <c r="AU313">
        <f>IF(EXACT(Asistencia!J328,"FL"),1,0)</f>
        <v>0</v>
      </c>
      <c r="AV313">
        <f>IF(EXACT(Asistencia!K328,"FL"),1,0)</f>
        <v>0</v>
      </c>
      <c r="AW313">
        <f>IF(EXACT(Asistencia!L328,"FL"),1,0)</f>
        <v>0</v>
      </c>
      <c r="AX313">
        <f t="shared" si="94"/>
        <v>0</v>
      </c>
      <c r="AY313">
        <f>IF(EXACT(Asistencia!F328,"DL"),1,0)</f>
        <v>0</v>
      </c>
      <c r="AZ313">
        <f>IF(EXACT(Asistencia!G328,"DL"),1,0)</f>
        <v>0</v>
      </c>
      <c r="BA313">
        <f>IF(EXACT(Asistencia!H328,"DL"),1,0)</f>
        <v>0</v>
      </c>
      <c r="BB313">
        <f>IF(EXACT(Asistencia!I328,"DL"),1,0)</f>
        <v>0</v>
      </c>
      <c r="BC313">
        <f>IF(EXACT(Asistencia!J328,"DL"),1,0)</f>
        <v>0</v>
      </c>
      <c r="BD313">
        <f>IF(EXACT(Asistencia!K328,"DL"),1,0)</f>
        <v>0</v>
      </c>
      <c r="BE313">
        <f>IF(EXACT(Asistencia!L328,"DL"),1,0)</f>
        <v>0</v>
      </c>
      <c r="BF313">
        <f t="shared" si="95"/>
        <v>0</v>
      </c>
      <c r="BG313">
        <f>IF(ISNUMBER(Asistencia!M328),Asistencia!M328,0)</f>
        <v>0</v>
      </c>
      <c r="BH313">
        <f>IF(ISNUMBER(Asistencia!N328),Asistencia!N328,0)</f>
        <v>0</v>
      </c>
      <c r="BI313">
        <f>IF(ISNUMBER(Asistencia!O328),Asistencia!O328,0)</f>
        <v>0</v>
      </c>
      <c r="BJ313">
        <f>IF(ISNUMBER(Asistencia!P328),Asistencia!P328,0)</f>
        <v>0</v>
      </c>
      <c r="BK313" t="str">
        <f>IF(Asistencia!F328="","",Asistencia!F328)</f>
        <v/>
      </c>
      <c r="BL313" t="str">
        <f>IF(Asistencia!G328="","",Asistencia!G328)</f>
        <v/>
      </c>
      <c r="BM313" t="str">
        <f>IF(Asistencia!H328="","",Asistencia!H328)</f>
        <v/>
      </c>
      <c r="BN313" t="str">
        <f>IF(Asistencia!I328="","",Asistencia!I328)</f>
        <v/>
      </c>
      <c r="BO313" t="str">
        <f>IF(Asistencia!J328="","",Asistencia!J328)</f>
        <v/>
      </c>
      <c r="BP313" t="str">
        <f>IF(Asistencia!K328="","",Asistencia!K328)</f>
        <v/>
      </c>
      <c r="BQ313" t="str">
        <f>IF(Asistencia!L328="","",Asistencia!L328)</f>
        <v/>
      </c>
    </row>
    <row r="314" spans="27:69" x14ac:dyDescent="0.25">
      <c r="AA314" t="str">
        <f t="shared" si="92"/>
        <v/>
      </c>
      <c r="AB314" t="str">
        <f>IF(Asistencia!A329="","",Asistencia!A329)</f>
        <v/>
      </c>
      <c r="AC314" t="str">
        <f>IF(Asistencia!A329="","",SUBSTITUTE(SUBSTITUTE(SUBSTITUTE(SUBSTITUTE(SUBSTITUTE(SUBSTITUTE(SUBSTITUTE(UPPER(TRIM(Asistencia!A329)),"Á","A"),"É","E"),"Í","I"),"Ó","O"),"Ú","U"),"Ñ","N"),"  "," "))</f>
        <v/>
      </c>
      <c r="AD314" t="str">
        <f>IF(Asistencia!E329="","",Asistencia!E329)</f>
        <v/>
      </c>
      <c r="AE314" t="str">
        <f>IF(Asistencia!D329="","",UPPER(TRIM(Asistencia!D329)))</f>
        <v/>
      </c>
      <c r="AF314" t="s">
        <v>200</v>
      </c>
      <c r="AG314">
        <f>IF(AND(AA314&lt;&gt;"",COUNTIF($AA$5:AA314,AA314)=1),1,0)</f>
        <v>0</v>
      </c>
      <c r="AH314" t="str">
        <f>IF(AG314=1,SUM($AG$5:AG314),"")</f>
        <v/>
      </c>
      <c r="AI314">
        <f>IF(OR(EXACT(Asistencia!F329,"A"),EXACT(Asistencia!F329,"R"),EXACT(Asistencia!F329,"DL"),EXACT(Asistencia!F329,"FL"),EXACT(Asistencia!F329,"FE"),EXACT(Asistencia!F329,"PCS"),EXACT(Asistencia!F329,"V")),1,0)</f>
        <v>0</v>
      </c>
      <c r="AJ314">
        <f>IF(OR(EXACT(Asistencia!G329,"A"),EXACT(Asistencia!G329,"R"),EXACT(Asistencia!G329,"DL"),EXACT(Asistencia!G329,"FL"),EXACT(Asistencia!G329,"FE"),EXACT(Asistencia!G329,"PCS"),EXACT(Asistencia!G329,"V")),1,0)</f>
        <v>0</v>
      </c>
      <c r="AK314">
        <f>IF(OR(EXACT(Asistencia!H329,"A"),EXACT(Asistencia!H329,"R"),EXACT(Asistencia!H329,"DL"),EXACT(Asistencia!H329,"FL"),EXACT(Asistencia!H329,"FE"),EXACT(Asistencia!H329,"PCS"),EXACT(Asistencia!H329,"V")),1,0)</f>
        <v>0</v>
      </c>
      <c r="AL314">
        <f>IF(OR(EXACT(Asistencia!I329,"A"),EXACT(Asistencia!I329,"R"),EXACT(Asistencia!I329,"DL"),EXACT(Asistencia!I329,"FL"),EXACT(Asistencia!I329,"FE"),EXACT(Asistencia!I329,"PCS"),EXACT(Asistencia!I329,"V")),1,0)</f>
        <v>0</v>
      </c>
      <c r="AM314">
        <f>IF(OR(EXACT(Asistencia!J329,"A"),EXACT(Asistencia!J329,"R"),EXACT(Asistencia!J329,"DL"),EXACT(Asistencia!J329,"FL"),EXACT(Asistencia!J329,"FE"),EXACT(Asistencia!J329,"PCS"),EXACT(Asistencia!J329,"V")),1,0)</f>
        <v>0</v>
      </c>
      <c r="AN314">
        <f>IF(OR(EXACT(Asistencia!K329,"A"),EXACT(Asistencia!K329,"R"),EXACT(Asistencia!K329,"DL"),EXACT(Asistencia!K329,"FL"),EXACT(Asistencia!K329,"FE"),EXACT(Asistencia!K329,"PCS"),EXACT(Asistencia!K329,"V")),1,0)</f>
        <v>0</v>
      </c>
      <c r="AO314">
        <f>IF(OR(EXACT(Asistencia!L329,"A"),EXACT(Asistencia!L329,"R"),EXACT(Asistencia!L329,"DL"),EXACT(Asistencia!L329,"FL"),EXACT(Asistencia!L329,"FE"),EXACT(Asistencia!L329,"PCS"),EXACT(Asistencia!L329,"V")),1,0)</f>
        <v>0</v>
      </c>
      <c r="AP314">
        <f t="shared" si="93"/>
        <v>0</v>
      </c>
      <c r="AQ314">
        <f>IF(EXACT(Asistencia!F329,"FL"),1,0)</f>
        <v>0</v>
      </c>
      <c r="AR314">
        <f>IF(EXACT(Asistencia!G329,"FL"),1,0)</f>
        <v>0</v>
      </c>
      <c r="AS314">
        <f>IF(EXACT(Asistencia!H329,"FL"),1,0)</f>
        <v>0</v>
      </c>
      <c r="AT314">
        <f>IF(EXACT(Asistencia!I329,"FL"),1,0)</f>
        <v>0</v>
      </c>
      <c r="AU314">
        <f>IF(EXACT(Asistencia!J329,"FL"),1,0)</f>
        <v>0</v>
      </c>
      <c r="AV314">
        <f>IF(EXACT(Asistencia!K329,"FL"),1,0)</f>
        <v>0</v>
      </c>
      <c r="AW314">
        <f>IF(EXACT(Asistencia!L329,"FL"),1,0)</f>
        <v>0</v>
      </c>
      <c r="AX314">
        <f t="shared" si="94"/>
        <v>0</v>
      </c>
      <c r="AY314">
        <f>IF(EXACT(Asistencia!F329,"DL"),1,0)</f>
        <v>0</v>
      </c>
      <c r="AZ314">
        <f>IF(EXACT(Asistencia!G329,"DL"),1,0)</f>
        <v>0</v>
      </c>
      <c r="BA314">
        <f>IF(EXACT(Asistencia!H329,"DL"),1,0)</f>
        <v>0</v>
      </c>
      <c r="BB314">
        <f>IF(EXACT(Asistencia!I329,"DL"),1,0)</f>
        <v>0</v>
      </c>
      <c r="BC314">
        <f>IF(EXACT(Asistencia!J329,"DL"),1,0)</f>
        <v>0</v>
      </c>
      <c r="BD314">
        <f>IF(EXACT(Asistencia!K329,"DL"),1,0)</f>
        <v>0</v>
      </c>
      <c r="BE314">
        <f>IF(EXACT(Asistencia!L329,"DL"),1,0)</f>
        <v>0</v>
      </c>
      <c r="BF314">
        <f t="shared" si="95"/>
        <v>0</v>
      </c>
      <c r="BG314">
        <f>IF(ISNUMBER(Asistencia!M329),Asistencia!M329,0)</f>
        <v>0</v>
      </c>
      <c r="BH314">
        <f>IF(ISNUMBER(Asistencia!N329),Asistencia!N329,0)</f>
        <v>0</v>
      </c>
      <c r="BI314">
        <f>IF(ISNUMBER(Asistencia!O329),Asistencia!O329,0)</f>
        <v>0</v>
      </c>
      <c r="BJ314">
        <f>IF(ISNUMBER(Asistencia!P329),Asistencia!P329,0)</f>
        <v>0</v>
      </c>
      <c r="BK314" t="str">
        <f>IF(Asistencia!F329="","",Asistencia!F329)</f>
        <v/>
      </c>
      <c r="BL314" t="str">
        <f>IF(Asistencia!G329="","",Asistencia!G329)</f>
        <v/>
      </c>
      <c r="BM314" t="str">
        <f>IF(Asistencia!H329="","",Asistencia!H329)</f>
        <v/>
      </c>
      <c r="BN314" t="str">
        <f>IF(Asistencia!I329="","",Asistencia!I329)</f>
        <v/>
      </c>
      <c r="BO314" t="str">
        <f>IF(Asistencia!J329="","",Asistencia!J329)</f>
        <v/>
      </c>
      <c r="BP314" t="str">
        <f>IF(Asistencia!K329="","",Asistencia!K329)</f>
        <v/>
      </c>
      <c r="BQ314" t="str">
        <f>IF(Asistencia!L329="","",Asistencia!L329)</f>
        <v/>
      </c>
    </row>
    <row r="315" spans="27:69" x14ac:dyDescent="0.25">
      <c r="AA315" t="str">
        <f t="shared" si="92"/>
        <v/>
      </c>
      <c r="AB315" t="str">
        <f>IF(Asistencia!A330="","",Asistencia!A330)</f>
        <v/>
      </c>
      <c r="AC315" t="str">
        <f>IF(Asistencia!A330="","",SUBSTITUTE(SUBSTITUTE(SUBSTITUTE(SUBSTITUTE(SUBSTITUTE(SUBSTITUTE(SUBSTITUTE(UPPER(TRIM(Asistencia!A330)),"Á","A"),"É","E"),"Í","I"),"Ó","O"),"Ú","U"),"Ñ","N"),"  "," "))</f>
        <v/>
      </c>
      <c r="AD315" t="str">
        <f>IF(Asistencia!E330="","",Asistencia!E330)</f>
        <v/>
      </c>
      <c r="AE315" t="str">
        <f>IF(Asistencia!D330="","",UPPER(TRIM(Asistencia!D330)))</f>
        <v/>
      </c>
      <c r="AF315" t="s">
        <v>200</v>
      </c>
      <c r="AG315">
        <f>IF(AND(AA315&lt;&gt;"",COUNTIF($AA$5:AA315,AA315)=1),1,0)</f>
        <v>0</v>
      </c>
      <c r="AH315" t="str">
        <f>IF(AG315=1,SUM($AG$5:AG315),"")</f>
        <v/>
      </c>
      <c r="AI315">
        <f>IF(OR(EXACT(Asistencia!F330,"A"),EXACT(Asistencia!F330,"R"),EXACT(Asistencia!F330,"DL"),EXACT(Asistencia!F330,"FL"),EXACT(Asistencia!F330,"FE"),EXACT(Asistencia!F330,"PCS"),EXACT(Asistencia!F330,"V")),1,0)</f>
        <v>0</v>
      </c>
      <c r="AJ315">
        <f>IF(OR(EXACT(Asistencia!G330,"A"),EXACT(Asistencia!G330,"R"),EXACT(Asistencia!G330,"DL"),EXACT(Asistencia!G330,"FL"),EXACT(Asistencia!G330,"FE"),EXACT(Asistencia!G330,"PCS"),EXACT(Asistencia!G330,"V")),1,0)</f>
        <v>0</v>
      </c>
      <c r="AK315">
        <f>IF(OR(EXACT(Asistencia!H330,"A"),EXACT(Asistencia!H330,"R"),EXACT(Asistencia!H330,"DL"),EXACT(Asistencia!H330,"FL"),EXACT(Asistencia!H330,"FE"),EXACT(Asistencia!H330,"PCS"),EXACT(Asistencia!H330,"V")),1,0)</f>
        <v>0</v>
      </c>
      <c r="AL315">
        <f>IF(OR(EXACT(Asistencia!I330,"A"),EXACT(Asistencia!I330,"R"),EXACT(Asistencia!I330,"DL"),EXACT(Asistencia!I330,"FL"),EXACT(Asistencia!I330,"FE"),EXACT(Asistencia!I330,"PCS"),EXACT(Asistencia!I330,"V")),1,0)</f>
        <v>0</v>
      </c>
      <c r="AM315">
        <f>IF(OR(EXACT(Asistencia!J330,"A"),EXACT(Asistencia!J330,"R"),EXACT(Asistencia!J330,"DL"),EXACT(Asistencia!J330,"FL"),EXACT(Asistencia!J330,"FE"),EXACT(Asistencia!J330,"PCS"),EXACT(Asistencia!J330,"V")),1,0)</f>
        <v>0</v>
      </c>
      <c r="AN315">
        <f>IF(OR(EXACT(Asistencia!K330,"A"),EXACT(Asistencia!K330,"R"),EXACT(Asistencia!K330,"DL"),EXACT(Asistencia!K330,"FL"),EXACT(Asistencia!K330,"FE"),EXACT(Asistencia!K330,"PCS"),EXACT(Asistencia!K330,"V")),1,0)</f>
        <v>0</v>
      </c>
      <c r="AO315">
        <f>IF(OR(EXACT(Asistencia!L330,"A"),EXACT(Asistencia!L330,"R"),EXACT(Asistencia!L330,"DL"),EXACT(Asistencia!L330,"FL"),EXACT(Asistencia!L330,"FE"),EXACT(Asistencia!L330,"PCS"),EXACT(Asistencia!L330,"V")),1,0)</f>
        <v>0</v>
      </c>
      <c r="AP315">
        <f t="shared" si="93"/>
        <v>0</v>
      </c>
      <c r="AQ315">
        <f>IF(EXACT(Asistencia!F330,"FL"),1,0)</f>
        <v>0</v>
      </c>
      <c r="AR315">
        <f>IF(EXACT(Asistencia!G330,"FL"),1,0)</f>
        <v>0</v>
      </c>
      <c r="AS315">
        <f>IF(EXACT(Asistencia!H330,"FL"),1,0)</f>
        <v>0</v>
      </c>
      <c r="AT315">
        <f>IF(EXACT(Asistencia!I330,"FL"),1,0)</f>
        <v>0</v>
      </c>
      <c r="AU315">
        <f>IF(EXACT(Asistencia!J330,"FL"),1,0)</f>
        <v>0</v>
      </c>
      <c r="AV315">
        <f>IF(EXACT(Asistencia!K330,"FL"),1,0)</f>
        <v>0</v>
      </c>
      <c r="AW315">
        <f>IF(EXACT(Asistencia!L330,"FL"),1,0)</f>
        <v>0</v>
      </c>
      <c r="AX315">
        <f t="shared" si="94"/>
        <v>0</v>
      </c>
      <c r="AY315">
        <f>IF(EXACT(Asistencia!F330,"DL"),1,0)</f>
        <v>0</v>
      </c>
      <c r="AZ315">
        <f>IF(EXACT(Asistencia!G330,"DL"),1,0)</f>
        <v>0</v>
      </c>
      <c r="BA315">
        <f>IF(EXACT(Asistencia!H330,"DL"),1,0)</f>
        <v>0</v>
      </c>
      <c r="BB315">
        <f>IF(EXACT(Asistencia!I330,"DL"),1,0)</f>
        <v>0</v>
      </c>
      <c r="BC315">
        <f>IF(EXACT(Asistencia!J330,"DL"),1,0)</f>
        <v>0</v>
      </c>
      <c r="BD315">
        <f>IF(EXACT(Asistencia!K330,"DL"),1,0)</f>
        <v>0</v>
      </c>
      <c r="BE315">
        <f>IF(EXACT(Asistencia!L330,"DL"),1,0)</f>
        <v>0</v>
      </c>
      <c r="BF315">
        <f t="shared" si="95"/>
        <v>0</v>
      </c>
      <c r="BG315">
        <f>IF(ISNUMBER(Asistencia!M330),Asistencia!M330,0)</f>
        <v>0</v>
      </c>
      <c r="BH315">
        <f>IF(ISNUMBER(Asistencia!N330),Asistencia!N330,0)</f>
        <v>0</v>
      </c>
      <c r="BI315">
        <f>IF(ISNUMBER(Asistencia!O330),Asistencia!O330,0)</f>
        <v>0</v>
      </c>
      <c r="BJ315">
        <f>IF(ISNUMBER(Asistencia!P330),Asistencia!P330,0)</f>
        <v>0</v>
      </c>
      <c r="BK315" t="str">
        <f>IF(Asistencia!F330="","",Asistencia!F330)</f>
        <v/>
      </c>
      <c r="BL315" t="str">
        <f>IF(Asistencia!G330="","",Asistencia!G330)</f>
        <v/>
      </c>
      <c r="BM315" t="str">
        <f>IF(Asistencia!H330="","",Asistencia!H330)</f>
        <v/>
      </c>
      <c r="BN315" t="str">
        <f>IF(Asistencia!I330="","",Asistencia!I330)</f>
        <v/>
      </c>
      <c r="BO315" t="str">
        <f>IF(Asistencia!J330="","",Asistencia!J330)</f>
        <v/>
      </c>
      <c r="BP315" t="str">
        <f>IF(Asistencia!K330="","",Asistencia!K330)</f>
        <v/>
      </c>
      <c r="BQ315" t="str">
        <f>IF(Asistencia!L330="","",Asistencia!L330)</f>
        <v/>
      </c>
    </row>
    <row r="316" spans="27:69" x14ac:dyDescent="0.25">
      <c r="AA316" t="str">
        <f t="shared" si="92"/>
        <v/>
      </c>
      <c r="AB316" t="str">
        <f>IF(Asistencia!A331="","",Asistencia!A331)</f>
        <v/>
      </c>
      <c r="AC316" t="str">
        <f>IF(Asistencia!A331="","",SUBSTITUTE(SUBSTITUTE(SUBSTITUTE(SUBSTITUTE(SUBSTITUTE(SUBSTITUTE(SUBSTITUTE(UPPER(TRIM(Asistencia!A331)),"Á","A"),"É","E"),"Í","I"),"Ó","O"),"Ú","U"),"Ñ","N"),"  "," "))</f>
        <v/>
      </c>
      <c r="AD316" t="str">
        <f>IF(Asistencia!E331="","",Asistencia!E331)</f>
        <v/>
      </c>
      <c r="AE316" t="str">
        <f>IF(Asistencia!D331="","",UPPER(TRIM(Asistencia!D331)))</f>
        <v/>
      </c>
      <c r="AF316" t="s">
        <v>200</v>
      </c>
      <c r="AG316">
        <f>IF(AND(AA316&lt;&gt;"",COUNTIF($AA$5:AA316,AA316)=1),1,0)</f>
        <v>0</v>
      </c>
      <c r="AH316" t="str">
        <f>IF(AG316=1,SUM($AG$5:AG316),"")</f>
        <v/>
      </c>
      <c r="AI316">
        <f>IF(OR(EXACT(Asistencia!F331,"A"),EXACT(Asistencia!F331,"R"),EXACT(Asistencia!F331,"DL"),EXACT(Asistencia!F331,"FL"),EXACT(Asistencia!F331,"FE"),EXACT(Asistencia!F331,"PCS"),EXACT(Asistencia!F331,"V")),1,0)</f>
        <v>0</v>
      </c>
      <c r="AJ316">
        <f>IF(OR(EXACT(Asistencia!G331,"A"),EXACT(Asistencia!G331,"R"),EXACT(Asistencia!G331,"DL"),EXACT(Asistencia!G331,"FL"),EXACT(Asistencia!G331,"FE"),EXACT(Asistencia!G331,"PCS"),EXACT(Asistencia!G331,"V")),1,0)</f>
        <v>0</v>
      </c>
      <c r="AK316">
        <f>IF(OR(EXACT(Asistencia!H331,"A"),EXACT(Asistencia!H331,"R"),EXACT(Asistencia!H331,"DL"),EXACT(Asistencia!H331,"FL"),EXACT(Asistencia!H331,"FE"),EXACT(Asistencia!H331,"PCS"),EXACT(Asistencia!H331,"V")),1,0)</f>
        <v>0</v>
      </c>
      <c r="AL316">
        <f>IF(OR(EXACT(Asistencia!I331,"A"),EXACT(Asistencia!I331,"R"),EXACT(Asistencia!I331,"DL"),EXACT(Asistencia!I331,"FL"),EXACT(Asistencia!I331,"FE"),EXACT(Asistencia!I331,"PCS"),EXACT(Asistencia!I331,"V")),1,0)</f>
        <v>0</v>
      </c>
      <c r="AM316">
        <f>IF(OR(EXACT(Asistencia!J331,"A"),EXACT(Asistencia!J331,"R"),EXACT(Asistencia!J331,"DL"),EXACT(Asistencia!J331,"FL"),EXACT(Asistencia!J331,"FE"),EXACT(Asistencia!J331,"PCS"),EXACT(Asistencia!J331,"V")),1,0)</f>
        <v>0</v>
      </c>
      <c r="AN316">
        <f>IF(OR(EXACT(Asistencia!K331,"A"),EXACT(Asistencia!K331,"R"),EXACT(Asistencia!K331,"DL"),EXACT(Asistencia!K331,"FL"),EXACT(Asistencia!K331,"FE"),EXACT(Asistencia!K331,"PCS"),EXACT(Asistencia!K331,"V")),1,0)</f>
        <v>0</v>
      </c>
      <c r="AO316">
        <f>IF(OR(EXACT(Asistencia!L331,"A"),EXACT(Asistencia!L331,"R"),EXACT(Asistencia!L331,"DL"),EXACT(Asistencia!L331,"FL"),EXACT(Asistencia!L331,"FE"),EXACT(Asistencia!L331,"PCS"),EXACT(Asistencia!L331,"V")),1,0)</f>
        <v>0</v>
      </c>
      <c r="AP316">
        <f t="shared" si="93"/>
        <v>0</v>
      </c>
      <c r="AQ316">
        <f>IF(EXACT(Asistencia!F331,"FL"),1,0)</f>
        <v>0</v>
      </c>
      <c r="AR316">
        <f>IF(EXACT(Asistencia!G331,"FL"),1,0)</f>
        <v>0</v>
      </c>
      <c r="AS316">
        <f>IF(EXACT(Asistencia!H331,"FL"),1,0)</f>
        <v>0</v>
      </c>
      <c r="AT316">
        <f>IF(EXACT(Asistencia!I331,"FL"),1,0)</f>
        <v>0</v>
      </c>
      <c r="AU316">
        <f>IF(EXACT(Asistencia!J331,"FL"),1,0)</f>
        <v>0</v>
      </c>
      <c r="AV316">
        <f>IF(EXACT(Asistencia!K331,"FL"),1,0)</f>
        <v>0</v>
      </c>
      <c r="AW316">
        <f>IF(EXACT(Asistencia!L331,"FL"),1,0)</f>
        <v>0</v>
      </c>
      <c r="AX316">
        <f t="shared" si="94"/>
        <v>0</v>
      </c>
      <c r="AY316">
        <f>IF(EXACT(Asistencia!F331,"DL"),1,0)</f>
        <v>0</v>
      </c>
      <c r="AZ316">
        <f>IF(EXACT(Asistencia!G331,"DL"),1,0)</f>
        <v>0</v>
      </c>
      <c r="BA316">
        <f>IF(EXACT(Asistencia!H331,"DL"),1,0)</f>
        <v>0</v>
      </c>
      <c r="BB316">
        <f>IF(EXACT(Asistencia!I331,"DL"),1,0)</f>
        <v>0</v>
      </c>
      <c r="BC316">
        <f>IF(EXACT(Asistencia!J331,"DL"),1,0)</f>
        <v>0</v>
      </c>
      <c r="BD316">
        <f>IF(EXACT(Asistencia!K331,"DL"),1,0)</f>
        <v>0</v>
      </c>
      <c r="BE316">
        <f>IF(EXACT(Asistencia!L331,"DL"),1,0)</f>
        <v>0</v>
      </c>
      <c r="BF316">
        <f t="shared" si="95"/>
        <v>0</v>
      </c>
      <c r="BG316">
        <f>IF(ISNUMBER(Asistencia!M331),Asistencia!M331,0)</f>
        <v>0</v>
      </c>
      <c r="BH316">
        <f>IF(ISNUMBER(Asistencia!N331),Asistencia!N331,0)</f>
        <v>0</v>
      </c>
      <c r="BI316">
        <f>IF(ISNUMBER(Asistencia!O331),Asistencia!O331,0)</f>
        <v>0</v>
      </c>
      <c r="BJ316">
        <f>IF(ISNUMBER(Asistencia!P331),Asistencia!P331,0)</f>
        <v>0</v>
      </c>
      <c r="BK316" t="str">
        <f>IF(Asistencia!F331="","",Asistencia!F331)</f>
        <v/>
      </c>
      <c r="BL316" t="str">
        <f>IF(Asistencia!G331="","",Asistencia!G331)</f>
        <v/>
      </c>
      <c r="BM316" t="str">
        <f>IF(Asistencia!H331="","",Asistencia!H331)</f>
        <v/>
      </c>
      <c r="BN316" t="str">
        <f>IF(Asistencia!I331="","",Asistencia!I331)</f>
        <v/>
      </c>
      <c r="BO316" t="str">
        <f>IF(Asistencia!J331="","",Asistencia!J331)</f>
        <v/>
      </c>
      <c r="BP316" t="str">
        <f>IF(Asistencia!K331="","",Asistencia!K331)</f>
        <v/>
      </c>
      <c r="BQ316" t="str">
        <f>IF(Asistencia!L331="","",Asistencia!L331)</f>
        <v/>
      </c>
    </row>
    <row r="317" spans="27:69" x14ac:dyDescent="0.25">
      <c r="AA317" t="str">
        <f t="shared" si="92"/>
        <v/>
      </c>
      <c r="AB317" t="str">
        <f>IF(Asistencia!A332="","",Asistencia!A332)</f>
        <v/>
      </c>
      <c r="AC317" t="str">
        <f>IF(Asistencia!A332="","",SUBSTITUTE(SUBSTITUTE(SUBSTITUTE(SUBSTITUTE(SUBSTITUTE(SUBSTITUTE(SUBSTITUTE(UPPER(TRIM(Asistencia!A332)),"Á","A"),"É","E"),"Í","I"),"Ó","O"),"Ú","U"),"Ñ","N"),"  "," "))</f>
        <v/>
      </c>
      <c r="AD317" t="str">
        <f>IF(Asistencia!E332="","",Asistencia!E332)</f>
        <v/>
      </c>
      <c r="AE317" t="str">
        <f>IF(Asistencia!D332="","",UPPER(TRIM(Asistencia!D332)))</f>
        <v/>
      </c>
      <c r="AF317" t="s">
        <v>200</v>
      </c>
      <c r="AG317">
        <f>IF(AND(AA317&lt;&gt;"",COUNTIF($AA$5:AA317,AA317)=1),1,0)</f>
        <v>0</v>
      </c>
      <c r="AH317" t="str">
        <f>IF(AG317=1,SUM($AG$5:AG317),"")</f>
        <v/>
      </c>
      <c r="AI317">
        <f>IF(OR(EXACT(Asistencia!F332,"A"),EXACT(Asistencia!F332,"R"),EXACT(Asistencia!F332,"DL"),EXACT(Asistencia!F332,"FL"),EXACT(Asistencia!F332,"FE"),EXACT(Asistencia!F332,"PCS"),EXACT(Asistencia!F332,"V")),1,0)</f>
        <v>0</v>
      </c>
      <c r="AJ317">
        <f>IF(OR(EXACT(Asistencia!G332,"A"),EXACT(Asistencia!G332,"R"),EXACT(Asistencia!G332,"DL"),EXACT(Asistencia!G332,"FL"),EXACT(Asistencia!G332,"FE"),EXACT(Asistencia!G332,"PCS"),EXACT(Asistencia!G332,"V")),1,0)</f>
        <v>0</v>
      </c>
      <c r="AK317">
        <f>IF(OR(EXACT(Asistencia!H332,"A"),EXACT(Asistencia!H332,"R"),EXACT(Asistencia!H332,"DL"),EXACT(Asistencia!H332,"FL"),EXACT(Asistencia!H332,"FE"),EXACT(Asistencia!H332,"PCS"),EXACT(Asistencia!H332,"V")),1,0)</f>
        <v>0</v>
      </c>
      <c r="AL317">
        <f>IF(OR(EXACT(Asistencia!I332,"A"),EXACT(Asistencia!I332,"R"),EXACT(Asistencia!I332,"DL"),EXACT(Asistencia!I332,"FL"),EXACT(Asistencia!I332,"FE"),EXACT(Asistencia!I332,"PCS"),EXACT(Asistencia!I332,"V")),1,0)</f>
        <v>0</v>
      </c>
      <c r="AM317">
        <f>IF(OR(EXACT(Asistencia!J332,"A"),EXACT(Asistencia!J332,"R"),EXACT(Asistencia!J332,"DL"),EXACT(Asistencia!J332,"FL"),EXACT(Asistencia!J332,"FE"),EXACT(Asistencia!J332,"PCS"),EXACT(Asistencia!J332,"V")),1,0)</f>
        <v>0</v>
      </c>
      <c r="AN317">
        <f>IF(OR(EXACT(Asistencia!K332,"A"),EXACT(Asistencia!K332,"R"),EXACT(Asistencia!K332,"DL"),EXACT(Asistencia!K332,"FL"),EXACT(Asistencia!K332,"FE"),EXACT(Asistencia!K332,"PCS"),EXACT(Asistencia!K332,"V")),1,0)</f>
        <v>0</v>
      </c>
      <c r="AO317">
        <f>IF(OR(EXACT(Asistencia!L332,"A"),EXACT(Asistencia!L332,"R"),EXACT(Asistencia!L332,"DL"),EXACT(Asistencia!L332,"FL"),EXACT(Asistencia!L332,"FE"),EXACT(Asistencia!L332,"PCS"),EXACT(Asistencia!L332,"V")),1,0)</f>
        <v>0</v>
      </c>
      <c r="AP317">
        <f t="shared" si="93"/>
        <v>0</v>
      </c>
      <c r="AQ317">
        <f>IF(EXACT(Asistencia!F332,"FL"),1,0)</f>
        <v>0</v>
      </c>
      <c r="AR317">
        <f>IF(EXACT(Asistencia!G332,"FL"),1,0)</f>
        <v>0</v>
      </c>
      <c r="AS317">
        <f>IF(EXACT(Asistencia!H332,"FL"),1,0)</f>
        <v>0</v>
      </c>
      <c r="AT317">
        <f>IF(EXACT(Asistencia!I332,"FL"),1,0)</f>
        <v>0</v>
      </c>
      <c r="AU317">
        <f>IF(EXACT(Asistencia!J332,"FL"),1,0)</f>
        <v>0</v>
      </c>
      <c r="AV317">
        <f>IF(EXACT(Asistencia!K332,"FL"),1,0)</f>
        <v>0</v>
      </c>
      <c r="AW317">
        <f>IF(EXACT(Asistencia!L332,"FL"),1,0)</f>
        <v>0</v>
      </c>
      <c r="AX317">
        <f t="shared" si="94"/>
        <v>0</v>
      </c>
      <c r="AY317">
        <f>IF(EXACT(Asistencia!F332,"DL"),1,0)</f>
        <v>0</v>
      </c>
      <c r="AZ317">
        <f>IF(EXACT(Asistencia!G332,"DL"),1,0)</f>
        <v>0</v>
      </c>
      <c r="BA317">
        <f>IF(EXACT(Asistencia!H332,"DL"),1,0)</f>
        <v>0</v>
      </c>
      <c r="BB317">
        <f>IF(EXACT(Asistencia!I332,"DL"),1,0)</f>
        <v>0</v>
      </c>
      <c r="BC317">
        <f>IF(EXACT(Asistencia!J332,"DL"),1,0)</f>
        <v>0</v>
      </c>
      <c r="BD317">
        <f>IF(EXACT(Asistencia!K332,"DL"),1,0)</f>
        <v>0</v>
      </c>
      <c r="BE317">
        <f>IF(EXACT(Asistencia!L332,"DL"),1,0)</f>
        <v>0</v>
      </c>
      <c r="BF317">
        <f t="shared" si="95"/>
        <v>0</v>
      </c>
      <c r="BG317">
        <f>IF(ISNUMBER(Asistencia!M332),Asistencia!M332,0)</f>
        <v>0</v>
      </c>
      <c r="BH317">
        <f>IF(ISNUMBER(Asistencia!N332),Asistencia!N332,0)</f>
        <v>0</v>
      </c>
      <c r="BI317">
        <f>IF(ISNUMBER(Asistencia!O332),Asistencia!O332,0)</f>
        <v>0</v>
      </c>
      <c r="BJ317">
        <f>IF(ISNUMBER(Asistencia!P332),Asistencia!P332,0)</f>
        <v>0</v>
      </c>
      <c r="BK317" t="str">
        <f>IF(Asistencia!F332="","",Asistencia!F332)</f>
        <v/>
      </c>
      <c r="BL317" t="str">
        <f>IF(Asistencia!G332="","",Asistencia!G332)</f>
        <v/>
      </c>
      <c r="BM317" t="str">
        <f>IF(Asistencia!H332="","",Asistencia!H332)</f>
        <v/>
      </c>
      <c r="BN317" t="str">
        <f>IF(Asistencia!I332="","",Asistencia!I332)</f>
        <v/>
      </c>
      <c r="BO317" t="str">
        <f>IF(Asistencia!J332="","",Asistencia!J332)</f>
        <v/>
      </c>
      <c r="BP317" t="str">
        <f>IF(Asistencia!K332="","",Asistencia!K332)</f>
        <v/>
      </c>
      <c r="BQ317" t="str">
        <f>IF(Asistencia!L332="","",Asistencia!L332)</f>
        <v/>
      </c>
    </row>
    <row r="318" spans="27:69" x14ac:dyDescent="0.25">
      <c r="AA318" t="str">
        <f t="shared" si="92"/>
        <v/>
      </c>
      <c r="AB318" t="str">
        <f>IF(Asistencia!A333="","",Asistencia!A333)</f>
        <v/>
      </c>
      <c r="AC318" t="str">
        <f>IF(Asistencia!A333="","",SUBSTITUTE(SUBSTITUTE(SUBSTITUTE(SUBSTITUTE(SUBSTITUTE(SUBSTITUTE(SUBSTITUTE(UPPER(TRIM(Asistencia!A333)),"Á","A"),"É","E"),"Í","I"),"Ó","O"),"Ú","U"),"Ñ","N"),"  "," "))</f>
        <v/>
      </c>
      <c r="AD318" t="str">
        <f>IF(Asistencia!E333="","",Asistencia!E333)</f>
        <v/>
      </c>
      <c r="AE318" t="str">
        <f>IF(Asistencia!D333="","",UPPER(TRIM(Asistencia!D333)))</f>
        <v/>
      </c>
      <c r="AF318" t="s">
        <v>200</v>
      </c>
      <c r="AG318">
        <f>IF(AND(AA318&lt;&gt;"",COUNTIF($AA$5:AA318,AA318)=1),1,0)</f>
        <v>0</v>
      </c>
      <c r="AH318" t="str">
        <f>IF(AG318=1,SUM($AG$5:AG318),"")</f>
        <v/>
      </c>
      <c r="AI318">
        <f>IF(OR(EXACT(Asistencia!F333,"A"),EXACT(Asistencia!F333,"R"),EXACT(Asistencia!F333,"DL"),EXACT(Asistencia!F333,"FL"),EXACT(Asistencia!F333,"FE"),EXACT(Asistencia!F333,"PCS"),EXACT(Asistencia!F333,"V")),1,0)</f>
        <v>0</v>
      </c>
      <c r="AJ318">
        <f>IF(OR(EXACT(Asistencia!G333,"A"),EXACT(Asistencia!G333,"R"),EXACT(Asistencia!G333,"DL"),EXACT(Asistencia!G333,"FL"),EXACT(Asistencia!G333,"FE"),EXACT(Asistencia!G333,"PCS"),EXACT(Asistencia!G333,"V")),1,0)</f>
        <v>0</v>
      </c>
      <c r="AK318">
        <f>IF(OR(EXACT(Asistencia!H333,"A"),EXACT(Asistencia!H333,"R"),EXACT(Asistencia!H333,"DL"),EXACT(Asistencia!H333,"FL"),EXACT(Asistencia!H333,"FE"),EXACT(Asistencia!H333,"PCS"),EXACT(Asistencia!H333,"V")),1,0)</f>
        <v>0</v>
      </c>
      <c r="AL318">
        <f>IF(OR(EXACT(Asistencia!I333,"A"),EXACT(Asistencia!I333,"R"),EXACT(Asistencia!I333,"DL"),EXACT(Asistencia!I333,"FL"),EXACT(Asistencia!I333,"FE"),EXACT(Asistencia!I333,"PCS"),EXACT(Asistencia!I333,"V")),1,0)</f>
        <v>0</v>
      </c>
      <c r="AM318">
        <f>IF(OR(EXACT(Asistencia!J333,"A"),EXACT(Asistencia!J333,"R"),EXACT(Asistencia!J333,"DL"),EXACT(Asistencia!J333,"FL"),EXACT(Asistencia!J333,"FE"),EXACT(Asistencia!J333,"PCS"),EXACT(Asistencia!J333,"V")),1,0)</f>
        <v>0</v>
      </c>
      <c r="AN318">
        <f>IF(OR(EXACT(Asistencia!K333,"A"),EXACT(Asistencia!K333,"R"),EXACT(Asistencia!K333,"DL"),EXACT(Asistencia!K333,"FL"),EXACT(Asistencia!K333,"FE"),EXACT(Asistencia!K333,"PCS"),EXACT(Asistencia!K333,"V")),1,0)</f>
        <v>0</v>
      </c>
      <c r="AO318">
        <f>IF(OR(EXACT(Asistencia!L333,"A"),EXACT(Asistencia!L333,"R"),EXACT(Asistencia!L333,"DL"),EXACT(Asistencia!L333,"FL"),EXACT(Asistencia!L333,"FE"),EXACT(Asistencia!L333,"PCS"),EXACT(Asistencia!L333,"V")),1,0)</f>
        <v>0</v>
      </c>
      <c r="AP318">
        <f t="shared" si="93"/>
        <v>0</v>
      </c>
      <c r="AQ318">
        <f>IF(EXACT(Asistencia!F333,"FL"),1,0)</f>
        <v>0</v>
      </c>
      <c r="AR318">
        <f>IF(EXACT(Asistencia!G333,"FL"),1,0)</f>
        <v>0</v>
      </c>
      <c r="AS318">
        <f>IF(EXACT(Asistencia!H333,"FL"),1,0)</f>
        <v>0</v>
      </c>
      <c r="AT318">
        <f>IF(EXACT(Asistencia!I333,"FL"),1,0)</f>
        <v>0</v>
      </c>
      <c r="AU318">
        <f>IF(EXACT(Asistencia!J333,"FL"),1,0)</f>
        <v>0</v>
      </c>
      <c r="AV318">
        <f>IF(EXACT(Asistencia!K333,"FL"),1,0)</f>
        <v>0</v>
      </c>
      <c r="AW318">
        <f>IF(EXACT(Asistencia!L333,"FL"),1,0)</f>
        <v>0</v>
      </c>
      <c r="AX318">
        <f t="shared" si="94"/>
        <v>0</v>
      </c>
      <c r="AY318">
        <f>IF(EXACT(Asistencia!F333,"DL"),1,0)</f>
        <v>0</v>
      </c>
      <c r="AZ318">
        <f>IF(EXACT(Asistencia!G333,"DL"),1,0)</f>
        <v>0</v>
      </c>
      <c r="BA318">
        <f>IF(EXACT(Asistencia!H333,"DL"),1,0)</f>
        <v>0</v>
      </c>
      <c r="BB318">
        <f>IF(EXACT(Asistencia!I333,"DL"),1,0)</f>
        <v>0</v>
      </c>
      <c r="BC318">
        <f>IF(EXACT(Asistencia!J333,"DL"),1,0)</f>
        <v>0</v>
      </c>
      <c r="BD318">
        <f>IF(EXACT(Asistencia!K333,"DL"),1,0)</f>
        <v>0</v>
      </c>
      <c r="BE318">
        <f>IF(EXACT(Asistencia!L333,"DL"),1,0)</f>
        <v>0</v>
      </c>
      <c r="BF318">
        <f t="shared" si="95"/>
        <v>0</v>
      </c>
      <c r="BG318">
        <f>IF(ISNUMBER(Asistencia!M333),Asistencia!M333,0)</f>
        <v>0</v>
      </c>
      <c r="BH318">
        <f>IF(ISNUMBER(Asistencia!N333),Asistencia!N333,0)</f>
        <v>0</v>
      </c>
      <c r="BI318">
        <f>IF(ISNUMBER(Asistencia!O333),Asistencia!O333,0)</f>
        <v>0</v>
      </c>
      <c r="BJ318">
        <f>IF(ISNUMBER(Asistencia!P333),Asistencia!P333,0)</f>
        <v>0</v>
      </c>
      <c r="BK318" t="str">
        <f>IF(Asistencia!F333="","",Asistencia!F333)</f>
        <v/>
      </c>
      <c r="BL318" t="str">
        <f>IF(Asistencia!G333="","",Asistencia!G333)</f>
        <v/>
      </c>
      <c r="BM318" t="str">
        <f>IF(Asistencia!H333="","",Asistencia!H333)</f>
        <v/>
      </c>
      <c r="BN318" t="str">
        <f>IF(Asistencia!I333="","",Asistencia!I333)</f>
        <v/>
      </c>
      <c r="BO318" t="str">
        <f>IF(Asistencia!J333="","",Asistencia!J333)</f>
        <v/>
      </c>
      <c r="BP318" t="str">
        <f>IF(Asistencia!K333="","",Asistencia!K333)</f>
        <v/>
      </c>
      <c r="BQ318" t="str">
        <f>IF(Asistencia!L333="","",Asistencia!L333)</f>
        <v/>
      </c>
    </row>
    <row r="319" spans="27:69" x14ac:dyDescent="0.25">
      <c r="AA319" t="str">
        <f t="shared" si="92"/>
        <v/>
      </c>
      <c r="AB319" t="str">
        <f>IF(Asistencia!A334="","",Asistencia!A334)</f>
        <v/>
      </c>
      <c r="AC319" t="str">
        <f>IF(Asistencia!A334="","",SUBSTITUTE(SUBSTITUTE(SUBSTITUTE(SUBSTITUTE(SUBSTITUTE(SUBSTITUTE(SUBSTITUTE(UPPER(TRIM(Asistencia!A334)),"Á","A"),"É","E"),"Í","I"),"Ó","O"),"Ú","U"),"Ñ","N"),"  "," "))</f>
        <v/>
      </c>
      <c r="AD319" t="str">
        <f>IF(Asistencia!E334="","",Asistencia!E334)</f>
        <v/>
      </c>
      <c r="AE319" t="str">
        <f>IF(Asistencia!D334="","",UPPER(TRIM(Asistencia!D334)))</f>
        <v/>
      </c>
      <c r="AF319" t="s">
        <v>200</v>
      </c>
      <c r="AG319">
        <f>IF(AND(AA319&lt;&gt;"",COUNTIF($AA$5:AA319,AA319)=1),1,0)</f>
        <v>0</v>
      </c>
      <c r="AH319" t="str">
        <f>IF(AG319=1,SUM($AG$5:AG319),"")</f>
        <v/>
      </c>
      <c r="AI319">
        <f>IF(OR(EXACT(Asistencia!F334,"A"),EXACT(Asistencia!F334,"R"),EXACT(Asistencia!F334,"DL"),EXACT(Asistencia!F334,"FL"),EXACT(Asistencia!F334,"FE"),EXACT(Asistencia!F334,"PCS"),EXACT(Asistencia!F334,"V")),1,0)</f>
        <v>0</v>
      </c>
      <c r="AJ319">
        <f>IF(OR(EXACT(Asistencia!G334,"A"),EXACT(Asistencia!G334,"R"),EXACT(Asistencia!G334,"DL"),EXACT(Asistencia!G334,"FL"),EXACT(Asistencia!G334,"FE"),EXACT(Asistencia!G334,"PCS"),EXACT(Asistencia!G334,"V")),1,0)</f>
        <v>0</v>
      </c>
      <c r="AK319">
        <f>IF(OR(EXACT(Asistencia!H334,"A"),EXACT(Asistencia!H334,"R"),EXACT(Asistencia!H334,"DL"),EXACT(Asistencia!H334,"FL"),EXACT(Asistencia!H334,"FE"),EXACT(Asistencia!H334,"PCS"),EXACT(Asistencia!H334,"V")),1,0)</f>
        <v>0</v>
      </c>
      <c r="AL319">
        <f>IF(OR(EXACT(Asistencia!I334,"A"),EXACT(Asistencia!I334,"R"),EXACT(Asistencia!I334,"DL"),EXACT(Asistencia!I334,"FL"),EXACT(Asistencia!I334,"FE"),EXACT(Asistencia!I334,"PCS"),EXACT(Asistencia!I334,"V")),1,0)</f>
        <v>0</v>
      </c>
      <c r="AM319">
        <f>IF(OR(EXACT(Asistencia!J334,"A"),EXACT(Asistencia!J334,"R"),EXACT(Asistencia!J334,"DL"),EXACT(Asistencia!J334,"FL"),EXACT(Asistencia!J334,"FE"),EXACT(Asistencia!J334,"PCS"),EXACT(Asistencia!J334,"V")),1,0)</f>
        <v>0</v>
      </c>
      <c r="AN319">
        <f>IF(OR(EXACT(Asistencia!K334,"A"),EXACT(Asistencia!K334,"R"),EXACT(Asistencia!K334,"DL"),EXACT(Asistencia!K334,"FL"),EXACT(Asistencia!K334,"FE"),EXACT(Asistencia!K334,"PCS"),EXACT(Asistencia!K334,"V")),1,0)</f>
        <v>0</v>
      </c>
      <c r="AO319">
        <f>IF(OR(EXACT(Asistencia!L334,"A"),EXACT(Asistencia!L334,"R"),EXACT(Asistencia!L334,"DL"),EXACT(Asistencia!L334,"FL"),EXACT(Asistencia!L334,"FE"),EXACT(Asistencia!L334,"PCS"),EXACT(Asistencia!L334,"V")),1,0)</f>
        <v>0</v>
      </c>
      <c r="AP319">
        <f t="shared" si="93"/>
        <v>0</v>
      </c>
      <c r="AQ319">
        <f>IF(EXACT(Asistencia!F334,"FL"),1,0)</f>
        <v>0</v>
      </c>
      <c r="AR319">
        <f>IF(EXACT(Asistencia!G334,"FL"),1,0)</f>
        <v>0</v>
      </c>
      <c r="AS319">
        <f>IF(EXACT(Asistencia!H334,"FL"),1,0)</f>
        <v>0</v>
      </c>
      <c r="AT319">
        <f>IF(EXACT(Asistencia!I334,"FL"),1,0)</f>
        <v>0</v>
      </c>
      <c r="AU319">
        <f>IF(EXACT(Asistencia!J334,"FL"),1,0)</f>
        <v>0</v>
      </c>
      <c r="AV319">
        <f>IF(EXACT(Asistencia!K334,"FL"),1,0)</f>
        <v>0</v>
      </c>
      <c r="AW319">
        <f>IF(EXACT(Asistencia!L334,"FL"),1,0)</f>
        <v>0</v>
      </c>
      <c r="AX319">
        <f t="shared" si="94"/>
        <v>0</v>
      </c>
      <c r="AY319">
        <f>IF(EXACT(Asistencia!F334,"DL"),1,0)</f>
        <v>0</v>
      </c>
      <c r="AZ319">
        <f>IF(EXACT(Asistencia!G334,"DL"),1,0)</f>
        <v>0</v>
      </c>
      <c r="BA319">
        <f>IF(EXACT(Asistencia!H334,"DL"),1,0)</f>
        <v>0</v>
      </c>
      <c r="BB319">
        <f>IF(EXACT(Asistencia!I334,"DL"),1,0)</f>
        <v>0</v>
      </c>
      <c r="BC319">
        <f>IF(EXACT(Asistencia!J334,"DL"),1,0)</f>
        <v>0</v>
      </c>
      <c r="BD319">
        <f>IF(EXACT(Asistencia!K334,"DL"),1,0)</f>
        <v>0</v>
      </c>
      <c r="BE319">
        <f>IF(EXACT(Asistencia!L334,"DL"),1,0)</f>
        <v>0</v>
      </c>
      <c r="BF319">
        <f t="shared" si="95"/>
        <v>0</v>
      </c>
      <c r="BG319">
        <f>IF(ISNUMBER(Asistencia!M334),Asistencia!M334,0)</f>
        <v>0</v>
      </c>
      <c r="BH319">
        <f>IF(ISNUMBER(Asistencia!N334),Asistencia!N334,0)</f>
        <v>0</v>
      </c>
      <c r="BI319">
        <f>IF(ISNUMBER(Asistencia!O334),Asistencia!O334,0)</f>
        <v>0</v>
      </c>
      <c r="BJ319">
        <f>IF(ISNUMBER(Asistencia!P334),Asistencia!P334,0)</f>
        <v>0</v>
      </c>
      <c r="BK319" t="str">
        <f>IF(Asistencia!F334="","",Asistencia!F334)</f>
        <v/>
      </c>
      <c r="BL319" t="str">
        <f>IF(Asistencia!G334="","",Asistencia!G334)</f>
        <v/>
      </c>
      <c r="BM319" t="str">
        <f>IF(Asistencia!H334="","",Asistencia!H334)</f>
        <v/>
      </c>
      <c r="BN319" t="str">
        <f>IF(Asistencia!I334="","",Asistencia!I334)</f>
        <v/>
      </c>
      <c r="BO319" t="str">
        <f>IF(Asistencia!J334="","",Asistencia!J334)</f>
        <v/>
      </c>
      <c r="BP319" t="str">
        <f>IF(Asistencia!K334="","",Asistencia!K334)</f>
        <v/>
      </c>
      <c r="BQ319" t="str">
        <f>IF(Asistencia!L334="","",Asistencia!L334)</f>
        <v/>
      </c>
    </row>
    <row r="320" spans="27:69" x14ac:dyDescent="0.25">
      <c r="AA320" t="str">
        <f t="shared" si="92"/>
        <v/>
      </c>
      <c r="AB320" t="str">
        <f>IF(Asistencia!A335="","",Asistencia!A335)</f>
        <v/>
      </c>
      <c r="AC320" t="str">
        <f>IF(Asistencia!A335="","",SUBSTITUTE(SUBSTITUTE(SUBSTITUTE(SUBSTITUTE(SUBSTITUTE(SUBSTITUTE(SUBSTITUTE(UPPER(TRIM(Asistencia!A335)),"Á","A"),"É","E"),"Í","I"),"Ó","O"),"Ú","U"),"Ñ","N"),"  "," "))</f>
        <v/>
      </c>
      <c r="AD320" t="str">
        <f>IF(Asistencia!E335="","",Asistencia!E335)</f>
        <v/>
      </c>
      <c r="AE320" t="str">
        <f>IF(Asistencia!D335="","",UPPER(TRIM(Asistencia!D335)))</f>
        <v/>
      </c>
      <c r="AF320" t="s">
        <v>200</v>
      </c>
      <c r="AG320">
        <f>IF(AND(AA320&lt;&gt;"",COUNTIF($AA$5:AA320,AA320)=1),1,0)</f>
        <v>0</v>
      </c>
      <c r="AH320" t="str">
        <f>IF(AG320=1,SUM($AG$5:AG320),"")</f>
        <v/>
      </c>
      <c r="AI320">
        <f>IF(OR(EXACT(Asistencia!F335,"A"),EXACT(Asistencia!F335,"R"),EXACT(Asistencia!F335,"DL"),EXACT(Asistencia!F335,"FL"),EXACT(Asistencia!F335,"FE"),EXACT(Asistencia!F335,"PCS"),EXACT(Asistencia!F335,"V")),1,0)</f>
        <v>0</v>
      </c>
      <c r="AJ320">
        <f>IF(OR(EXACT(Asistencia!G335,"A"),EXACT(Asistencia!G335,"R"),EXACT(Asistencia!G335,"DL"),EXACT(Asistencia!G335,"FL"),EXACT(Asistencia!G335,"FE"),EXACT(Asistencia!G335,"PCS"),EXACT(Asistencia!G335,"V")),1,0)</f>
        <v>0</v>
      </c>
      <c r="AK320">
        <f>IF(OR(EXACT(Asistencia!H335,"A"),EXACT(Asistencia!H335,"R"),EXACT(Asistencia!H335,"DL"),EXACT(Asistencia!H335,"FL"),EXACT(Asistencia!H335,"FE"),EXACT(Asistencia!H335,"PCS"),EXACT(Asistencia!H335,"V")),1,0)</f>
        <v>0</v>
      </c>
      <c r="AL320">
        <f>IF(OR(EXACT(Asistencia!I335,"A"),EXACT(Asistencia!I335,"R"),EXACT(Asistencia!I335,"DL"),EXACT(Asistencia!I335,"FL"),EXACT(Asistencia!I335,"FE"),EXACT(Asistencia!I335,"PCS"),EXACT(Asistencia!I335,"V")),1,0)</f>
        <v>0</v>
      </c>
      <c r="AM320">
        <f>IF(OR(EXACT(Asistencia!J335,"A"),EXACT(Asistencia!J335,"R"),EXACT(Asistencia!J335,"DL"),EXACT(Asistencia!J335,"FL"),EXACT(Asistencia!J335,"FE"),EXACT(Asistencia!J335,"PCS"),EXACT(Asistencia!J335,"V")),1,0)</f>
        <v>0</v>
      </c>
      <c r="AN320">
        <f>IF(OR(EXACT(Asistencia!K335,"A"),EXACT(Asistencia!K335,"R"),EXACT(Asistencia!K335,"DL"),EXACT(Asistencia!K335,"FL"),EXACT(Asistencia!K335,"FE"),EXACT(Asistencia!K335,"PCS"),EXACT(Asistencia!K335,"V")),1,0)</f>
        <v>0</v>
      </c>
      <c r="AO320">
        <f>IF(OR(EXACT(Asistencia!L335,"A"),EXACT(Asistencia!L335,"R"),EXACT(Asistencia!L335,"DL"),EXACT(Asistencia!L335,"FL"),EXACT(Asistencia!L335,"FE"),EXACT(Asistencia!L335,"PCS"),EXACT(Asistencia!L335,"V")),1,0)</f>
        <v>0</v>
      </c>
      <c r="AP320">
        <f t="shared" si="93"/>
        <v>0</v>
      </c>
      <c r="AQ320">
        <f>IF(EXACT(Asistencia!F335,"FL"),1,0)</f>
        <v>0</v>
      </c>
      <c r="AR320">
        <f>IF(EXACT(Asistencia!G335,"FL"),1,0)</f>
        <v>0</v>
      </c>
      <c r="AS320">
        <f>IF(EXACT(Asistencia!H335,"FL"),1,0)</f>
        <v>0</v>
      </c>
      <c r="AT320">
        <f>IF(EXACT(Asistencia!I335,"FL"),1,0)</f>
        <v>0</v>
      </c>
      <c r="AU320">
        <f>IF(EXACT(Asistencia!J335,"FL"),1,0)</f>
        <v>0</v>
      </c>
      <c r="AV320">
        <f>IF(EXACT(Asistencia!K335,"FL"),1,0)</f>
        <v>0</v>
      </c>
      <c r="AW320">
        <f>IF(EXACT(Asistencia!L335,"FL"),1,0)</f>
        <v>0</v>
      </c>
      <c r="AX320">
        <f t="shared" si="94"/>
        <v>0</v>
      </c>
      <c r="AY320">
        <f>IF(EXACT(Asistencia!F335,"DL"),1,0)</f>
        <v>0</v>
      </c>
      <c r="AZ320">
        <f>IF(EXACT(Asistencia!G335,"DL"),1,0)</f>
        <v>0</v>
      </c>
      <c r="BA320">
        <f>IF(EXACT(Asistencia!H335,"DL"),1,0)</f>
        <v>0</v>
      </c>
      <c r="BB320">
        <f>IF(EXACT(Asistencia!I335,"DL"),1,0)</f>
        <v>0</v>
      </c>
      <c r="BC320">
        <f>IF(EXACT(Asistencia!J335,"DL"),1,0)</f>
        <v>0</v>
      </c>
      <c r="BD320">
        <f>IF(EXACT(Asistencia!K335,"DL"),1,0)</f>
        <v>0</v>
      </c>
      <c r="BE320">
        <f>IF(EXACT(Asistencia!L335,"DL"),1,0)</f>
        <v>0</v>
      </c>
      <c r="BF320">
        <f t="shared" si="95"/>
        <v>0</v>
      </c>
      <c r="BG320">
        <f>IF(ISNUMBER(Asistencia!M335),Asistencia!M335,0)</f>
        <v>0</v>
      </c>
      <c r="BH320">
        <f>IF(ISNUMBER(Asistencia!N335),Asistencia!N335,0)</f>
        <v>0</v>
      </c>
      <c r="BI320">
        <f>IF(ISNUMBER(Asistencia!O335),Asistencia!O335,0)</f>
        <v>0</v>
      </c>
      <c r="BJ320">
        <f>IF(ISNUMBER(Asistencia!P335),Asistencia!P335,0)</f>
        <v>0</v>
      </c>
      <c r="BK320" t="str">
        <f>IF(Asistencia!F335="","",Asistencia!F335)</f>
        <v/>
      </c>
      <c r="BL320" t="str">
        <f>IF(Asistencia!G335="","",Asistencia!G335)</f>
        <v/>
      </c>
      <c r="BM320" t="str">
        <f>IF(Asistencia!H335="","",Asistencia!H335)</f>
        <v/>
      </c>
      <c r="BN320" t="str">
        <f>IF(Asistencia!I335="","",Asistencia!I335)</f>
        <v/>
      </c>
      <c r="BO320" t="str">
        <f>IF(Asistencia!J335="","",Asistencia!J335)</f>
        <v/>
      </c>
      <c r="BP320" t="str">
        <f>IF(Asistencia!K335="","",Asistencia!K335)</f>
        <v/>
      </c>
      <c r="BQ320" t="str">
        <f>IF(Asistencia!L335="","",Asistencia!L335)</f>
        <v/>
      </c>
    </row>
    <row r="321" spans="27:69" x14ac:dyDescent="0.25">
      <c r="AA321" t="str">
        <f t="shared" si="92"/>
        <v/>
      </c>
      <c r="AB321" t="str">
        <f>IF(Asistencia!A336="","",Asistencia!A336)</f>
        <v/>
      </c>
      <c r="AC321" t="str">
        <f>IF(Asistencia!A336="","",SUBSTITUTE(SUBSTITUTE(SUBSTITUTE(SUBSTITUTE(SUBSTITUTE(SUBSTITUTE(SUBSTITUTE(UPPER(TRIM(Asistencia!A336)),"Á","A"),"É","E"),"Í","I"),"Ó","O"),"Ú","U"),"Ñ","N"),"  "," "))</f>
        <v/>
      </c>
      <c r="AD321" t="str">
        <f>IF(Asistencia!E336="","",Asistencia!E336)</f>
        <v/>
      </c>
      <c r="AE321" t="str">
        <f>IF(Asistencia!D336="","",UPPER(TRIM(Asistencia!D336)))</f>
        <v/>
      </c>
      <c r="AF321" t="s">
        <v>200</v>
      </c>
      <c r="AG321">
        <f>IF(AND(AA321&lt;&gt;"",COUNTIF($AA$5:AA321,AA321)=1),1,0)</f>
        <v>0</v>
      </c>
      <c r="AH321" t="str">
        <f>IF(AG321=1,SUM($AG$5:AG321),"")</f>
        <v/>
      </c>
      <c r="AI321">
        <f>IF(OR(EXACT(Asistencia!F336,"A"),EXACT(Asistencia!F336,"R"),EXACT(Asistencia!F336,"DL"),EXACT(Asistencia!F336,"FL"),EXACT(Asistencia!F336,"FE"),EXACT(Asistencia!F336,"PCS"),EXACT(Asistencia!F336,"V")),1,0)</f>
        <v>0</v>
      </c>
      <c r="AJ321">
        <f>IF(OR(EXACT(Asistencia!G336,"A"),EXACT(Asistencia!G336,"R"),EXACT(Asistencia!G336,"DL"),EXACT(Asistencia!G336,"FL"),EXACT(Asistencia!G336,"FE"),EXACT(Asistencia!G336,"PCS"),EXACT(Asistencia!G336,"V")),1,0)</f>
        <v>0</v>
      </c>
      <c r="AK321">
        <f>IF(OR(EXACT(Asistencia!H336,"A"),EXACT(Asistencia!H336,"R"),EXACT(Asistencia!H336,"DL"),EXACT(Asistencia!H336,"FL"),EXACT(Asistencia!H336,"FE"),EXACT(Asistencia!H336,"PCS"),EXACT(Asistencia!H336,"V")),1,0)</f>
        <v>0</v>
      </c>
      <c r="AL321">
        <f>IF(OR(EXACT(Asistencia!I336,"A"),EXACT(Asistencia!I336,"R"),EXACT(Asistencia!I336,"DL"),EXACT(Asistencia!I336,"FL"),EXACT(Asistencia!I336,"FE"),EXACT(Asistencia!I336,"PCS"),EXACT(Asistencia!I336,"V")),1,0)</f>
        <v>0</v>
      </c>
      <c r="AM321">
        <f>IF(OR(EXACT(Asistencia!J336,"A"),EXACT(Asistencia!J336,"R"),EXACT(Asistencia!J336,"DL"),EXACT(Asistencia!J336,"FL"),EXACT(Asistencia!J336,"FE"),EXACT(Asistencia!J336,"PCS"),EXACT(Asistencia!J336,"V")),1,0)</f>
        <v>0</v>
      </c>
      <c r="AN321">
        <f>IF(OR(EXACT(Asistencia!K336,"A"),EXACT(Asistencia!K336,"R"),EXACT(Asistencia!K336,"DL"),EXACT(Asistencia!K336,"FL"),EXACT(Asistencia!K336,"FE"),EXACT(Asistencia!K336,"PCS"),EXACT(Asistencia!K336,"V")),1,0)</f>
        <v>0</v>
      </c>
      <c r="AO321">
        <f>IF(OR(EXACT(Asistencia!L336,"A"),EXACT(Asistencia!L336,"R"),EXACT(Asistencia!L336,"DL"),EXACT(Asistencia!L336,"FL"),EXACT(Asistencia!L336,"FE"),EXACT(Asistencia!L336,"PCS"),EXACT(Asistencia!L336,"V")),1,0)</f>
        <v>0</v>
      </c>
      <c r="AP321">
        <f t="shared" si="93"/>
        <v>0</v>
      </c>
      <c r="AQ321">
        <f>IF(EXACT(Asistencia!F336,"FL"),1,0)</f>
        <v>0</v>
      </c>
      <c r="AR321">
        <f>IF(EXACT(Asistencia!G336,"FL"),1,0)</f>
        <v>0</v>
      </c>
      <c r="AS321">
        <f>IF(EXACT(Asistencia!H336,"FL"),1,0)</f>
        <v>0</v>
      </c>
      <c r="AT321">
        <f>IF(EXACT(Asistencia!I336,"FL"),1,0)</f>
        <v>0</v>
      </c>
      <c r="AU321">
        <f>IF(EXACT(Asistencia!J336,"FL"),1,0)</f>
        <v>0</v>
      </c>
      <c r="AV321">
        <f>IF(EXACT(Asistencia!K336,"FL"),1,0)</f>
        <v>0</v>
      </c>
      <c r="AW321">
        <f>IF(EXACT(Asistencia!L336,"FL"),1,0)</f>
        <v>0</v>
      </c>
      <c r="AX321">
        <f t="shared" si="94"/>
        <v>0</v>
      </c>
      <c r="AY321">
        <f>IF(EXACT(Asistencia!F336,"DL"),1,0)</f>
        <v>0</v>
      </c>
      <c r="AZ321">
        <f>IF(EXACT(Asistencia!G336,"DL"),1,0)</f>
        <v>0</v>
      </c>
      <c r="BA321">
        <f>IF(EXACT(Asistencia!H336,"DL"),1,0)</f>
        <v>0</v>
      </c>
      <c r="BB321">
        <f>IF(EXACT(Asistencia!I336,"DL"),1,0)</f>
        <v>0</v>
      </c>
      <c r="BC321">
        <f>IF(EXACT(Asistencia!J336,"DL"),1,0)</f>
        <v>0</v>
      </c>
      <c r="BD321">
        <f>IF(EXACT(Asistencia!K336,"DL"),1,0)</f>
        <v>0</v>
      </c>
      <c r="BE321">
        <f>IF(EXACT(Asistencia!L336,"DL"),1,0)</f>
        <v>0</v>
      </c>
      <c r="BF321">
        <f t="shared" si="95"/>
        <v>0</v>
      </c>
      <c r="BG321">
        <f>IF(ISNUMBER(Asistencia!M336),Asistencia!M336,0)</f>
        <v>0</v>
      </c>
      <c r="BH321">
        <f>IF(ISNUMBER(Asistencia!N336),Asistencia!N336,0)</f>
        <v>0</v>
      </c>
      <c r="BI321">
        <f>IF(ISNUMBER(Asistencia!O336),Asistencia!O336,0)</f>
        <v>0</v>
      </c>
      <c r="BJ321">
        <f>IF(ISNUMBER(Asistencia!P336),Asistencia!P336,0)</f>
        <v>0</v>
      </c>
      <c r="BK321" t="str">
        <f>IF(Asistencia!F336="","",Asistencia!F336)</f>
        <v/>
      </c>
      <c r="BL321" t="str">
        <f>IF(Asistencia!G336="","",Asistencia!G336)</f>
        <v/>
      </c>
      <c r="BM321" t="str">
        <f>IF(Asistencia!H336="","",Asistencia!H336)</f>
        <v/>
      </c>
      <c r="BN321" t="str">
        <f>IF(Asistencia!I336="","",Asistencia!I336)</f>
        <v/>
      </c>
      <c r="BO321" t="str">
        <f>IF(Asistencia!J336="","",Asistencia!J336)</f>
        <v/>
      </c>
      <c r="BP321" t="str">
        <f>IF(Asistencia!K336="","",Asistencia!K336)</f>
        <v/>
      </c>
      <c r="BQ321" t="str">
        <f>IF(Asistencia!L336="","",Asistencia!L336)</f>
        <v/>
      </c>
    </row>
    <row r="322" spans="27:69" x14ac:dyDescent="0.25">
      <c r="AA322" t="str">
        <f t="shared" si="92"/>
        <v/>
      </c>
      <c r="AB322" t="str">
        <f>IF(Asistencia!A337="","",Asistencia!A337)</f>
        <v/>
      </c>
      <c r="AC322" t="str">
        <f>IF(Asistencia!A337="","",SUBSTITUTE(SUBSTITUTE(SUBSTITUTE(SUBSTITUTE(SUBSTITUTE(SUBSTITUTE(SUBSTITUTE(UPPER(TRIM(Asistencia!A337)),"Á","A"),"É","E"),"Í","I"),"Ó","O"),"Ú","U"),"Ñ","N"),"  "," "))</f>
        <v/>
      </c>
      <c r="AD322" t="str">
        <f>IF(Asistencia!E337="","",Asistencia!E337)</f>
        <v/>
      </c>
      <c r="AE322" t="str">
        <f>IF(Asistencia!D337="","",UPPER(TRIM(Asistencia!D337)))</f>
        <v/>
      </c>
      <c r="AF322" t="s">
        <v>200</v>
      </c>
      <c r="AG322">
        <f>IF(AND(AA322&lt;&gt;"",COUNTIF($AA$5:AA322,AA322)=1),1,0)</f>
        <v>0</v>
      </c>
      <c r="AH322" t="str">
        <f>IF(AG322=1,SUM($AG$5:AG322),"")</f>
        <v/>
      </c>
      <c r="AI322">
        <f>IF(OR(EXACT(Asistencia!F337,"A"),EXACT(Asistencia!F337,"R"),EXACT(Asistencia!F337,"DL"),EXACT(Asistencia!F337,"FL"),EXACT(Asistencia!F337,"FE"),EXACT(Asistencia!F337,"PCS"),EXACT(Asistencia!F337,"V")),1,0)</f>
        <v>0</v>
      </c>
      <c r="AJ322">
        <f>IF(OR(EXACT(Asistencia!G337,"A"),EXACT(Asistencia!G337,"R"),EXACT(Asistencia!G337,"DL"),EXACT(Asistencia!G337,"FL"),EXACT(Asistencia!G337,"FE"),EXACT(Asistencia!G337,"PCS"),EXACT(Asistencia!G337,"V")),1,0)</f>
        <v>0</v>
      </c>
      <c r="AK322">
        <f>IF(OR(EXACT(Asistencia!H337,"A"),EXACT(Asistencia!H337,"R"),EXACT(Asistencia!H337,"DL"),EXACT(Asistencia!H337,"FL"),EXACT(Asistencia!H337,"FE"),EXACT(Asistencia!H337,"PCS"),EXACT(Asistencia!H337,"V")),1,0)</f>
        <v>0</v>
      </c>
      <c r="AL322">
        <f>IF(OR(EXACT(Asistencia!I337,"A"),EXACT(Asistencia!I337,"R"),EXACT(Asistencia!I337,"DL"),EXACT(Asistencia!I337,"FL"),EXACT(Asistencia!I337,"FE"),EXACT(Asistencia!I337,"PCS"),EXACT(Asistencia!I337,"V")),1,0)</f>
        <v>0</v>
      </c>
      <c r="AM322">
        <f>IF(OR(EXACT(Asistencia!J337,"A"),EXACT(Asistencia!J337,"R"),EXACT(Asistencia!J337,"DL"),EXACT(Asistencia!J337,"FL"),EXACT(Asistencia!J337,"FE"),EXACT(Asistencia!J337,"PCS"),EXACT(Asistencia!J337,"V")),1,0)</f>
        <v>0</v>
      </c>
      <c r="AN322">
        <f>IF(OR(EXACT(Asistencia!K337,"A"),EXACT(Asistencia!K337,"R"),EXACT(Asistencia!K337,"DL"),EXACT(Asistencia!K337,"FL"),EXACT(Asistencia!K337,"FE"),EXACT(Asistencia!K337,"PCS"),EXACT(Asistencia!K337,"V")),1,0)</f>
        <v>0</v>
      </c>
      <c r="AO322">
        <f>IF(OR(EXACT(Asistencia!L337,"A"),EXACT(Asistencia!L337,"R"),EXACT(Asistencia!L337,"DL"),EXACT(Asistencia!L337,"FL"),EXACT(Asistencia!L337,"FE"),EXACT(Asistencia!L337,"PCS"),EXACT(Asistencia!L337,"V")),1,0)</f>
        <v>0</v>
      </c>
      <c r="AP322">
        <f t="shared" si="93"/>
        <v>0</v>
      </c>
      <c r="AQ322">
        <f>IF(EXACT(Asistencia!F337,"FL"),1,0)</f>
        <v>0</v>
      </c>
      <c r="AR322">
        <f>IF(EXACT(Asistencia!G337,"FL"),1,0)</f>
        <v>0</v>
      </c>
      <c r="AS322">
        <f>IF(EXACT(Asistencia!H337,"FL"),1,0)</f>
        <v>0</v>
      </c>
      <c r="AT322">
        <f>IF(EXACT(Asistencia!I337,"FL"),1,0)</f>
        <v>0</v>
      </c>
      <c r="AU322">
        <f>IF(EXACT(Asistencia!J337,"FL"),1,0)</f>
        <v>0</v>
      </c>
      <c r="AV322">
        <f>IF(EXACT(Asistencia!K337,"FL"),1,0)</f>
        <v>0</v>
      </c>
      <c r="AW322">
        <f>IF(EXACT(Asistencia!L337,"FL"),1,0)</f>
        <v>0</v>
      </c>
      <c r="AX322">
        <f t="shared" si="94"/>
        <v>0</v>
      </c>
      <c r="AY322">
        <f>IF(EXACT(Asistencia!F337,"DL"),1,0)</f>
        <v>0</v>
      </c>
      <c r="AZ322">
        <f>IF(EXACT(Asistencia!G337,"DL"),1,0)</f>
        <v>0</v>
      </c>
      <c r="BA322">
        <f>IF(EXACT(Asistencia!H337,"DL"),1,0)</f>
        <v>0</v>
      </c>
      <c r="BB322">
        <f>IF(EXACT(Asistencia!I337,"DL"),1,0)</f>
        <v>0</v>
      </c>
      <c r="BC322">
        <f>IF(EXACT(Asistencia!J337,"DL"),1,0)</f>
        <v>0</v>
      </c>
      <c r="BD322">
        <f>IF(EXACT(Asistencia!K337,"DL"),1,0)</f>
        <v>0</v>
      </c>
      <c r="BE322">
        <f>IF(EXACT(Asistencia!L337,"DL"),1,0)</f>
        <v>0</v>
      </c>
      <c r="BF322">
        <f t="shared" si="95"/>
        <v>0</v>
      </c>
      <c r="BG322">
        <f>IF(ISNUMBER(Asistencia!M337),Asistencia!M337,0)</f>
        <v>0</v>
      </c>
      <c r="BH322">
        <f>IF(ISNUMBER(Asistencia!N337),Asistencia!N337,0)</f>
        <v>0</v>
      </c>
      <c r="BI322">
        <f>IF(ISNUMBER(Asistencia!O337),Asistencia!O337,0)</f>
        <v>0</v>
      </c>
      <c r="BJ322">
        <f>IF(ISNUMBER(Asistencia!P337),Asistencia!P337,0)</f>
        <v>0</v>
      </c>
      <c r="BK322" t="str">
        <f>IF(Asistencia!F337="","",Asistencia!F337)</f>
        <v/>
      </c>
      <c r="BL322" t="str">
        <f>IF(Asistencia!G337="","",Asistencia!G337)</f>
        <v/>
      </c>
      <c r="BM322" t="str">
        <f>IF(Asistencia!H337="","",Asistencia!H337)</f>
        <v/>
      </c>
      <c r="BN322" t="str">
        <f>IF(Asistencia!I337="","",Asistencia!I337)</f>
        <v/>
      </c>
      <c r="BO322" t="str">
        <f>IF(Asistencia!J337="","",Asistencia!J337)</f>
        <v/>
      </c>
      <c r="BP322" t="str">
        <f>IF(Asistencia!K337="","",Asistencia!K337)</f>
        <v/>
      </c>
      <c r="BQ322" t="str">
        <f>IF(Asistencia!L337="","",Asistencia!L337)</f>
        <v/>
      </c>
    </row>
    <row r="323" spans="27:69" x14ac:dyDescent="0.25">
      <c r="AA323" t="str">
        <f t="shared" si="92"/>
        <v/>
      </c>
      <c r="AB323" t="str">
        <f>IF(Asistencia!A338="","",Asistencia!A338)</f>
        <v/>
      </c>
      <c r="AC323" t="str">
        <f>IF(Asistencia!A338="","",SUBSTITUTE(SUBSTITUTE(SUBSTITUTE(SUBSTITUTE(SUBSTITUTE(SUBSTITUTE(SUBSTITUTE(UPPER(TRIM(Asistencia!A338)),"Á","A"),"É","E"),"Í","I"),"Ó","O"),"Ú","U"),"Ñ","N"),"  "," "))</f>
        <v/>
      </c>
      <c r="AD323" t="str">
        <f>IF(Asistencia!E338="","",Asistencia!E338)</f>
        <v/>
      </c>
      <c r="AE323" t="str">
        <f>IF(Asistencia!D338="","",UPPER(TRIM(Asistencia!D338)))</f>
        <v/>
      </c>
      <c r="AF323" t="s">
        <v>200</v>
      </c>
      <c r="AG323">
        <f>IF(AND(AA323&lt;&gt;"",COUNTIF($AA$5:AA323,AA323)=1),1,0)</f>
        <v>0</v>
      </c>
      <c r="AH323" t="str">
        <f>IF(AG323=1,SUM($AG$5:AG323),"")</f>
        <v/>
      </c>
      <c r="AI323">
        <f>IF(OR(EXACT(Asistencia!F338,"A"),EXACT(Asistencia!F338,"R"),EXACT(Asistencia!F338,"DL"),EXACT(Asistencia!F338,"FL"),EXACT(Asistencia!F338,"FE"),EXACT(Asistencia!F338,"PCS"),EXACT(Asistencia!F338,"V")),1,0)</f>
        <v>0</v>
      </c>
      <c r="AJ323">
        <f>IF(OR(EXACT(Asistencia!G338,"A"),EXACT(Asistencia!G338,"R"),EXACT(Asistencia!G338,"DL"),EXACT(Asistencia!G338,"FL"),EXACT(Asistencia!G338,"FE"),EXACT(Asistencia!G338,"PCS"),EXACT(Asistencia!G338,"V")),1,0)</f>
        <v>0</v>
      </c>
      <c r="AK323">
        <f>IF(OR(EXACT(Asistencia!H338,"A"),EXACT(Asistencia!H338,"R"),EXACT(Asistencia!H338,"DL"),EXACT(Asistencia!H338,"FL"),EXACT(Asistencia!H338,"FE"),EXACT(Asistencia!H338,"PCS"),EXACT(Asistencia!H338,"V")),1,0)</f>
        <v>0</v>
      </c>
      <c r="AL323">
        <f>IF(OR(EXACT(Asistencia!I338,"A"),EXACT(Asistencia!I338,"R"),EXACT(Asistencia!I338,"DL"),EXACT(Asistencia!I338,"FL"),EXACT(Asistencia!I338,"FE"),EXACT(Asistencia!I338,"PCS"),EXACT(Asistencia!I338,"V")),1,0)</f>
        <v>0</v>
      </c>
      <c r="AM323">
        <f>IF(OR(EXACT(Asistencia!J338,"A"),EXACT(Asistencia!J338,"R"),EXACT(Asistencia!J338,"DL"),EXACT(Asistencia!J338,"FL"),EXACT(Asistencia!J338,"FE"),EXACT(Asistencia!J338,"PCS"),EXACT(Asistencia!J338,"V")),1,0)</f>
        <v>0</v>
      </c>
      <c r="AN323">
        <f>IF(OR(EXACT(Asistencia!K338,"A"),EXACT(Asistencia!K338,"R"),EXACT(Asistencia!K338,"DL"),EXACT(Asistencia!K338,"FL"),EXACT(Asistencia!K338,"FE"),EXACT(Asistencia!K338,"PCS"),EXACT(Asistencia!K338,"V")),1,0)</f>
        <v>0</v>
      </c>
      <c r="AO323">
        <f>IF(OR(EXACT(Asistencia!L338,"A"),EXACT(Asistencia!L338,"R"),EXACT(Asistencia!L338,"DL"),EXACT(Asistencia!L338,"FL"),EXACT(Asistencia!L338,"FE"),EXACT(Asistencia!L338,"PCS"),EXACT(Asistencia!L338,"V")),1,0)</f>
        <v>0</v>
      </c>
      <c r="AP323">
        <f t="shared" si="93"/>
        <v>0</v>
      </c>
      <c r="AQ323">
        <f>IF(EXACT(Asistencia!F338,"FL"),1,0)</f>
        <v>0</v>
      </c>
      <c r="AR323">
        <f>IF(EXACT(Asistencia!G338,"FL"),1,0)</f>
        <v>0</v>
      </c>
      <c r="AS323">
        <f>IF(EXACT(Asistencia!H338,"FL"),1,0)</f>
        <v>0</v>
      </c>
      <c r="AT323">
        <f>IF(EXACT(Asistencia!I338,"FL"),1,0)</f>
        <v>0</v>
      </c>
      <c r="AU323">
        <f>IF(EXACT(Asistencia!J338,"FL"),1,0)</f>
        <v>0</v>
      </c>
      <c r="AV323">
        <f>IF(EXACT(Asistencia!K338,"FL"),1,0)</f>
        <v>0</v>
      </c>
      <c r="AW323">
        <f>IF(EXACT(Asistencia!L338,"FL"),1,0)</f>
        <v>0</v>
      </c>
      <c r="AX323">
        <f t="shared" si="94"/>
        <v>0</v>
      </c>
      <c r="AY323">
        <f>IF(EXACT(Asistencia!F338,"DL"),1,0)</f>
        <v>0</v>
      </c>
      <c r="AZ323">
        <f>IF(EXACT(Asistencia!G338,"DL"),1,0)</f>
        <v>0</v>
      </c>
      <c r="BA323">
        <f>IF(EXACT(Asistencia!H338,"DL"),1,0)</f>
        <v>0</v>
      </c>
      <c r="BB323">
        <f>IF(EXACT(Asistencia!I338,"DL"),1,0)</f>
        <v>0</v>
      </c>
      <c r="BC323">
        <f>IF(EXACT(Asistencia!J338,"DL"),1,0)</f>
        <v>0</v>
      </c>
      <c r="BD323">
        <f>IF(EXACT(Asistencia!K338,"DL"),1,0)</f>
        <v>0</v>
      </c>
      <c r="BE323">
        <f>IF(EXACT(Asistencia!L338,"DL"),1,0)</f>
        <v>0</v>
      </c>
      <c r="BF323">
        <f t="shared" si="95"/>
        <v>0</v>
      </c>
      <c r="BG323">
        <f>IF(ISNUMBER(Asistencia!M338),Asistencia!M338,0)</f>
        <v>0</v>
      </c>
      <c r="BH323">
        <f>IF(ISNUMBER(Asistencia!N338),Asistencia!N338,0)</f>
        <v>0</v>
      </c>
      <c r="BI323">
        <f>IF(ISNUMBER(Asistencia!O338),Asistencia!O338,0)</f>
        <v>0</v>
      </c>
      <c r="BJ323">
        <f>IF(ISNUMBER(Asistencia!P338),Asistencia!P338,0)</f>
        <v>0</v>
      </c>
      <c r="BK323" t="str">
        <f>IF(Asistencia!F338="","",Asistencia!F338)</f>
        <v/>
      </c>
      <c r="BL323" t="str">
        <f>IF(Asistencia!G338="","",Asistencia!G338)</f>
        <v/>
      </c>
      <c r="BM323" t="str">
        <f>IF(Asistencia!H338="","",Asistencia!H338)</f>
        <v/>
      </c>
      <c r="BN323" t="str">
        <f>IF(Asistencia!I338="","",Asistencia!I338)</f>
        <v/>
      </c>
      <c r="BO323" t="str">
        <f>IF(Asistencia!J338="","",Asistencia!J338)</f>
        <v/>
      </c>
      <c r="BP323" t="str">
        <f>IF(Asistencia!K338="","",Asistencia!K338)</f>
        <v/>
      </c>
      <c r="BQ323" t="str">
        <f>IF(Asistencia!L338="","",Asistencia!L338)</f>
        <v/>
      </c>
    </row>
  </sheetData>
  <mergeCells count="3">
    <mergeCell ref="A1:W1"/>
    <mergeCell ref="F2:M2"/>
    <mergeCell ref="C2:D2"/>
  </mergeCells>
  <dataValidations count="1">
    <dataValidation type="list" sqref="T5:T244" xr:uid="{B4EA8E0D-7C6D-4D2F-AD91-6136096B5634}">
      <formula1>"N/A,SOLICITA"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Instrucciones</vt:lpstr>
      <vt:lpstr>Asistencia</vt:lpstr>
      <vt:lpstr>Compilado</vt:lpstr>
      <vt:lpstr>meta_coordinador</vt:lpstr>
      <vt:lpstr>meta_nomina</vt:lpstr>
      <vt:lpstr>meta_semana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Yahir Ramirez</cp:lastModifiedBy>
  <cp:revision>0</cp:revision>
  <dcterms:created xsi:type="dcterms:W3CDTF">2026-05-13T19:12:00Z</dcterms:created>
  <dcterms:modified xsi:type="dcterms:W3CDTF">2026-06-01T05:58:30Z</dcterms:modified>
  <dc:language>en-US</dc:language>
</cp:coreProperties>
</file>